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wsl.localhost\Ubuntu\home\thanimwas\FundamentalUpdater_rev4\Data\"/>
    </mc:Choice>
  </mc:AlternateContent>
  <xr:revisionPtr revIDLastSave="0" documentId="13_ncr:1_{CFF3AF33-E120-4E66-B32B-F8BCA8A52D39}" xr6:coauthVersionLast="47" xr6:coauthVersionMax="47" xr10:uidLastSave="{00000000-0000-0000-0000-000000000000}"/>
  <bookViews>
    <workbookView xWindow="-120" yWindow="-120" windowWidth="29040" windowHeight="15720" activeTab="1" xr2:uid="{4317865B-F2F2-46A8-BA54-10CF87CE9F60}"/>
  </bookViews>
  <sheets>
    <sheet name="Stocks" sheetId="2" r:id="rId1"/>
    <sheet name="Stocks_Amibroker" sheetId="1" r:id="rId2"/>
  </sheets>
  <functionGroups builtInGroupCount="19"/>
  <definedNames>
    <definedName name="ExternalData_1" localSheetId="0" hidden="1">Stocks!$A$1:$V$870</definedName>
    <definedName name="Pric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D48" i="1" l="1"/>
  <c r="H48" i="1" a="1"/>
  <c r="H48" i="1" s="1"/>
  <c r="G48" i="1"/>
  <c r="F48" i="1"/>
  <c r="E48" i="1"/>
  <c r="C48" i="1"/>
  <c r="B48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307" i="1"/>
  <c r="F308" i="1"/>
  <c r="F309" i="1"/>
  <c r="F310" i="1"/>
  <c r="F311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F343" i="1"/>
  <c r="F344" i="1"/>
  <c r="F345" i="1"/>
  <c r="F346" i="1"/>
  <c r="F347" i="1"/>
  <c r="F348" i="1"/>
  <c r="F349" i="1"/>
  <c r="F350" i="1"/>
  <c r="F351" i="1"/>
  <c r="F352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F421" i="1"/>
  <c r="F422" i="1"/>
  <c r="F423" i="1"/>
  <c r="F424" i="1"/>
  <c r="F425" i="1"/>
  <c r="F426" i="1"/>
  <c r="F427" i="1"/>
  <c r="F428" i="1"/>
  <c r="F429" i="1"/>
  <c r="F430" i="1"/>
  <c r="F431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3" i="1"/>
  <c r="H869" i="1" a="1"/>
  <c r="H869" i="1" s="1"/>
  <c r="C869" i="1"/>
  <c r="B869" i="1"/>
  <c r="H868" i="1" a="1"/>
  <c r="H868" i="1" s="1"/>
  <c r="C868" i="1"/>
  <c r="B868" i="1"/>
  <c r="H867" i="1" a="1"/>
  <c r="H867" i="1" s="1"/>
  <c r="C867" i="1"/>
  <c r="B867" i="1"/>
  <c r="H866" i="1" a="1"/>
  <c r="H866" i="1" s="1"/>
  <c r="C866" i="1"/>
  <c r="B866" i="1"/>
  <c r="H865" i="1" a="1"/>
  <c r="H865" i="1" s="1"/>
  <c r="C865" i="1"/>
  <c r="B865" i="1"/>
  <c r="H864" i="1" a="1"/>
  <c r="H864" i="1" s="1"/>
  <c r="C864" i="1"/>
  <c r="B864" i="1"/>
  <c r="H863" i="1" a="1"/>
  <c r="H863" i="1" s="1"/>
  <c r="C863" i="1"/>
  <c r="B863" i="1"/>
  <c r="H862" i="1" a="1"/>
  <c r="H862" i="1" s="1"/>
  <c r="C862" i="1"/>
  <c r="B862" i="1"/>
  <c r="H861" i="1" a="1"/>
  <c r="H861" i="1" s="1"/>
  <c r="C861" i="1"/>
  <c r="B861" i="1"/>
  <c r="H860" i="1" a="1"/>
  <c r="H860" i="1" s="1"/>
  <c r="C860" i="1"/>
  <c r="B860" i="1"/>
  <c r="H859" i="1" a="1"/>
  <c r="H859" i="1" s="1"/>
  <c r="C859" i="1"/>
  <c r="B859" i="1"/>
  <c r="H858" i="1" a="1"/>
  <c r="H858" i="1" s="1"/>
  <c r="C858" i="1"/>
  <c r="B858" i="1"/>
  <c r="H857" i="1" a="1"/>
  <c r="H857" i="1" s="1"/>
  <c r="C857" i="1"/>
  <c r="B857" i="1"/>
  <c r="H856" i="1" a="1"/>
  <c r="H856" i="1" s="1"/>
  <c r="C856" i="1"/>
  <c r="B856" i="1"/>
  <c r="H855" i="1" a="1"/>
  <c r="H855" i="1" s="1"/>
  <c r="C855" i="1"/>
  <c r="B855" i="1"/>
  <c r="H854" i="1" a="1"/>
  <c r="H854" i="1" s="1"/>
  <c r="C854" i="1"/>
  <c r="B854" i="1"/>
  <c r="H853" i="1" a="1"/>
  <c r="H853" i="1" s="1"/>
  <c r="C853" i="1"/>
  <c r="B853" i="1"/>
  <c r="H852" i="1" a="1"/>
  <c r="H852" i="1" s="1"/>
  <c r="C852" i="1"/>
  <c r="B852" i="1"/>
  <c r="H851" i="1" a="1"/>
  <c r="H851" i="1" s="1"/>
  <c r="C851" i="1"/>
  <c r="B851" i="1"/>
  <c r="H850" i="1" a="1"/>
  <c r="H850" i="1" s="1"/>
  <c r="C850" i="1"/>
  <c r="B850" i="1"/>
  <c r="H849" i="1" a="1"/>
  <c r="C849" i="1"/>
  <c r="B849" i="1"/>
  <c r="H848" i="1" a="1"/>
  <c r="H848" i="1" s="1"/>
  <c r="C848" i="1"/>
  <c r="B848" i="1"/>
  <c r="H847" i="1" a="1"/>
  <c r="H847" i="1" s="1"/>
  <c r="C847" i="1"/>
  <c r="B847" i="1"/>
  <c r="H846" i="1" a="1"/>
  <c r="H846" i="1" s="1"/>
  <c r="C846" i="1"/>
  <c r="B846" i="1"/>
  <c r="H845" i="1" a="1"/>
  <c r="H845" i="1" s="1"/>
  <c r="C845" i="1"/>
  <c r="B845" i="1"/>
  <c r="H844" i="1" a="1"/>
  <c r="H844" i="1" s="1"/>
  <c r="C844" i="1"/>
  <c r="B844" i="1"/>
  <c r="H843" i="1" a="1"/>
  <c r="H843" i="1" s="1"/>
  <c r="C843" i="1"/>
  <c r="B843" i="1"/>
  <c r="H842" i="1" a="1"/>
  <c r="H842" i="1" s="1"/>
  <c r="C842" i="1"/>
  <c r="B842" i="1"/>
  <c r="H841" i="1" a="1"/>
  <c r="H841" i="1" s="1"/>
  <c r="C841" i="1"/>
  <c r="B841" i="1"/>
  <c r="H840" i="1" a="1"/>
  <c r="H840" i="1" s="1"/>
  <c r="C840" i="1"/>
  <c r="B840" i="1"/>
  <c r="H839" i="1" a="1"/>
  <c r="H839" i="1" s="1"/>
  <c r="C839" i="1"/>
  <c r="B839" i="1"/>
  <c r="H838" i="1" a="1"/>
  <c r="H838" i="1" s="1"/>
  <c r="C838" i="1"/>
  <c r="B838" i="1"/>
  <c r="H837" i="1" a="1"/>
  <c r="C837" i="1"/>
  <c r="B837" i="1"/>
  <c r="H836" i="1" a="1"/>
  <c r="H836" i="1" s="1"/>
  <c r="C836" i="1"/>
  <c r="B836" i="1"/>
  <c r="H835" i="1" a="1"/>
  <c r="H835" i="1" s="1"/>
  <c r="C835" i="1"/>
  <c r="B835" i="1"/>
  <c r="H834" i="1" a="1"/>
  <c r="H834" i="1" s="1"/>
  <c r="C834" i="1"/>
  <c r="B834" i="1"/>
  <c r="H833" i="1" a="1"/>
  <c r="H833" i="1" s="1"/>
  <c r="C833" i="1"/>
  <c r="B833" i="1"/>
  <c r="H832" i="1" a="1"/>
  <c r="H832" i="1" s="1"/>
  <c r="C832" i="1"/>
  <c r="B832" i="1"/>
  <c r="H831" i="1" a="1"/>
  <c r="H831" i="1" s="1"/>
  <c r="C831" i="1"/>
  <c r="B831" i="1"/>
  <c r="H830" i="1" a="1"/>
  <c r="H830" i="1" s="1"/>
  <c r="C830" i="1"/>
  <c r="B830" i="1"/>
  <c r="H829" i="1" a="1"/>
  <c r="H829" i="1" s="1"/>
  <c r="C829" i="1"/>
  <c r="B829" i="1"/>
  <c r="H828" i="1" a="1"/>
  <c r="H828" i="1" s="1"/>
  <c r="C828" i="1"/>
  <c r="B828" i="1"/>
  <c r="H827" i="1" a="1"/>
  <c r="H827" i="1" s="1"/>
  <c r="C827" i="1"/>
  <c r="B827" i="1"/>
  <c r="H826" i="1" a="1"/>
  <c r="H826" i="1" s="1"/>
  <c r="C826" i="1"/>
  <c r="B826" i="1"/>
  <c r="H825" i="1" a="1"/>
  <c r="C825" i="1"/>
  <c r="B825" i="1"/>
  <c r="H824" i="1" a="1"/>
  <c r="H824" i="1" s="1"/>
  <c r="C824" i="1"/>
  <c r="B824" i="1"/>
  <c r="H823" i="1" a="1"/>
  <c r="H823" i="1" s="1"/>
  <c r="C823" i="1"/>
  <c r="B823" i="1"/>
  <c r="H822" i="1" a="1"/>
  <c r="H822" i="1" s="1"/>
  <c r="C822" i="1"/>
  <c r="B822" i="1"/>
  <c r="H821" i="1" a="1"/>
  <c r="H821" i="1" s="1"/>
  <c r="C821" i="1"/>
  <c r="B821" i="1"/>
  <c r="H820" i="1" a="1"/>
  <c r="H820" i="1" s="1"/>
  <c r="C820" i="1"/>
  <c r="B820" i="1"/>
  <c r="H819" i="1" a="1"/>
  <c r="H819" i="1" s="1"/>
  <c r="C819" i="1"/>
  <c r="B819" i="1"/>
  <c r="H818" i="1" a="1"/>
  <c r="H818" i="1" s="1"/>
  <c r="C818" i="1"/>
  <c r="B818" i="1"/>
  <c r="H817" i="1" a="1"/>
  <c r="H817" i="1" s="1"/>
  <c r="C817" i="1"/>
  <c r="B817" i="1"/>
  <c r="H816" i="1" a="1"/>
  <c r="H816" i="1" s="1"/>
  <c r="C816" i="1"/>
  <c r="B816" i="1"/>
  <c r="H815" i="1" a="1"/>
  <c r="H815" i="1" s="1"/>
  <c r="C815" i="1"/>
  <c r="B815" i="1"/>
  <c r="H814" i="1" a="1"/>
  <c r="H814" i="1" s="1"/>
  <c r="C814" i="1"/>
  <c r="B814" i="1"/>
  <c r="H813" i="1" a="1"/>
  <c r="C813" i="1"/>
  <c r="B813" i="1"/>
  <c r="H812" i="1" a="1"/>
  <c r="H812" i="1" s="1"/>
  <c r="C812" i="1"/>
  <c r="B812" i="1"/>
  <c r="H811" i="1" a="1"/>
  <c r="H811" i="1" s="1"/>
  <c r="C811" i="1"/>
  <c r="B811" i="1"/>
  <c r="H810" i="1" a="1"/>
  <c r="H810" i="1" s="1"/>
  <c r="C810" i="1"/>
  <c r="B810" i="1"/>
  <c r="H809" i="1" a="1"/>
  <c r="H809" i="1" s="1"/>
  <c r="C809" i="1"/>
  <c r="B809" i="1"/>
  <c r="H808" i="1" a="1"/>
  <c r="H808" i="1" s="1"/>
  <c r="C808" i="1"/>
  <c r="B808" i="1"/>
  <c r="H807" i="1" a="1"/>
  <c r="H807" i="1" s="1"/>
  <c r="C807" i="1"/>
  <c r="B807" i="1"/>
  <c r="H806" i="1" a="1"/>
  <c r="H806" i="1" s="1"/>
  <c r="C806" i="1"/>
  <c r="B806" i="1"/>
  <c r="H805" i="1" a="1"/>
  <c r="H805" i="1" s="1"/>
  <c r="C805" i="1"/>
  <c r="B805" i="1"/>
  <c r="H804" i="1" a="1"/>
  <c r="H804" i="1" s="1"/>
  <c r="C804" i="1"/>
  <c r="B804" i="1"/>
  <c r="H803" i="1" a="1"/>
  <c r="H803" i="1" s="1"/>
  <c r="C803" i="1"/>
  <c r="B803" i="1"/>
  <c r="H802" i="1" a="1"/>
  <c r="H802" i="1" s="1"/>
  <c r="C802" i="1"/>
  <c r="B802" i="1"/>
  <c r="H801" i="1" a="1"/>
  <c r="C801" i="1"/>
  <c r="B801" i="1"/>
  <c r="H800" i="1" a="1"/>
  <c r="H800" i="1" s="1"/>
  <c r="C800" i="1"/>
  <c r="B800" i="1"/>
  <c r="H799" i="1" a="1"/>
  <c r="H799" i="1" s="1"/>
  <c r="C799" i="1"/>
  <c r="B799" i="1"/>
  <c r="H798" i="1" a="1"/>
  <c r="H798" i="1" s="1"/>
  <c r="C798" i="1"/>
  <c r="B798" i="1"/>
  <c r="H797" i="1" a="1"/>
  <c r="H797" i="1" s="1"/>
  <c r="C797" i="1"/>
  <c r="B797" i="1"/>
  <c r="H796" i="1" a="1"/>
  <c r="H796" i="1" s="1"/>
  <c r="C796" i="1"/>
  <c r="B796" i="1"/>
  <c r="H795" i="1" a="1"/>
  <c r="H795" i="1" s="1"/>
  <c r="C795" i="1"/>
  <c r="B795" i="1"/>
  <c r="H794" i="1" a="1"/>
  <c r="H794" i="1" s="1"/>
  <c r="C794" i="1"/>
  <c r="B794" i="1"/>
  <c r="H793" i="1" a="1"/>
  <c r="H793" i="1" s="1"/>
  <c r="C793" i="1"/>
  <c r="B793" i="1"/>
  <c r="H792" i="1" a="1"/>
  <c r="H792" i="1" s="1"/>
  <c r="C792" i="1"/>
  <c r="B792" i="1"/>
  <c r="H791" i="1" a="1"/>
  <c r="H791" i="1" s="1"/>
  <c r="C791" i="1"/>
  <c r="B791" i="1"/>
  <c r="H790" i="1" a="1"/>
  <c r="H790" i="1" s="1"/>
  <c r="C790" i="1"/>
  <c r="B790" i="1"/>
  <c r="H789" i="1" a="1"/>
  <c r="C789" i="1"/>
  <c r="B789" i="1"/>
  <c r="H788" i="1" a="1"/>
  <c r="H788" i="1" s="1"/>
  <c r="C788" i="1"/>
  <c r="B788" i="1"/>
  <c r="H787" i="1" a="1"/>
  <c r="H787" i="1" s="1"/>
  <c r="C787" i="1"/>
  <c r="B787" i="1"/>
  <c r="H786" i="1" a="1"/>
  <c r="H786" i="1" s="1"/>
  <c r="C786" i="1"/>
  <c r="B786" i="1"/>
  <c r="H785" i="1" a="1"/>
  <c r="H785" i="1" s="1"/>
  <c r="C785" i="1"/>
  <c r="B785" i="1"/>
  <c r="H784" i="1" a="1"/>
  <c r="H784" i="1" s="1"/>
  <c r="C784" i="1"/>
  <c r="B784" i="1"/>
  <c r="H783" i="1" a="1"/>
  <c r="H783" i="1" s="1"/>
  <c r="C783" i="1"/>
  <c r="B783" i="1"/>
  <c r="H782" i="1" a="1"/>
  <c r="H782" i="1" s="1"/>
  <c r="C782" i="1"/>
  <c r="B782" i="1"/>
  <c r="H781" i="1" a="1"/>
  <c r="H781" i="1" s="1"/>
  <c r="C781" i="1"/>
  <c r="B781" i="1"/>
  <c r="H780" i="1" a="1"/>
  <c r="H780" i="1" s="1"/>
  <c r="C780" i="1"/>
  <c r="B780" i="1"/>
  <c r="H779" i="1" a="1"/>
  <c r="H779" i="1" s="1"/>
  <c r="C779" i="1"/>
  <c r="B779" i="1"/>
  <c r="H778" i="1" a="1"/>
  <c r="H778" i="1" s="1"/>
  <c r="C778" i="1"/>
  <c r="B778" i="1"/>
  <c r="H777" i="1" a="1"/>
  <c r="C777" i="1"/>
  <c r="B777" i="1"/>
  <c r="H776" i="1" a="1"/>
  <c r="H776" i="1" s="1"/>
  <c r="C776" i="1"/>
  <c r="B776" i="1"/>
  <c r="H775" i="1" a="1"/>
  <c r="H775" i="1" s="1"/>
  <c r="C775" i="1"/>
  <c r="B775" i="1"/>
  <c r="H774" i="1" a="1"/>
  <c r="H774" i="1" s="1"/>
  <c r="C774" i="1"/>
  <c r="B774" i="1"/>
  <c r="H773" i="1" a="1"/>
  <c r="H773" i="1" s="1"/>
  <c r="C773" i="1"/>
  <c r="B773" i="1"/>
  <c r="H772" i="1" a="1"/>
  <c r="H772" i="1" s="1"/>
  <c r="C772" i="1"/>
  <c r="B772" i="1"/>
  <c r="H771" i="1" a="1"/>
  <c r="H771" i="1" s="1"/>
  <c r="C771" i="1"/>
  <c r="B771" i="1"/>
  <c r="H770" i="1" a="1"/>
  <c r="H770" i="1" s="1"/>
  <c r="C770" i="1"/>
  <c r="B770" i="1"/>
  <c r="H769" i="1" a="1"/>
  <c r="H769" i="1" s="1"/>
  <c r="C769" i="1"/>
  <c r="B769" i="1"/>
  <c r="H768" i="1" a="1"/>
  <c r="H768" i="1" s="1"/>
  <c r="C768" i="1"/>
  <c r="B768" i="1"/>
  <c r="H767" i="1" a="1"/>
  <c r="H767" i="1" s="1"/>
  <c r="C767" i="1"/>
  <c r="B767" i="1"/>
  <c r="H766" i="1" a="1"/>
  <c r="H766" i="1" s="1"/>
  <c r="C766" i="1"/>
  <c r="B766" i="1"/>
  <c r="H765" i="1" a="1"/>
  <c r="C765" i="1"/>
  <c r="B765" i="1"/>
  <c r="H764" i="1" a="1"/>
  <c r="H764" i="1" s="1"/>
  <c r="C764" i="1"/>
  <c r="B764" i="1"/>
  <c r="H763" i="1" a="1"/>
  <c r="H763" i="1" s="1"/>
  <c r="C763" i="1"/>
  <c r="B763" i="1"/>
  <c r="H762" i="1" a="1"/>
  <c r="H762" i="1" s="1"/>
  <c r="C762" i="1"/>
  <c r="B762" i="1"/>
  <c r="H761" i="1" a="1"/>
  <c r="H761" i="1" s="1"/>
  <c r="C761" i="1"/>
  <c r="B761" i="1"/>
  <c r="H760" i="1" a="1"/>
  <c r="H760" i="1" s="1"/>
  <c r="C760" i="1"/>
  <c r="B760" i="1"/>
  <c r="H759" i="1" a="1"/>
  <c r="H759" i="1" s="1"/>
  <c r="C759" i="1"/>
  <c r="B759" i="1"/>
  <c r="H758" i="1" a="1"/>
  <c r="H758" i="1" s="1"/>
  <c r="C758" i="1"/>
  <c r="B758" i="1"/>
  <c r="H757" i="1" a="1"/>
  <c r="H757" i="1" s="1"/>
  <c r="C757" i="1"/>
  <c r="B757" i="1"/>
  <c r="H756" i="1" a="1"/>
  <c r="H756" i="1" s="1"/>
  <c r="C756" i="1"/>
  <c r="B756" i="1"/>
  <c r="H755" i="1" a="1"/>
  <c r="H755" i="1" s="1"/>
  <c r="C755" i="1"/>
  <c r="B755" i="1"/>
  <c r="H754" i="1" a="1"/>
  <c r="H754" i="1" s="1"/>
  <c r="C754" i="1"/>
  <c r="B754" i="1"/>
  <c r="H753" i="1" a="1"/>
  <c r="H753" i="1" s="1"/>
  <c r="C753" i="1"/>
  <c r="B753" i="1"/>
  <c r="H752" i="1" a="1"/>
  <c r="H752" i="1" s="1"/>
  <c r="C752" i="1"/>
  <c r="B752" i="1"/>
  <c r="H751" i="1" a="1"/>
  <c r="H751" i="1" s="1"/>
  <c r="C751" i="1"/>
  <c r="B751" i="1"/>
  <c r="H750" i="1" a="1"/>
  <c r="H750" i="1" s="1"/>
  <c r="C750" i="1"/>
  <c r="B750" i="1"/>
  <c r="H749" i="1" a="1"/>
  <c r="H749" i="1" s="1"/>
  <c r="C749" i="1"/>
  <c r="B749" i="1"/>
  <c r="H748" i="1" a="1"/>
  <c r="H748" i="1" s="1"/>
  <c r="C748" i="1"/>
  <c r="B748" i="1"/>
  <c r="H747" i="1" a="1"/>
  <c r="H747" i="1" s="1"/>
  <c r="C747" i="1"/>
  <c r="B747" i="1"/>
  <c r="H746" i="1" a="1"/>
  <c r="H746" i="1" s="1"/>
  <c r="C746" i="1"/>
  <c r="B746" i="1"/>
  <c r="H745" i="1" a="1"/>
  <c r="H745" i="1" s="1"/>
  <c r="C745" i="1"/>
  <c r="B745" i="1"/>
  <c r="H744" i="1" a="1"/>
  <c r="H744" i="1" s="1"/>
  <c r="C744" i="1"/>
  <c r="B744" i="1"/>
  <c r="H743" i="1" a="1"/>
  <c r="H743" i="1" s="1"/>
  <c r="C743" i="1"/>
  <c r="B743" i="1"/>
  <c r="H742" i="1" a="1"/>
  <c r="H742" i="1" s="1"/>
  <c r="C742" i="1"/>
  <c r="B742" i="1"/>
  <c r="H741" i="1" a="1"/>
  <c r="H741" i="1" s="1"/>
  <c r="C741" i="1"/>
  <c r="B741" i="1"/>
  <c r="H740" i="1" a="1"/>
  <c r="H740" i="1" s="1"/>
  <c r="C740" i="1"/>
  <c r="B740" i="1"/>
  <c r="H739" i="1" a="1"/>
  <c r="H739" i="1" s="1"/>
  <c r="C739" i="1"/>
  <c r="B739" i="1"/>
  <c r="H738" i="1" a="1"/>
  <c r="H738" i="1" s="1"/>
  <c r="C738" i="1"/>
  <c r="B738" i="1"/>
  <c r="H737" i="1" a="1"/>
  <c r="H737" i="1" s="1"/>
  <c r="C737" i="1"/>
  <c r="B737" i="1"/>
  <c r="H736" i="1" a="1"/>
  <c r="H736" i="1" s="1"/>
  <c r="C736" i="1"/>
  <c r="B736" i="1"/>
  <c r="H735" i="1" a="1"/>
  <c r="H735" i="1" s="1"/>
  <c r="C735" i="1"/>
  <c r="B735" i="1"/>
  <c r="H734" i="1" a="1"/>
  <c r="H734" i="1" s="1"/>
  <c r="C734" i="1"/>
  <c r="B734" i="1"/>
  <c r="H733" i="1" a="1"/>
  <c r="H733" i="1" s="1"/>
  <c r="C733" i="1"/>
  <c r="B733" i="1"/>
  <c r="H732" i="1" a="1"/>
  <c r="H732" i="1" s="1"/>
  <c r="C732" i="1"/>
  <c r="B732" i="1"/>
  <c r="H731" i="1" a="1"/>
  <c r="H731" i="1" s="1"/>
  <c r="C731" i="1"/>
  <c r="B731" i="1"/>
  <c r="H730" i="1" a="1"/>
  <c r="H730" i="1" s="1"/>
  <c r="C730" i="1"/>
  <c r="B730" i="1"/>
  <c r="H729" i="1" a="1"/>
  <c r="H729" i="1" s="1"/>
  <c r="C729" i="1"/>
  <c r="B729" i="1"/>
  <c r="H728" i="1" a="1"/>
  <c r="H728" i="1" s="1"/>
  <c r="C728" i="1"/>
  <c r="B728" i="1"/>
  <c r="H727" i="1" a="1"/>
  <c r="H727" i="1" s="1"/>
  <c r="C727" i="1"/>
  <c r="B727" i="1"/>
  <c r="H726" i="1" a="1"/>
  <c r="H726" i="1" s="1"/>
  <c r="C726" i="1"/>
  <c r="B726" i="1"/>
  <c r="H725" i="1" a="1"/>
  <c r="H725" i="1" s="1"/>
  <c r="C725" i="1"/>
  <c r="B725" i="1"/>
  <c r="H724" i="1" a="1"/>
  <c r="H724" i="1" s="1"/>
  <c r="C724" i="1"/>
  <c r="B724" i="1"/>
  <c r="H723" i="1" a="1"/>
  <c r="H723" i="1" s="1"/>
  <c r="C723" i="1"/>
  <c r="B723" i="1"/>
  <c r="H722" i="1" a="1"/>
  <c r="H722" i="1" s="1"/>
  <c r="C722" i="1"/>
  <c r="B722" i="1"/>
  <c r="H721" i="1" a="1"/>
  <c r="H721" i="1" s="1"/>
  <c r="C721" i="1"/>
  <c r="B721" i="1"/>
  <c r="H720" i="1" a="1"/>
  <c r="H720" i="1" s="1"/>
  <c r="C720" i="1"/>
  <c r="B720" i="1"/>
  <c r="H719" i="1" a="1"/>
  <c r="H719" i="1" s="1"/>
  <c r="C719" i="1"/>
  <c r="B719" i="1"/>
  <c r="H718" i="1" a="1"/>
  <c r="H718" i="1" s="1"/>
  <c r="C718" i="1"/>
  <c r="B718" i="1"/>
  <c r="H717" i="1" a="1"/>
  <c r="H717" i="1" s="1"/>
  <c r="C717" i="1"/>
  <c r="B717" i="1"/>
  <c r="H716" i="1" a="1"/>
  <c r="H716" i="1" s="1"/>
  <c r="C716" i="1"/>
  <c r="B716" i="1"/>
  <c r="H715" i="1" a="1"/>
  <c r="H715" i="1" s="1"/>
  <c r="C715" i="1"/>
  <c r="B715" i="1"/>
  <c r="H714" i="1" a="1"/>
  <c r="H714" i="1" s="1"/>
  <c r="C714" i="1"/>
  <c r="B714" i="1"/>
  <c r="H713" i="1" a="1"/>
  <c r="H713" i="1" s="1"/>
  <c r="C713" i="1"/>
  <c r="B713" i="1"/>
  <c r="H712" i="1" a="1"/>
  <c r="H712" i="1" s="1"/>
  <c r="C712" i="1"/>
  <c r="B712" i="1"/>
  <c r="H711" i="1" a="1"/>
  <c r="H711" i="1" s="1"/>
  <c r="C711" i="1"/>
  <c r="B711" i="1"/>
  <c r="H710" i="1" a="1"/>
  <c r="H710" i="1" s="1"/>
  <c r="C710" i="1"/>
  <c r="B710" i="1"/>
  <c r="H709" i="1" a="1"/>
  <c r="H709" i="1" s="1"/>
  <c r="C709" i="1"/>
  <c r="B709" i="1"/>
  <c r="H708" i="1" a="1"/>
  <c r="H708" i="1" s="1"/>
  <c r="C708" i="1"/>
  <c r="B708" i="1"/>
  <c r="H707" i="1" a="1"/>
  <c r="H707" i="1" s="1"/>
  <c r="C707" i="1"/>
  <c r="B707" i="1"/>
  <c r="H706" i="1" a="1"/>
  <c r="H706" i="1" s="1"/>
  <c r="C706" i="1"/>
  <c r="B706" i="1"/>
  <c r="H705" i="1" a="1"/>
  <c r="H705" i="1" s="1"/>
  <c r="C705" i="1"/>
  <c r="B705" i="1"/>
  <c r="H704" i="1" a="1"/>
  <c r="H704" i="1" s="1"/>
  <c r="C704" i="1"/>
  <c r="B704" i="1"/>
  <c r="H703" i="1" a="1"/>
  <c r="H703" i="1" s="1"/>
  <c r="C703" i="1"/>
  <c r="B703" i="1"/>
  <c r="H702" i="1" a="1"/>
  <c r="H702" i="1" s="1"/>
  <c r="C702" i="1"/>
  <c r="B702" i="1"/>
  <c r="H701" i="1" a="1"/>
  <c r="H701" i="1" s="1"/>
  <c r="C701" i="1"/>
  <c r="B701" i="1"/>
  <c r="H700" i="1" a="1"/>
  <c r="H700" i="1" s="1"/>
  <c r="C700" i="1"/>
  <c r="B700" i="1"/>
  <c r="H699" i="1" a="1"/>
  <c r="H699" i="1" s="1"/>
  <c r="C699" i="1"/>
  <c r="B699" i="1"/>
  <c r="H698" i="1" a="1"/>
  <c r="H698" i="1" s="1"/>
  <c r="C698" i="1"/>
  <c r="B698" i="1"/>
  <c r="H697" i="1" a="1"/>
  <c r="H697" i="1" s="1"/>
  <c r="C697" i="1"/>
  <c r="B697" i="1"/>
  <c r="H696" i="1" a="1"/>
  <c r="H696" i="1" s="1"/>
  <c r="C696" i="1"/>
  <c r="B696" i="1"/>
  <c r="H695" i="1" a="1"/>
  <c r="H695" i="1" s="1"/>
  <c r="C695" i="1"/>
  <c r="B695" i="1"/>
  <c r="H694" i="1" a="1"/>
  <c r="H694" i="1" s="1"/>
  <c r="C694" i="1"/>
  <c r="B694" i="1"/>
  <c r="H693" i="1" a="1"/>
  <c r="H693" i="1" s="1"/>
  <c r="C693" i="1"/>
  <c r="B693" i="1"/>
  <c r="H692" i="1" a="1"/>
  <c r="H692" i="1" s="1"/>
  <c r="C692" i="1"/>
  <c r="B692" i="1"/>
  <c r="H691" i="1" a="1"/>
  <c r="H691" i="1" s="1"/>
  <c r="C691" i="1"/>
  <c r="B691" i="1"/>
  <c r="H690" i="1" a="1"/>
  <c r="H690" i="1" s="1"/>
  <c r="C690" i="1"/>
  <c r="B690" i="1"/>
  <c r="H689" i="1" a="1"/>
  <c r="H689" i="1" s="1"/>
  <c r="C689" i="1"/>
  <c r="B689" i="1"/>
  <c r="H688" i="1" a="1"/>
  <c r="H688" i="1" s="1"/>
  <c r="C688" i="1"/>
  <c r="B688" i="1"/>
  <c r="H687" i="1" a="1"/>
  <c r="H687" i="1" s="1"/>
  <c r="C687" i="1"/>
  <c r="B687" i="1"/>
  <c r="H686" i="1" a="1"/>
  <c r="H686" i="1" s="1"/>
  <c r="C686" i="1"/>
  <c r="B686" i="1"/>
  <c r="H685" i="1" a="1"/>
  <c r="H685" i="1" s="1"/>
  <c r="C685" i="1"/>
  <c r="B685" i="1"/>
  <c r="H684" i="1" a="1"/>
  <c r="H684" i="1" s="1"/>
  <c r="C684" i="1"/>
  <c r="B684" i="1"/>
  <c r="H683" i="1" a="1"/>
  <c r="H683" i="1" s="1"/>
  <c r="C683" i="1"/>
  <c r="B683" i="1"/>
  <c r="H682" i="1" a="1"/>
  <c r="H682" i="1" s="1"/>
  <c r="C682" i="1"/>
  <c r="B682" i="1"/>
  <c r="H681" i="1" a="1"/>
  <c r="H681" i="1" s="1"/>
  <c r="C681" i="1"/>
  <c r="B681" i="1"/>
  <c r="H680" i="1" a="1"/>
  <c r="H680" i="1" s="1"/>
  <c r="C680" i="1"/>
  <c r="B680" i="1"/>
  <c r="H679" i="1" a="1"/>
  <c r="H679" i="1" s="1"/>
  <c r="C679" i="1"/>
  <c r="B679" i="1"/>
  <c r="H678" i="1" a="1"/>
  <c r="H678" i="1" s="1"/>
  <c r="C678" i="1"/>
  <c r="B678" i="1"/>
  <c r="H677" i="1" a="1"/>
  <c r="H677" i="1" s="1"/>
  <c r="C677" i="1"/>
  <c r="B677" i="1"/>
  <c r="H676" i="1" a="1"/>
  <c r="H676" i="1" s="1"/>
  <c r="C676" i="1"/>
  <c r="B676" i="1"/>
  <c r="H675" i="1" a="1"/>
  <c r="H675" i="1" s="1"/>
  <c r="C675" i="1"/>
  <c r="B675" i="1"/>
  <c r="H674" i="1" a="1"/>
  <c r="H674" i="1" s="1"/>
  <c r="C674" i="1"/>
  <c r="B674" i="1"/>
  <c r="H673" i="1" a="1"/>
  <c r="H673" i="1" s="1"/>
  <c r="C673" i="1"/>
  <c r="B673" i="1"/>
  <c r="H672" i="1" a="1"/>
  <c r="H672" i="1" s="1"/>
  <c r="C672" i="1"/>
  <c r="B672" i="1"/>
  <c r="H671" i="1" a="1"/>
  <c r="H671" i="1" s="1"/>
  <c r="C671" i="1"/>
  <c r="B671" i="1"/>
  <c r="H670" i="1" a="1"/>
  <c r="H670" i="1" s="1"/>
  <c r="C670" i="1"/>
  <c r="B670" i="1"/>
  <c r="H669" i="1" a="1"/>
  <c r="H669" i="1" s="1"/>
  <c r="C669" i="1"/>
  <c r="B669" i="1"/>
  <c r="H668" i="1" a="1"/>
  <c r="H668" i="1" s="1"/>
  <c r="C668" i="1"/>
  <c r="B668" i="1"/>
  <c r="H667" i="1" a="1"/>
  <c r="H667" i="1" s="1"/>
  <c r="C667" i="1"/>
  <c r="B667" i="1"/>
  <c r="H666" i="1" a="1"/>
  <c r="H666" i="1" s="1"/>
  <c r="C666" i="1"/>
  <c r="B666" i="1"/>
  <c r="H665" i="1" a="1"/>
  <c r="H665" i="1" s="1"/>
  <c r="C665" i="1"/>
  <c r="B665" i="1"/>
  <c r="H664" i="1" a="1"/>
  <c r="H664" i="1" s="1"/>
  <c r="C664" i="1"/>
  <c r="B664" i="1"/>
  <c r="H663" i="1" a="1"/>
  <c r="H663" i="1" s="1"/>
  <c r="C663" i="1"/>
  <c r="B663" i="1"/>
  <c r="H662" i="1" a="1"/>
  <c r="H662" i="1" s="1"/>
  <c r="C662" i="1"/>
  <c r="B662" i="1"/>
  <c r="H661" i="1" a="1"/>
  <c r="H661" i="1" s="1"/>
  <c r="C661" i="1"/>
  <c r="B661" i="1"/>
  <c r="H660" i="1" a="1"/>
  <c r="H660" i="1" s="1"/>
  <c r="C660" i="1"/>
  <c r="B660" i="1"/>
  <c r="H659" i="1" a="1"/>
  <c r="H659" i="1" s="1"/>
  <c r="C659" i="1"/>
  <c r="B659" i="1"/>
  <c r="H658" i="1" a="1"/>
  <c r="H658" i="1" s="1"/>
  <c r="C658" i="1"/>
  <c r="B658" i="1"/>
  <c r="H657" i="1" a="1"/>
  <c r="H657" i="1" s="1"/>
  <c r="C657" i="1"/>
  <c r="B657" i="1"/>
  <c r="H656" i="1" a="1"/>
  <c r="H656" i="1" s="1"/>
  <c r="C656" i="1"/>
  <c r="B656" i="1"/>
  <c r="H655" i="1" a="1"/>
  <c r="H655" i="1" s="1"/>
  <c r="C655" i="1"/>
  <c r="B655" i="1"/>
  <c r="H654" i="1" a="1"/>
  <c r="H654" i="1" s="1"/>
  <c r="C654" i="1"/>
  <c r="B654" i="1"/>
  <c r="H653" i="1" a="1"/>
  <c r="H653" i="1" s="1"/>
  <c r="C653" i="1"/>
  <c r="B653" i="1"/>
  <c r="H652" i="1" a="1"/>
  <c r="H652" i="1" s="1"/>
  <c r="C652" i="1"/>
  <c r="B652" i="1"/>
  <c r="H651" i="1" a="1"/>
  <c r="H651" i="1" s="1"/>
  <c r="C651" i="1"/>
  <c r="B651" i="1"/>
  <c r="H650" i="1" a="1"/>
  <c r="H650" i="1" s="1"/>
  <c r="C650" i="1"/>
  <c r="B650" i="1"/>
  <c r="H649" i="1" a="1"/>
  <c r="H649" i="1" s="1"/>
  <c r="C649" i="1"/>
  <c r="B649" i="1"/>
  <c r="H648" i="1" a="1"/>
  <c r="H648" i="1" s="1"/>
  <c r="C648" i="1"/>
  <c r="B648" i="1"/>
  <c r="H647" i="1" a="1"/>
  <c r="H647" i="1" s="1"/>
  <c r="C647" i="1"/>
  <c r="B647" i="1"/>
  <c r="H646" i="1" a="1"/>
  <c r="H646" i="1" s="1"/>
  <c r="C646" i="1"/>
  <c r="B646" i="1"/>
  <c r="H645" i="1" a="1"/>
  <c r="H645" i="1" s="1"/>
  <c r="C645" i="1"/>
  <c r="B645" i="1"/>
  <c r="H644" i="1" a="1"/>
  <c r="H644" i="1" s="1"/>
  <c r="C644" i="1"/>
  <c r="B644" i="1"/>
  <c r="H643" i="1" a="1"/>
  <c r="H643" i="1" s="1"/>
  <c r="C643" i="1"/>
  <c r="B643" i="1"/>
  <c r="H642" i="1" a="1"/>
  <c r="H642" i="1" s="1"/>
  <c r="C642" i="1"/>
  <c r="B642" i="1"/>
  <c r="H641" i="1" a="1"/>
  <c r="H641" i="1" s="1"/>
  <c r="C641" i="1"/>
  <c r="B641" i="1"/>
  <c r="H640" i="1" a="1"/>
  <c r="H640" i="1" s="1"/>
  <c r="C640" i="1"/>
  <c r="B640" i="1"/>
  <c r="H639" i="1" a="1"/>
  <c r="H639" i="1" s="1"/>
  <c r="C639" i="1"/>
  <c r="B639" i="1"/>
  <c r="H638" i="1" a="1"/>
  <c r="H638" i="1" s="1"/>
  <c r="C638" i="1"/>
  <c r="B638" i="1"/>
  <c r="H637" i="1" a="1"/>
  <c r="H637" i="1" s="1"/>
  <c r="C637" i="1"/>
  <c r="B637" i="1"/>
  <c r="H636" i="1" a="1"/>
  <c r="H636" i="1" s="1"/>
  <c r="C636" i="1"/>
  <c r="B636" i="1"/>
  <c r="H635" i="1" a="1"/>
  <c r="H635" i="1" s="1"/>
  <c r="C635" i="1"/>
  <c r="B635" i="1"/>
  <c r="H634" i="1" a="1"/>
  <c r="H634" i="1" s="1"/>
  <c r="C634" i="1"/>
  <c r="B634" i="1"/>
  <c r="H633" i="1" a="1"/>
  <c r="H633" i="1" s="1"/>
  <c r="C633" i="1"/>
  <c r="B633" i="1"/>
  <c r="H632" i="1" a="1"/>
  <c r="H632" i="1" s="1"/>
  <c r="C632" i="1"/>
  <c r="B632" i="1"/>
  <c r="H631" i="1" a="1"/>
  <c r="H631" i="1" s="1"/>
  <c r="C631" i="1"/>
  <c r="B631" i="1"/>
  <c r="H630" i="1" a="1"/>
  <c r="H630" i="1" s="1"/>
  <c r="C630" i="1"/>
  <c r="B630" i="1"/>
  <c r="H629" i="1" a="1"/>
  <c r="H629" i="1" s="1"/>
  <c r="C629" i="1"/>
  <c r="B629" i="1"/>
  <c r="H628" i="1" a="1"/>
  <c r="H628" i="1" s="1"/>
  <c r="C628" i="1"/>
  <c r="B628" i="1"/>
  <c r="H627" i="1" a="1"/>
  <c r="H627" i="1" s="1"/>
  <c r="C627" i="1"/>
  <c r="B627" i="1"/>
  <c r="H626" i="1" a="1"/>
  <c r="H626" i="1" s="1"/>
  <c r="C626" i="1"/>
  <c r="B626" i="1"/>
  <c r="H625" i="1" a="1"/>
  <c r="H625" i="1" s="1"/>
  <c r="C625" i="1"/>
  <c r="B625" i="1"/>
  <c r="H624" i="1" a="1"/>
  <c r="H624" i="1" s="1"/>
  <c r="C624" i="1"/>
  <c r="B624" i="1"/>
  <c r="H623" i="1" a="1"/>
  <c r="H623" i="1" s="1"/>
  <c r="C623" i="1"/>
  <c r="B623" i="1"/>
  <c r="H622" i="1" a="1"/>
  <c r="H622" i="1" s="1"/>
  <c r="C622" i="1"/>
  <c r="B622" i="1"/>
  <c r="H621" i="1" a="1"/>
  <c r="H621" i="1" s="1"/>
  <c r="C621" i="1"/>
  <c r="B621" i="1"/>
  <c r="H620" i="1" a="1"/>
  <c r="H620" i="1" s="1"/>
  <c r="C620" i="1"/>
  <c r="B620" i="1"/>
  <c r="H619" i="1" a="1"/>
  <c r="H619" i="1" s="1"/>
  <c r="C619" i="1"/>
  <c r="B619" i="1"/>
  <c r="H618" i="1" a="1"/>
  <c r="H618" i="1" s="1"/>
  <c r="C618" i="1"/>
  <c r="B618" i="1"/>
  <c r="H617" i="1" a="1"/>
  <c r="H617" i="1" s="1"/>
  <c r="C617" i="1"/>
  <c r="B617" i="1"/>
  <c r="H616" i="1" a="1"/>
  <c r="H616" i="1" s="1"/>
  <c r="C616" i="1"/>
  <c r="B616" i="1"/>
  <c r="H615" i="1" a="1"/>
  <c r="H615" i="1" s="1"/>
  <c r="C615" i="1"/>
  <c r="B615" i="1"/>
  <c r="H614" i="1" a="1"/>
  <c r="H614" i="1" s="1"/>
  <c r="C614" i="1"/>
  <c r="B614" i="1"/>
  <c r="H613" i="1" a="1"/>
  <c r="H613" i="1" s="1"/>
  <c r="C613" i="1"/>
  <c r="B613" i="1"/>
  <c r="H612" i="1" a="1"/>
  <c r="H612" i="1" s="1"/>
  <c r="C612" i="1"/>
  <c r="B612" i="1"/>
  <c r="H611" i="1" a="1"/>
  <c r="H611" i="1" s="1"/>
  <c r="C611" i="1"/>
  <c r="B611" i="1"/>
  <c r="H610" i="1" a="1"/>
  <c r="H610" i="1" s="1"/>
  <c r="C610" i="1"/>
  <c r="B610" i="1"/>
  <c r="H609" i="1" a="1"/>
  <c r="H609" i="1" s="1"/>
  <c r="C609" i="1"/>
  <c r="B609" i="1"/>
  <c r="H608" i="1" a="1"/>
  <c r="H608" i="1" s="1"/>
  <c r="C608" i="1"/>
  <c r="B608" i="1"/>
  <c r="H607" i="1" a="1"/>
  <c r="H607" i="1" s="1"/>
  <c r="C607" i="1"/>
  <c r="B607" i="1"/>
  <c r="H606" i="1" a="1"/>
  <c r="H606" i="1" s="1"/>
  <c r="C606" i="1"/>
  <c r="B606" i="1"/>
  <c r="H605" i="1" a="1"/>
  <c r="H605" i="1" s="1"/>
  <c r="C605" i="1"/>
  <c r="B605" i="1"/>
  <c r="H604" i="1" a="1"/>
  <c r="H604" i="1" s="1"/>
  <c r="C604" i="1"/>
  <c r="B604" i="1"/>
  <c r="H603" i="1" a="1"/>
  <c r="H603" i="1" s="1"/>
  <c r="C603" i="1"/>
  <c r="B603" i="1"/>
  <c r="H602" i="1" a="1"/>
  <c r="H602" i="1" s="1"/>
  <c r="C602" i="1"/>
  <c r="B602" i="1"/>
  <c r="H601" i="1" a="1"/>
  <c r="H601" i="1" s="1"/>
  <c r="C601" i="1"/>
  <c r="B601" i="1"/>
  <c r="H600" i="1" a="1"/>
  <c r="H600" i="1" s="1"/>
  <c r="C600" i="1"/>
  <c r="B600" i="1"/>
  <c r="H599" i="1" a="1"/>
  <c r="H599" i="1" s="1"/>
  <c r="C599" i="1"/>
  <c r="B599" i="1"/>
  <c r="H598" i="1" a="1"/>
  <c r="H598" i="1" s="1"/>
  <c r="C598" i="1"/>
  <c r="B598" i="1"/>
  <c r="H597" i="1" a="1"/>
  <c r="H597" i="1" s="1"/>
  <c r="C597" i="1"/>
  <c r="B597" i="1"/>
  <c r="H596" i="1" a="1"/>
  <c r="H596" i="1" s="1"/>
  <c r="C596" i="1"/>
  <c r="B596" i="1"/>
  <c r="H595" i="1" a="1"/>
  <c r="H595" i="1" s="1"/>
  <c r="C595" i="1"/>
  <c r="B595" i="1"/>
  <c r="H594" i="1" a="1"/>
  <c r="H594" i="1" s="1"/>
  <c r="C594" i="1"/>
  <c r="B594" i="1"/>
  <c r="H593" i="1" a="1"/>
  <c r="H593" i="1" s="1"/>
  <c r="C593" i="1"/>
  <c r="B593" i="1"/>
  <c r="H592" i="1" a="1"/>
  <c r="H592" i="1" s="1"/>
  <c r="C592" i="1"/>
  <c r="B592" i="1"/>
  <c r="H591" i="1" a="1"/>
  <c r="H591" i="1" s="1"/>
  <c r="C591" i="1"/>
  <c r="B591" i="1"/>
  <c r="H590" i="1" a="1"/>
  <c r="H590" i="1" s="1"/>
  <c r="C590" i="1"/>
  <c r="B590" i="1"/>
  <c r="H589" i="1" a="1"/>
  <c r="H589" i="1" s="1"/>
  <c r="C589" i="1"/>
  <c r="B589" i="1"/>
  <c r="H588" i="1" a="1"/>
  <c r="H588" i="1" s="1"/>
  <c r="C588" i="1"/>
  <c r="B588" i="1"/>
  <c r="H587" i="1" a="1"/>
  <c r="H587" i="1" s="1"/>
  <c r="C587" i="1"/>
  <c r="B587" i="1"/>
  <c r="H586" i="1" a="1"/>
  <c r="H586" i="1" s="1"/>
  <c r="C586" i="1"/>
  <c r="B586" i="1"/>
  <c r="H585" i="1" a="1"/>
  <c r="H585" i="1" s="1"/>
  <c r="C585" i="1"/>
  <c r="B585" i="1"/>
  <c r="H584" i="1" a="1"/>
  <c r="H584" i="1" s="1"/>
  <c r="C584" i="1"/>
  <c r="B584" i="1"/>
  <c r="H583" i="1" a="1"/>
  <c r="H583" i="1" s="1"/>
  <c r="C583" i="1"/>
  <c r="B583" i="1"/>
  <c r="H582" i="1" a="1"/>
  <c r="H582" i="1" s="1"/>
  <c r="C582" i="1"/>
  <c r="B582" i="1"/>
  <c r="H581" i="1" a="1"/>
  <c r="H581" i="1" s="1"/>
  <c r="C581" i="1"/>
  <c r="B581" i="1"/>
  <c r="H580" i="1" a="1"/>
  <c r="H580" i="1" s="1"/>
  <c r="C580" i="1"/>
  <c r="B580" i="1"/>
  <c r="H579" i="1" a="1"/>
  <c r="H579" i="1" s="1"/>
  <c r="C579" i="1"/>
  <c r="B579" i="1"/>
  <c r="H578" i="1" a="1"/>
  <c r="H578" i="1" s="1"/>
  <c r="C578" i="1"/>
  <c r="B578" i="1"/>
  <c r="H577" i="1" a="1"/>
  <c r="H577" i="1" s="1"/>
  <c r="C577" i="1"/>
  <c r="B577" i="1"/>
  <c r="H576" i="1" a="1"/>
  <c r="H576" i="1" s="1"/>
  <c r="C576" i="1"/>
  <c r="B576" i="1"/>
  <c r="H575" i="1" a="1"/>
  <c r="H575" i="1" s="1"/>
  <c r="C575" i="1"/>
  <c r="B575" i="1"/>
  <c r="H574" i="1" a="1"/>
  <c r="H574" i="1" s="1"/>
  <c r="C574" i="1"/>
  <c r="B574" i="1"/>
  <c r="H573" i="1" a="1"/>
  <c r="H573" i="1" s="1"/>
  <c r="C573" i="1"/>
  <c r="B573" i="1"/>
  <c r="H572" i="1" a="1"/>
  <c r="H572" i="1" s="1"/>
  <c r="C572" i="1"/>
  <c r="B572" i="1"/>
  <c r="H571" i="1" a="1"/>
  <c r="H571" i="1" s="1"/>
  <c r="C571" i="1"/>
  <c r="B571" i="1"/>
  <c r="H570" i="1" a="1"/>
  <c r="H570" i="1" s="1"/>
  <c r="C570" i="1"/>
  <c r="B570" i="1"/>
  <c r="H569" i="1" a="1"/>
  <c r="H569" i="1" s="1"/>
  <c r="C569" i="1"/>
  <c r="B569" i="1"/>
  <c r="H568" i="1" a="1"/>
  <c r="H568" i="1" s="1"/>
  <c r="C568" i="1"/>
  <c r="B568" i="1"/>
  <c r="H567" i="1" a="1"/>
  <c r="H567" i="1" s="1"/>
  <c r="C567" i="1"/>
  <c r="B567" i="1"/>
  <c r="H566" i="1" a="1"/>
  <c r="H566" i="1" s="1"/>
  <c r="C566" i="1"/>
  <c r="B566" i="1"/>
  <c r="H565" i="1" a="1"/>
  <c r="H565" i="1" s="1"/>
  <c r="C565" i="1"/>
  <c r="B565" i="1"/>
  <c r="H564" i="1" a="1"/>
  <c r="H564" i="1" s="1"/>
  <c r="C564" i="1"/>
  <c r="B564" i="1"/>
  <c r="H563" i="1" a="1"/>
  <c r="H563" i="1" s="1"/>
  <c r="C563" i="1"/>
  <c r="B563" i="1"/>
  <c r="H562" i="1" a="1"/>
  <c r="H562" i="1" s="1"/>
  <c r="C562" i="1"/>
  <c r="B562" i="1"/>
  <c r="H561" i="1" a="1"/>
  <c r="H561" i="1" s="1"/>
  <c r="C561" i="1"/>
  <c r="B561" i="1"/>
  <c r="H560" i="1" a="1"/>
  <c r="H560" i="1" s="1"/>
  <c r="C560" i="1"/>
  <c r="B560" i="1"/>
  <c r="H559" i="1" a="1"/>
  <c r="H559" i="1" s="1"/>
  <c r="C559" i="1"/>
  <c r="B559" i="1"/>
  <c r="H558" i="1" a="1"/>
  <c r="H558" i="1" s="1"/>
  <c r="C558" i="1"/>
  <c r="B558" i="1"/>
  <c r="H557" i="1" a="1"/>
  <c r="H557" i="1" s="1"/>
  <c r="C557" i="1"/>
  <c r="B557" i="1"/>
  <c r="H556" i="1" a="1"/>
  <c r="H556" i="1" s="1"/>
  <c r="C556" i="1"/>
  <c r="B556" i="1"/>
  <c r="H555" i="1" a="1"/>
  <c r="H555" i="1" s="1"/>
  <c r="C555" i="1"/>
  <c r="B555" i="1"/>
  <c r="H554" i="1" a="1"/>
  <c r="H554" i="1" s="1"/>
  <c r="C554" i="1"/>
  <c r="B554" i="1"/>
  <c r="H553" i="1" a="1"/>
  <c r="H553" i="1" s="1"/>
  <c r="C553" i="1"/>
  <c r="B553" i="1"/>
  <c r="H552" i="1" a="1"/>
  <c r="H552" i="1" s="1"/>
  <c r="C552" i="1"/>
  <c r="B552" i="1"/>
  <c r="H551" i="1" a="1"/>
  <c r="H551" i="1" s="1"/>
  <c r="C551" i="1"/>
  <c r="B551" i="1"/>
  <c r="H550" i="1" a="1"/>
  <c r="H550" i="1" s="1"/>
  <c r="C550" i="1"/>
  <c r="B550" i="1"/>
  <c r="H549" i="1" a="1"/>
  <c r="H549" i="1" s="1"/>
  <c r="C549" i="1"/>
  <c r="B549" i="1"/>
  <c r="H548" i="1" a="1"/>
  <c r="H548" i="1" s="1"/>
  <c r="C548" i="1"/>
  <c r="B548" i="1"/>
  <c r="H547" i="1" a="1"/>
  <c r="H547" i="1" s="1"/>
  <c r="C547" i="1"/>
  <c r="B547" i="1"/>
  <c r="H546" i="1" a="1"/>
  <c r="H546" i="1" s="1"/>
  <c r="C546" i="1"/>
  <c r="B546" i="1"/>
  <c r="H545" i="1" a="1"/>
  <c r="H545" i="1" s="1"/>
  <c r="C545" i="1"/>
  <c r="B545" i="1"/>
  <c r="H544" i="1" a="1"/>
  <c r="H544" i="1" s="1"/>
  <c r="C544" i="1"/>
  <c r="B544" i="1"/>
  <c r="H543" i="1" a="1"/>
  <c r="H543" i="1" s="1"/>
  <c r="C543" i="1"/>
  <c r="B543" i="1"/>
  <c r="H542" i="1" a="1"/>
  <c r="H542" i="1" s="1"/>
  <c r="C542" i="1"/>
  <c r="B542" i="1"/>
  <c r="H541" i="1" a="1"/>
  <c r="H541" i="1" s="1"/>
  <c r="C541" i="1"/>
  <c r="B541" i="1"/>
  <c r="H540" i="1" a="1"/>
  <c r="H540" i="1" s="1"/>
  <c r="C540" i="1"/>
  <c r="B540" i="1"/>
  <c r="H539" i="1" a="1"/>
  <c r="H539" i="1" s="1"/>
  <c r="C539" i="1"/>
  <c r="B539" i="1"/>
  <c r="H538" i="1" a="1"/>
  <c r="H538" i="1" s="1"/>
  <c r="C538" i="1"/>
  <c r="B538" i="1"/>
  <c r="H537" i="1" a="1"/>
  <c r="H537" i="1" s="1"/>
  <c r="C537" i="1"/>
  <c r="B537" i="1"/>
  <c r="H536" i="1" a="1"/>
  <c r="H536" i="1" s="1"/>
  <c r="C536" i="1"/>
  <c r="B536" i="1"/>
  <c r="H535" i="1" a="1"/>
  <c r="H535" i="1" s="1"/>
  <c r="C535" i="1"/>
  <c r="B535" i="1"/>
  <c r="H534" i="1" a="1"/>
  <c r="H534" i="1" s="1"/>
  <c r="C534" i="1"/>
  <c r="B534" i="1"/>
  <c r="H533" i="1" a="1"/>
  <c r="H533" i="1" s="1"/>
  <c r="C533" i="1"/>
  <c r="B533" i="1"/>
  <c r="H532" i="1" a="1"/>
  <c r="H532" i="1" s="1"/>
  <c r="C532" i="1"/>
  <c r="B532" i="1"/>
  <c r="H531" i="1" a="1"/>
  <c r="H531" i="1" s="1"/>
  <c r="C531" i="1"/>
  <c r="B531" i="1"/>
  <c r="H530" i="1" a="1"/>
  <c r="H530" i="1" s="1"/>
  <c r="C530" i="1"/>
  <c r="B530" i="1"/>
  <c r="H529" i="1" a="1"/>
  <c r="H529" i="1" s="1"/>
  <c r="C529" i="1"/>
  <c r="B529" i="1"/>
  <c r="H528" i="1" a="1"/>
  <c r="H528" i="1" s="1"/>
  <c r="C528" i="1"/>
  <c r="B528" i="1"/>
  <c r="H527" i="1" a="1"/>
  <c r="H527" i="1" s="1"/>
  <c r="C527" i="1"/>
  <c r="B527" i="1"/>
  <c r="H526" i="1" a="1"/>
  <c r="H526" i="1" s="1"/>
  <c r="C526" i="1"/>
  <c r="B526" i="1"/>
  <c r="H525" i="1" a="1"/>
  <c r="H525" i="1" s="1"/>
  <c r="C525" i="1"/>
  <c r="B525" i="1"/>
  <c r="H524" i="1" a="1"/>
  <c r="H524" i="1" s="1"/>
  <c r="C524" i="1"/>
  <c r="B524" i="1"/>
  <c r="H523" i="1" a="1"/>
  <c r="H523" i="1" s="1"/>
  <c r="C523" i="1"/>
  <c r="B523" i="1"/>
  <c r="H522" i="1" a="1"/>
  <c r="H522" i="1" s="1"/>
  <c r="C522" i="1"/>
  <c r="B522" i="1"/>
  <c r="H521" i="1" a="1"/>
  <c r="H521" i="1" s="1"/>
  <c r="C521" i="1"/>
  <c r="B521" i="1"/>
  <c r="H520" i="1" a="1"/>
  <c r="H520" i="1" s="1"/>
  <c r="C520" i="1"/>
  <c r="B520" i="1"/>
  <c r="H519" i="1" a="1"/>
  <c r="H519" i="1" s="1"/>
  <c r="C519" i="1"/>
  <c r="B519" i="1"/>
  <c r="H518" i="1" a="1"/>
  <c r="H518" i="1" s="1"/>
  <c r="C518" i="1"/>
  <c r="B518" i="1"/>
  <c r="H517" i="1" a="1"/>
  <c r="H517" i="1" s="1"/>
  <c r="C517" i="1"/>
  <c r="B517" i="1"/>
  <c r="H516" i="1" a="1"/>
  <c r="H516" i="1" s="1"/>
  <c r="C516" i="1"/>
  <c r="B516" i="1"/>
  <c r="H515" i="1" a="1"/>
  <c r="H515" i="1" s="1"/>
  <c r="C515" i="1"/>
  <c r="B515" i="1"/>
  <c r="H514" i="1" a="1"/>
  <c r="H514" i="1" s="1"/>
  <c r="C514" i="1"/>
  <c r="B514" i="1"/>
  <c r="H513" i="1" a="1"/>
  <c r="H513" i="1" s="1"/>
  <c r="C513" i="1"/>
  <c r="B513" i="1"/>
  <c r="H512" i="1" a="1"/>
  <c r="H512" i="1" s="1"/>
  <c r="C512" i="1"/>
  <c r="B512" i="1"/>
  <c r="H511" i="1" a="1"/>
  <c r="H511" i="1" s="1"/>
  <c r="C511" i="1"/>
  <c r="B511" i="1"/>
  <c r="H510" i="1" a="1"/>
  <c r="H510" i="1" s="1"/>
  <c r="C510" i="1"/>
  <c r="B510" i="1"/>
  <c r="H509" i="1" a="1"/>
  <c r="H509" i="1" s="1"/>
  <c r="C509" i="1"/>
  <c r="B509" i="1"/>
  <c r="H508" i="1" a="1"/>
  <c r="H508" i="1" s="1"/>
  <c r="C508" i="1"/>
  <c r="B508" i="1"/>
  <c r="H507" i="1" a="1"/>
  <c r="H507" i="1" s="1"/>
  <c r="C507" i="1"/>
  <c r="B507" i="1"/>
  <c r="H506" i="1" a="1"/>
  <c r="H506" i="1" s="1"/>
  <c r="C506" i="1"/>
  <c r="B506" i="1"/>
  <c r="H505" i="1" a="1"/>
  <c r="H505" i="1" s="1"/>
  <c r="C505" i="1"/>
  <c r="B505" i="1"/>
  <c r="H504" i="1" a="1"/>
  <c r="H504" i="1" s="1"/>
  <c r="C504" i="1"/>
  <c r="B504" i="1"/>
  <c r="H503" i="1" a="1"/>
  <c r="H503" i="1" s="1"/>
  <c r="C503" i="1"/>
  <c r="B503" i="1"/>
  <c r="H502" i="1" a="1"/>
  <c r="H502" i="1" s="1"/>
  <c r="C502" i="1"/>
  <c r="B502" i="1"/>
  <c r="H501" i="1" a="1"/>
  <c r="H501" i="1" s="1"/>
  <c r="C501" i="1"/>
  <c r="B501" i="1"/>
  <c r="H500" i="1" a="1"/>
  <c r="H500" i="1" s="1"/>
  <c r="C500" i="1"/>
  <c r="B500" i="1"/>
  <c r="H499" i="1" a="1"/>
  <c r="H499" i="1" s="1"/>
  <c r="C499" i="1"/>
  <c r="B499" i="1"/>
  <c r="H498" i="1" a="1"/>
  <c r="H498" i="1" s="1"/>
  <c r="C498" i="1"/>
  <c r="B498" i="1"/>
  <c r="H497" i="1" a="1"/>
  <c r="H497" i="1" s="1"/>
  <c r="C497" i="1"/>
  <c r="B497" i="1"/>
  <c r="H496" i="1" a="1"/>
  <c r="H496" i="1" s="1"/>
  <c r="C496" i="1"/>
  <c r="B496" i="1"/>
  <c r="H495" i="1" a="1"/>
  <c r="H495" i="1" s="1"/>
  <c r="C495" i="1"/>
  <c r="B495" i="1"/>
  <c r="H494" i="1" a="1"/>
  <c r="H494" i="1" s="1"/>
  <c r="C494" i="1"/>
  <c r="B494" i="1"/>
  <c r="H493" i="1" a="1"/>
  <c r="H493" i="1" s="1"/>
  <c r="C493" i="1"/>
  <c r="B493" i="1"/>
  <c r="H492" i="1" a="1"/>
  <c r="H492" i="1" s="1"/>
  <c r="C492" i="1"/>
  <c r="B492" i="1"/>
  <c r="H491" i="1" a="1"/>
  <c r="H491" i="1" s="1"/>
  <c r="C491" i="1"/>
  <c r="B491" i="1"/>
  <c r="H490" i="1" a="1"/>
  <c r="H490" i="1" s="1"/>
  <c r="C490" i="1"/>
  <c r="B490" i="1"/>
  <c r="H489" i="1" a="1"/>
  <c r="H489" i="1" s="1"/>
  <c r="C489" i="1"/>
  <c r="B489" i="1"/>
  <c r="H488" i="1" a="1"/>
  <c r="H488" i="1" s="1"/>
  <c r="C488" i="1"/>
  <c r="B488" i="1"/>
  <c r="H487" i="1" a="1"/>
  <c r="H487" i="1" s="1"/>
  <c r="C487" i="1"/>
  <c r="B487" i="1"/>
  <c r="H486" i="1" a="1"/>
  <c r="H486" i="1" s="1"/>
  <c r="C486" i="1"/>
  <c r="B486" i="1"/>
  <c r="H485" i="1" a="1"/>
  <c r="H485" i="1" s="1"/>
  <c r="C485" i="1"/>
  <c r="B485" i="1"/>
  <c r="H484" i="1" a="1"/>
  <c r="H484" i="1" s="1"/>
  <c r="C484" i="1"/>
  <c r="B484" i="1"/>
  <c r="H483" i="1" a="1"/>
  <c r="H483" i="1" s="1"/>
  <c r="C483" i="1"/>
  <c r="B483" i="1"/>
  <c r="H482" i="1" a="1"/>
  <c r="H482" i="1" s="1"/>
  <c r="C482" i="1"/>
  <c r="B482" i="1"/>
  <c r="H481" i="1" a="1"/>
  <c r="H481" i="1" s="1"/>
  <c r="C481" i="1"/>
  <c r="B481" i="1"/>
  <c r="H480" i="1" a="1"/>
  <c r="H480" i="1" s="1"/>
  <c r="C480" i="1"/>
  <c r="B480" i="1"/>
  <c r="H479" i="1" a="1"/>
  <c r="H479" i="1" s="1"/>
  <c r="C479" i="1"/>
  <c r="B479" i="1"/>
  <c r="H478" i="1" a="1"/>
  <c r="H478" i="1" s="1"/>
  <c r="C478" i="1"/>
  <c r="B478" i="1"/>
  <c r="H477" i="1" a="1"/>
  <c r="H477" i="1" s="1"/>
  <c r="C477" i="1"/>
  <c r="B477" i="1"/>
  <c r="H476" i="1" a="1"/>
  <c r="H476" i="1" s="1"/>
  <c r="C476" i="1"/>
  <c r="B476" i="1"/>
  <c r="H475" i="1" a="1"/>
  <c r="H475" i="1" s="1"/>
  <c r="C475" i="1"/>
  <c r="B475" i="1"/>
  <c r="H474" i="1" a="1"/>
  <c r="H474" i="1" s="1"/>
  <c r="C474" i="1"/>
  <c r="B474" i="1"/>
  <c r="H473" i="1" a="1"/>
  <c r="H473" i="1" s="1"/>
  <c r="C473" i="1"/>
  <c r="B473" i="1"/>
  <c r="H472" i="1" a="1"/>
  <c r="H472" i="1" s="1"/>
  <c r="C472" i="1"/>
  <c r="B472" i="1"/>
  <c r="H471" i="1" a="1"/>
  <c r="H471" i="1" s="1"/>
  <c r="C471" i="1"/>
  <c r="B471" i="1"/>
  <c r="H470" i="1" a="1"/>
  <c r="H470" i="1" s="1"/>
  <c r="C470" i="1"/>
  <c r="B470" i="1"/>
  <c r="H469" i="1" a="1"/>
  <c r="H469" i="1" s="1"/>
  <c r="C469" i="1"/>
  <c r="B469" i="1"/>
  <c r="H468" i="1" a="1"/>
  <c r="H468" i="1" s="1"/>
  <c r="C468" i="1"/>
  <c r="B468" i="1"/>
  <c r="H467" i="1" a="1"/>
  <c r="H467" i="1" s="1"/>
  <c r="C467" i="1"/>
  <c r="B467" i="1"/>
  <c r="H466" i="1" a="1"/>
  <c r="H466" i="1" s="1"/>
  <c r="C466" i="1"/>
  <c r="B466" i="1"/>
  <c r="H465" i="1" a="1"/>
  <c r="H465" i="1" s="1"/>
  <c r="C465" i="1"/>
  <c r="B465" i="1"/>
  <c r="H464" i="1" a="1"/>
  <c r="H464" i="1" s="1"/>
  <c r="C464" i="1"/>
  <c r="B464" i="1"/>
  <c r="H463" i="1" a="1"/>
  <c r="H463" i="1" s="1"/>
  <c r="C463" i="1"/>
  <c r="B463" i="1"/>
  <c r="H462" i="1" a="1"/>
  <c r="H462" i="1" s="1"/>
  <c r="C462" i="1"/>
  <c r="B462" i="1"/>
  <c r="H461" i="1" a="1"/>
  <c r="H461" i="1" s="1"/>
  <c r="C461" i="1"/>
  <c r="B461" i="1"/>
  <c r="H460" i="1" a="1"/>
  <c r="H460" i="1" s="1"/>
  <c r="C460" i="1"/>
  <c r="B460" i="1"/>
  <c r="H459" i="1" a="1"/>
  <c r="H459" i="1" s="1"/>
  <c r="C459" i="1"/>
  <c r="B459" i="1"/>
  <c r="H458" i="1" a="1"/>
  <c r="H458" i="1" s="1"/>
  <c r="C458" i="1"/>
  <c r="B458" i="1"/>
  <c r="H457" i="1" a="1"/>
  <c r="H457" i="1" s="1"/>
  <c r="C457" i="1"/>
  <c r="B457" i="1"/>
  <c r="H456" i="1" a="1"/>
  <c r="H456" i="1" s="1"/>
  <c r="C456" i="1"/>
  <c r="B456" i="1"/>
  <c r="H455" i="1" a="1"/>
  <c r="H455" i="1" s="1"/>
  <c r="C455" i="1"/>
  <c r="B455" i="1"/>
  <c r="H454" i="1" a="1"/>
  <c r="H454" i="1" s="1"/>
  <c r="C454" i="1"/>
  <c r="B454" i="1"/>
  <c r="H453" i="1" a="1"/>
  <c r="H453" i="1" s="1"/>
  <c r="C453" i="1"/>
  <c r="B453" i="1"/>
  <c r="H452" i="1" a="1"/>
  <c r="H452" i="1" s="1"/>
  <c r="C452" i="1"/>
  <c r="B452" i="1"/>
  <c r="H451" i="1" a="1"/>
  <c r="H451" i="1" s="1"/>
  <c r="C451" i="1"/>
  <c r="B451" i="1"/>
  <c r="H450" i="1" a="1"/>
  <c r="H450" i="1" s="1"/>
  <c r="C450" i="1"/>
  <c r="B450" i="1"/>
  <c r="H449" i="1" a="1"/>
  <c r="H449" i="1" s="1"/>
  <c r="C449" i="1"/>
  <c r="B449" i="1"/>
  <c r="H448" i="1" a="1"/>
  <c r="H448" i="1" s="1"/>
  <c r="C448" i="1"/>
  <c r="B448" i="1"/>
  <c r="H447" i="1" a="1"/>
  <c r="H447" i="1" s="1"/>
  <c r="C447" i="1"/>
  <c r="B447" i="1"/>
  <c r="H446" i="1" a="1"/>
  <c r="H446" i="1" s="1"/>
  <c r="C446" i="1"/>
  <c r="B446" i="1"/>
  <c r="H445" i="1" a="1"/>
  <c r="H445" i="1" s="1"/>
  <c r="C445" i="1"/>
  <c r="B445" i="1"/>
  <c r="H444" i="1" a="1"/>
  <c r="H444" i="1" s="1"/>
  <c r="C444" i="1"/>
  <c r="B444" i="1"/>
  <c r="H443" i="1" a="1"/>
  <c r="H443" i="1" s="1"/>
  <c r="C443" i="1"/>
  <c r="B443" i="1"/>
  <c r="H442" i="1" a="1"/>
  <c r="H442" i="1" s="1"/>
  <c r="C442" i="1"/>
  <c r="B442" i="1"/>
  <c r="H441" i="1" a="1"/>
  <c r="H441" i="1" s="1"/>
  <c r="C441" i="1"/>
  <c r="B441" i="1"/>
  <c r="H440" i="1" a="1"/>
  <c r="H440" i="1" s="1"/>
  <c r="C440" i="1"/>
  <c r="B440" i="1"/>
  <c r="H439" i="1" a="1"/>
  <c r="H439" i="1" s="1"/>
  <c r="C439" i="1"/>
  <c r="B439" i="1"/>
  <c r="H438" i="1" a="1"/>
  <c r="H438" i="1" s="1"/>
  <c r="C438" i="1"/>
  <c r="B438" i="1"/>
  <c r="H437" i="1" a="1"/>
  <c r="H437" i="1" s="1"/>
  <c r="C437" i="1"/>
  <c r="B437" i="1"/>
  <c r="H436" i="1" a="1"/>
  <c r="H436" i="1" s="1"/>
  <c r="C436" i="1"/>
  <c r="B436" i="1"/>
  <c r="H435" i="1" a="1"/>
  <c r="H435" i="1" s="1"/>
  <c r="C435" i="1"/>
  <c r="B435" i="1"/>
  <c r="H434" i="1" a="1"/>
  <c r="H434" i="1" s="1"/>
  <c r="C434" i="1"/>
  <c r="B434" i="1"/>
  <c r="H433" i="1" a="1"/>
  <c r="H433" i="1" s="1"/>
  <c r="C433" i="1"/>
  <c r="B433" i="1"/>
  <c r="H432" i="1" a="1"/>
  <c r="H432" i="1" s="1"/>
  <c r="C432" i="1"/>
  <c r="B432" i="1"/>
  <c r="H431" i="1" a="1"/>
  <c r="H431" i="1" s="1"/>
  <c r="C431" i="1"/>
  <c r="B431" i="1"/>
  <c r="H430" i="1" a="1"/>
  <c r="H430" i="1" s="1"/>
  <c r="C430" i="1"/>
  <c r="B430" i="1"/>
  <c r="H429" i="1" a="1"/>
  <c r="H429" i="1" s="1"/>
  <c r="C429" i="1"/>
  <c r="B429" i="1"/>
  <c r="H428" i="1" a="1"/>
  <c r="H428" i="1" s="1"/>
  <c r="C428" i="1"/>
  <c r="B428" i="1"/>
  <c r="H427" i="1" a="1"/>
  <c r="H427" i="1" s="1"/>
  <c r="C427" i="1"/>
  <c r="B427" i="1"/>
  <c r="H426" i="1" a="1"/>
  <c r="H426" i="1" s="1"/>
  <c r="C426" i="1"/>
  <c r="B426" i="1"/>
  <c r="H425" i="1" a="1"/>
  <c r="H425" i="1" s="1"/>
  <c r="C425" i="1"/>
  <c r="B425" i="1"/>
  <c r="H424" i="1" a="1"/>
  <c r="H424" i="1" s="1"/>
  <c r="C424" i="1"/>
  <c r="B424" i="1"/>
  <c r="H423" i="1" a="1"/>
  <c r="H423" i="1" s="1"/>
  <c r="C423" i="1"/>
  <c r="B423" i="1"/>
  <c r="H422" i="1" a="1"/>
  <c r="H422" i="1" s="1"/>
  <c r="C422" i="1"/>
  <c r="B422" i="1"/>
  <c r="H421" i="1" a="1"/>
  <c r="H421" i="1" s="1"/>
  <c r="C421" i="1"/>
  <c r="B421" i="1"/>
  <c r="H420" i="1" a="1"/>
  <c r="H420" i="1" s="1"/>
  <c r="C420" i="1"/>
  <c r="B420" i="1"/>
  <c r="H419" i="1" a="1"/>
  <c r="H419" i="1" s="1"/>
  <c r="C419" i="1"/>
  <c r="B419" i="1"/>
  <c r="H418" i="1" a="1"/>
  <c r="H418" i="1" s="1"/>
  <c r="C418" i="1"/>
  <c r="B418" i="1"/>
  <c r="H417" i="1" a="1"/>
  <c r="H417" i="1" s="1"/>
  <c r="C417" i="1"/>
  <c r="B417" i="1"/>
  <c r="H416" i="1" a="1"/>
  <c r="H416" i="1" s="1"/>
  <c r="C416" i="1"/>
  <c r="B416" i="1"/>
  <c r="H415" i="1" a="1"/>
  <c r="H415" i="1" s="1"/>
  <c r="C415" i="1"/>
  <c r="B415" i="1"/>
  <c r="H414" i="1" a="1"/>
  <c r="H414" i="1" s="1"/>
  <c r="C414" i="1"/>
  <c r="B414" i="1"/>
  <c r="H413" i="1" a="1"/>
  <c r="H413" i="1" s="1"/>
  <c r="C413" i="1"/>
  <c r="B413" i="1"/>
  <c r="H412" i="1" a="1"/>
  <c r="H412" i="1" s="1"/>
  <c r="C412" i="1"/>
  <c r="B412" i="1"/>
  <c r="H411" i="1" a="1"/>
  <c r="H411" i="1" s="1"/>
  <c r="C411" i="1"/>
  <c r="B411" i="1"/>
  <c r="H410" i="1" a="1"/>
  <c r="H410" i="1" s="1"/>
  <c r="C410" i="1"/>
  <c r="B410" i="1"/>
  <c r="H409" i="1" a="1"/>
  <c r="H409" i="1" s="1"/>
  <c r="C409" i="1"/>
  <c r="B409" i="1"/>
  <c r="H408" i="1" a="1"/>
  <c r="H408" i="1" s="1"/>
  <c r="C408" i="1"/>
  <c r="B408" i="1"/>
  <c r="H407" i="1" a="1"/>
  <c r="H407" i="1" s="1"/>
  <c r="C407" i="1"/>
  <c r="B407" i="1"/>
  <c r="H406" i="1" a="1"/>
  <c r="H406" i="1" s="1"/>
  <c r="C406" i="1"/>
  <c r="B406" i="1"/>
  <c r="H405" i="1" a="1"/>
  <c r="H405" i="1" s="1"/>
  <c r="C405" i="1"/>
  <c r="B405" i="1"/>
  <c r="H404" i="1" a="1"/>
  <c r="H404" i="1" s="1"/>
  <c r="C404" i="1"/>
  <c r="B404" i="1"/>
  <c r="H403" i="1" a="1"/>
  <c r="H403" i="1" s="1"/>
  <c r="C403" i="1"/>
  <c r="B403" i="1"/>
  <c r="H402" i="1" a="1"/>
  <c r="H402" i="1" s="1"/>
  <c r="C402" i="1"/>
  <c r="B402" i="1"/>
  <c r="H401" i="1" a="1"/>
  <c r="H401" i="1" s="1"/>
  <c r="C401" i="1"/>
  <c r="B401" i="1"/>
  <c r="H400" i="1" a="1"/>
  <c r="H400" i="1" s="1"/>
  <c r="C400" i="1"/>
  <c r="B400" i="1"/>
  <c r="H399" i="1" a="1"/>
  <c r="H399" i="1" s="1"/>
  <c r="C399" i="1"/>
  <c r="B399" i="1"/>
  <c r="H398" i="1" a="1"/>
  <c r="H398" i="1" s="1"/>
  <c r="C398" i="1"/>
  <c r="B398" i="1"/>
  <c r="H397" i="1" a="1"/>
  <c r="H397" i="1" s="1"/>
  <c r="C397" i="1"/>
  <c r="B397" i="1"/>
  <c r="H396" i="1" a="1"/>
  <c r="H396" i="1" s="1"/>
  <c r="C396" i="1"/>
  <c r="B396" i="1"/>
  <c r="H395" i="1" a="1"/>
  <c r="H395" i="1" s="1"/>
  <c r="C395" i="1"/>
  <c r="B395" i="1"/>
  <c r="H394" i="1" a="1"/>
  <c r="H394" i="1" s="1"/>
  <c r="C394" i="1"/>
  <c r="B394" i="1"/>
  <c r="H393" i="1" a="1"/>
  <c r="H393" i="1" s="1"/>
  <c r="C393" i="1"/>
  <c r="B393" i="1"/>
  <c r="H392" i="1" a="1"/>
  <c r="H392" i="1" s="1"/>
  <c r="C392" i="1"/>
  <c r="B392" i="1"/>
  <c r="H391" i="1" a="1"/>
  <c r="H391" i="1" s="1"/>
  <c r="C391" i="1"/>
  <c r="B391" i="1"/>
  <c r="H390" i="1" a="1"/>
  <c r="H390" i="1" s="1"/>
  <c r="C390" i="1"/>
  <c r="B390" i="1"/>
  <c r="H389" i="1" a="1"/>
  <c r="H389" i="1" s="1"/>
  <c r="C389" i="1"/>
  <c r="B389" i="1"/>
  <c r="H388" i="1" a="1"/>
  <c r="H388" i="1" s="1"/>
  <c r="C388" i="1"/>
  <c r="B388" i="1"/>
  <c r="H387" i="1" a="1"/>
  <c r="H387" i="1" s="1"/>
  <c r="C387" i="1"/>
  <c r="B387" i="1"/>
  <c r="H386" i="1" a="1"/>
  <c r="H386" i="1" s="1"/>
  <c r="C386" i="1"/>
  <c r="B386" i="1"/>
  <c r="H385" i="1" a="1"/>
  <c r="H385" i="1" s="1"/>
  <c r="C385" i="1"/>
  <c r="B385" i="1"/>
  <c r="H384" i="1" a="1"/>
  <c r="H384" i="1" s="1"/>
  <c r="C384" i="1"/>
  <c r="B384" i="1"/>
  <c r="H383" i="1" a="1"/>
  <c r="H383" i="1" s="1"/>
  <c r="C383" i="1"/>
  <c r="B383" i="1"/>
  <c r="H382" i="1" a="1"/>
  <c r="H382" i="1" s="1"/>
  <c r="C382" i="1"/>
  <c r="B382" i="1"/>
  <c r="H381" i="1" a="1"/>
  <c r="H381" i="1" s="1"/>
  <c r="C381" i="1"/>
  <c r="B381" i="1"/>
  <c r="H380" i="1" a="1"/>
  <c r="H380" i="1" s="1"/>
  <c r="C380" i="1"/>
  <c r="B380" i="1"/>
  <c r="H379" i="1" a="1"/>
  <c r="H379" i="1" s="1"/>
  <c r="C379" i="1"/>
  <c r="B379" i="1"/>
  <c r="H378" i="1" a="1"/>
  <c r="H378" i="1" s="1"/>
  <c r="C378" i="1"/>
  <c r="B378" i="1"/>
  <c r="H377" i="1" a="1"/>
  <c r="H377" i="1" s="1"/>
  <c r="C377" i="1"/>
  <c r="B377" i="1"/>
  <c r="H376" i="1" a="1"/>
  <c r="H376" i="1" s="1"/>
  <c r="C376" i="1"/>
  <c r="B376" i="1"/>
  <c r="H375" i="1" a="1"/>
  <c r="H375" i="1" s="1"/>
  <c r="C375" i="1"/>
  <c r="B375" i="1"/>
  <c r="H374" i="1" a="1"/>
  <c r="H374" i="1" s="1"/>
  <c r="C374" i="1"/>
  <c r="B374" i="1"/>
  <c r="H373" i="1" a="1"/>
  <c r="H373" i="1" s="1"/>
  <c r="C373" i="1"/>
  <c r="B373" i="1"/>
  <c r="H372" i="1" a="1"/>
  <c r="H372" i="1" s="1"/>
  <c r="C372" i="1"/>
  <c r="B372" i="1"/>
  <c r="H371" i="1" a="1"/>
  <c r="H371" i="1" s="1"/>
  <c r="C371" i="1"/>
  <c r="B371" i="1"/>
  <c r="H370" i="1" a="1"/>
  <c r="H370" i="1" s="1"/>
  <c r="C370" i="1"/>
  <c r="B370" i="1"/>
  <c r="H369" i="1" a="1"/>
  <c r="H369" i="1" s="1"/>
  <c r="C369" i="1"/>
  <c r="B369" i="1"/>
  <c r="H368" i="1" a="1"/>
  <c r="H368" i="1" s="1"/>
  <c r="C368" i="1"/>
  <c r="B368" i="1"/>
  <c r="H367" i="1" a="1"/>
  <c r="H367" i="1" s="1"/>
  <c r="C367" i="1"/>
  <c r="B367" i="1"/>
  <c r="H366" i="1" a="1"/>
  <c r="H366" i="1" s="1"/>
  <c r="C366" i="1"/>
  <c r="B366" i="1"/>
  <c r="H365" i="1" a="1"/>
  <c r="H365" i="1" s="1"/>
  <c r="C365" i="1"/>
  <c r="B365" i="1"/>
  <c r="H364" i="1" a="1"/>
  <c r="H364" i="1" s="1"/>
  <c r="C364" i="1"/>
  <c r="B364" i="1"/>
  <c r="H363" i="1" a="1"/>
  <c r="H363" i="1" s="1"/>
  <c r="C363" i="1"/>
  <c r="B363" i="1"/>
  <c r="H362" i="1" a="1"/>
  <c r="H362" i="1" s="1"/>
  <c r="C362" i="1"/>
  <c r="B362" i="1"/>
  <c r="H361" i="1" a="1"/>
  <c r="H361" i="1" s="1"/>
  <c r="C361" i="1"/>
  <c r="B361" i="1"/>
  <c r="H360" i="1" a="1"/>
  <c r="H360" i="1" s="1"/>
  <c r="C360" i="1"/>
  <c r="B360" i="1"/>
  <c r="H359" i="1" a="1"/>
  <c r="H359" i="1" s="1"/>
  <c r="C359" i="1"/>
  <c r="B359" i="1"/>
  <c r="H358" i="1" a="1"/>
  <c r="H358" i="1" s="1"/>
  <c r="C358" i="1"/>
  <c r="B358" i="1"/>
  <c r="H357" i="1" a="1"/>
  <c r="H357" i="1" s="1"/>
  <c r="C357" i="1"/>
  <c r="B357" i="1"/>
  <c r="H356" i="1" a="1"/>
  <c r="H356" i="1" s="1"/>
  <c r="C356" i="1"/>
  <c r="B356" i="1"/>
  <c r="H355" i="1" a="1"/>
  <c r="H355" i="1" s="1"/>
  <c r="C355" i="1"/>
  <c r="B355" i="1"/>
  <c r="H354" i="1" a="1"/>
  <c r="H354" i="1" s="1"/>
  <c r="C354" i="1"/>
  <c r="B354" i="1"/>
  <c r="H353" i="1" a="1"/>
  <c r="H353" i="1" s="1"/>
  <c r="C353" i="1"/>
  <c r="B353" i="1"/>
  <c r="H352" i="1" a="1"/>
  <c r="H352" i="1" s="1"/>
  <c r="C352" i="1"/>
  <c r="B352" i="1"/>
  <c r="H351" i="1" a="1"/>
  <c r="H351" i="1" s="1"/>
  <c r="C351" i="1"/>
  <c r="B351" i="1"/>
  <c r="H350" i="1" a="1"/>
  <c r="H350" i="1" s="1"/>
  <c r="C350" i="1"/>
  <c r="B350" i="1"/>
  <c r="H349" i="1" a="1"/>
  <c r="H349" i="1" s="1"/>
  <c r="C349" i="1"/>
  <c r="B349" i="1"/>
  <c r="H348" i="1" a="1"/>
  <c r="H348" i="1" s="1"/>
  <c r="C348" i="1"/>
  <c r="B348" i="1"/>
  <c r="H347" i="1" a="1"/>
  <c r="H347" i="1" s="1"/>
  <c r="C347" i="1"/>
  <c r="B347" i="1"/>
  <c r="H346" i="1" a="1"/>
  <c r="H346" i="1" s="1"/>
  <c r="C346" i="1"/>
  <c r="B346" i="1"/>
  <c r="H345" i="1" a="1"/>
  <c r="H345" i="1" s="1"/>
  <c r="C345" i="1"/>
  <c r="B345" i="1"/>
  <c r="H344" i="1" a="1"/>
  <c r="H344" i="1" s="1"/>
  <c r="C344" i="1"/>
  <c r="B344" i="1"/>
  <c r="H343" i="1" a="1"/>
  <c r="H343" i="1" s="1"/>
  <c r="C343" i="1"/>
  <c r="B343" i="1"/>
  <c r="H342" i="1" a="1"/>
  <c r="H342" i="1" s="1"/>
  <c r="C342" i="1"/>
  <c r="B342" i="1"/>
  <c r="H341" i="1" a="1"/>
  <c r="H341" i="1" s="1"/>
  <c r="C341" i="1"/>
  <c r="B341" i="1"/>
  <c r="H340" i="1" a="1"/>
  <c r="H340" i="1" s="1"/>
  <c r="C340" i="1"/>
  <c r="B340" i="1"/>
  <c r="H339" i="1" a="1"/>
  <c r="H339" i="1" s="1"/>
  <c r="C339" i="1"/>
  <c r="B339" i="1"/>
  <c r="H338" i="1" a="1"/>
  <c r="H338" i="1" s="1"/>
  <c r="C338" i="1"/>
  <c r="B338" i="1"/>
  <c r="H337" i="1" a="1"/>
  <c r="H337" i="1" s="1"/>
  <c r="C337" i="1"/>
  <c r="B337" i="1"/>
  <c r="H336" i="1" a="1"/>
  <c r="H336" i="1" s="1"/>
  <c r="C336" i="1"/>
  <c r="B336" i="1"/>
  <c r="H335" i="1" a="1"/>
  <c r="H335" i="1" s="1"/>
  <c r="C335" i="1"/>
  <c r="B335" i="1"/>
  <c r="H334" i="1" a="1"/>
  <c r="H334" i="1" s="1"/>
  <c r="C334" i="1"/>
  <c r="B334" i="1"/>
  <c r="H333" i="1" a="1"/>
  <c r="H333" i="1" s="1"/>
  <c r="C333" i="1"/>
  <c r="B333" i="1"/>
  <c r="H332" i="1" a="1"/>
  <c r="H332" i="1" s="1"/>
  <c r="C332" i="1"/>
  <c r="B332" i="1"/>
  <c r="H331" i="1" a="1"/>
  <c r="H331" i="1" s="1"/>
  <c r="C331" i="1"/>
  <c r="B331" i="1"/>
  <c r="H330" i="1" a="1"/>
  <c r="H330" i="1" s="1"/>
  <c r="C330" i="1"/>
  <c r="B330" i="1"/>
  <c r="H329" i="1" a="1"/>
  <c r="H329" i="1" s="1"/>
  <c r="C329" i="1"/>
  <c r="B329" i="1"/>
  <c r="H328" i="1" a="1"/>
  <c r="H328" i="1" s="1"/>
  <c r="C328" i="1"/>
  <c r="B328" i="1"/>
  <c r="H327" i="1" a="1"/>
  <c r="H327" i="1" s="1"/>
  <c r="C327" i="1"/>
  <c r="B327" i="1"/>
  <c r="H326" i="1" a="1"/>
  <c r="H326" i="1" s="1"/>
  <c r="C326" i="1"/>
  <c r="B326" i="1"/>
  <c r="H325" i="1" a="1"/>
  <c r="H325" i="1" s="1"/>
  <c r="C325" i="1"/>
  <c r="B325" i="1"/>
  <c r="H324" i="1" a="1"/>
  <c r="H324" i="1" s="1"/>
  <c r="C324" i="1"/>
  <c r="B324" i="1"/>
  <c r="H323" i="1" a="1"/>
  <c r="H323" i="1" s="1"/>
  <c r="C323" i="1"/>
  <c r="B323" i="1"/>
  <c r="H322" i="1" a="1"/>
  <c r="H322" i="1" s="1"/>
  <c r="C322" i="1"/>
  <c r="B322" i="1"/>
  <c r="H321" i="1" a="1"/>
  <c r="H321" i="1" s="1"/>
  <c r="C321" i="1"/>
  <c r="B321" i="1"/>
  <c r="H320" i="1" a="1"/>
  <c r="H320" i="1" s="1"/>
  <c r="C320" i="1"/>
  <c r="B320" i="1"/>
  <c r="H319" i="1" a="1"/>
  <c r="H319" i="1" s="1"/>
  <c r="C319" i="1"/>
  <c r="B319" i="1"/>
  <c r="H318" i="1" a="1"/>
  <c r="H318" i="1" s="1"/>
  <c r="C318" i="1"/>
  <c r="B318" i="1"/>
  <c r="H317" i="1" a="1"/>
  <c r="H317" i="1" s="1"/>
  <c r="C317" i="1"/>
  <c r="B317" i="1"/>
  <c r="H316" i="1" a="1"/>
  <c r="H316" i="1" s="1"/>
  <c r="C316" i="1"/>
  <c r="B316" i="1"/>
  <c r="H315" i="1" a="1"/>
  <c r="H315" i="1" s="1"/>
  <c r="C315" i="1"/>
  <c r="B315" i="1"/>
  <c r="H314" i="1" a="1"/>
  <c r="H314" i="1" s="1"/>
  <c r="C314" i="1"/>
  <c r="B314" i="1"/>
  <c r="H313" i="1" a="1"/>
  <c r="H313" i="1" s="1"/>
  <c r="C313" i="1"/>
  <c r="B313" i="1"/>
  <c r="H312" i="1" a="1"/>
  <c r="H312" i="1" s="1"/>
  <c r="C312" i="1"/>
  <c r="B312" i="1"/>
  <c r="H311" i="1" a="1"/>
  <c r="H311" i="1" s="1"/>
  <c r="C311" i="1"/>
  <c r="B311" i="1"/>
  <c r="H310" i="1" a="1"/>
  <c r="H310" i="1" s="1"/>
  <c r="C310" i="1"/>
  <c r="B310" i="1"/>
  <c r="H309" i="1" a="1"/>
  <c r="H309" i="1" s="1"/>
  <c r="C309" i="1"/>
  <c r="B309" i="1"/>
  <c r="H308" i="1" a="1"/>
  <c r="H308" i="1" s="1"/>
  <c r="C308" i="1"/>
  <c r="B308" i="1"/>
  <c r="H307" i="1" a="1"/>
  <c r="H307" i="1" s="1"/>
  <c r="C307" i="1"/>
  <c r="B307" i="1"/>
  <c r="H306" i="1" a="1"/>
  <c r="H306" i="1" s="1"/>
  <c r="C306" i="1"/>
  <c r="B306" i="1"/>
  <c r="H305" i="1" a="1"/>
  <c r="H305" i="1" s="1"/>
  <c r="C305" i="1"/>
  <c r="B305" i="1"/>
  <c r="H304" i="1" a="1"/>
  <c r="H304" i="1" s="1"/>
  <c r="C304" i="1"/>
  <c r="B304" i="1"/>
  <c r="H303" i="1" a="1"/>
  <c r="H303" i="1" s="1"/>
  <c r="C303" i="1"/>
  <c r="B303" i="1"/>
  <c r="H302" i="1" a="1"/>
  <c r="H302" i="1" s="1"/>
  <c r="C302" i="1"/>
  <c r="B302" i="1"/>
  <c r="H301" i="1" a="1"/>
  <c r="H301" i="1" s="1"/>
  <c r="C301" i="1"/>
  <c r="B301" i="1"/>
  <c r="H300" i="1" a="1"/>
  <c r="H300" i="1" s="1"/>
  <c r="C300" i="1"/>
  <c r="B300" i="1"/>
  <c r="H299" i="1" a="1"/>
  <c r="H299" i="1" s="1"/>
  <c r="C299" i="1"/>
  <c r="B299" i="1"/>
  <c r="H298" i="1" a="1"/>
  <c r="H298" i="1" s="1"/>
  <c r="C298" i="1"/>
  <c r="B298" i="1"/>
  <c r="H297" i="1" a="1"/>
  <c r="H297" i="1" s="1"/>
  <c r="C297" i="1"/>
  <c r="B297" i="1"/>
  <c r="H296" i="1" a="1"/>
  <c r="H296" i="1" s="1"/>
  <c r="C296" i="1"/>
  <c r="B296" i="1"/>
  <c r="H295" i="1" a="1"/>
  <c r="H295" i="1" s="1"/>
  <c r="C295" i="1"/>
  <c r="B295" i="1"/>
  <c r="H294" i="1" a="1"/>
  <c r="H294" i="1" s="1"/>
  <c r="C294" i="1"/>
  <c r="B294" i="1"/>
  <c r="H293" i="1" a="1"/>
  <c r="H293" i="1" s="1"/>
  <c r="C293" i="1"/>
  <c r="B293" i="1"/>
  <c r="H292" i="1" a="1"/>
  <c r="H292" i="1" s="1"/>
  <c r="C292" i="1"/>
  <c r="B292" i="1"/>
  <c r="H291" i="1" a="1"/>
  <c r="H291" i="1" s="1"/>
  <c r="C291" i="1"/>
  <c r="B291" i="1"/>
  <c r="H290" i="1" a="1"/>
  <c r="H290" i="1" s="1"/>
  <c r="C290" i="1"/>
  <c r="B290" i="1"/>
  <c r="H289" i="1" a="1"/>
  <c r="H289" i="1" s="1"/>
  <c r="C289" i="1"/>
  <c r="B289" i="1"/>
  <c r="H288" i="1" a="1"/>
  <c r="H288" i="1" s="1"/>
  <c r="C288" i="1"/>
  <c r="B288" i="1"/>
  <c r="H287" i="1" a="1"/>
  <c r="H287" i="1" s="1"/>
  <c r="C287" i="1"/>
  <c r="B287" i="1"/>
  <c r="H286" i="1" a="1"/>
  <c r="H286" i="1" s="1"/>
  <c r="C286" i="1"/>
  <c r="B286" i="1"/>
  <c r="H285" i="1" a="1"/>
  <c r="H285" i="1" s="1"/>
  <c r="C285" i="1"/>
  <c r="B285" i="1"/>
  <c r="H284" i="1" a="1"/>
  <c r="H284" i="1" s="1"/>
  <c r="C284" i="1"/>
  <c r="B284" i="1"/>
  <c r="H283" i="1" a="1"/>
  <c r="H283" i="1" s="1"/>
  <c r="C283" i="1"/>
  <c r="B283" i="1"/>
  <c r="H282" i="1" a="1"/>
  <c r="H282" i="1" s="1"/>
  <c r="C282" i="1"/>
  <c r="B282" i="1"/>
  <c r="H281" i="1" a="1"/>
  <c r="H281" i="1" s="1"/>
  <c r="C281" i="1"/>
  <c r="B281" i="1"/>
  <c r="H280" i="1" a="1"/>
  <c r="H280" i="1" s="1"/>
  <c r="C280" i="1"/>
  <c r="B280" i="1"/>
  <c r="H279" i="1" a="1"/>
  <c r="H279" i="1" s="1"/>
  <c r="C279" i="1"/>
  <c r="B279" i="1"/>
  <c r="H278" i="1" a="1"/>
  <c r="H278" i="1" s="1"/>
  <c r="C278" i="1"/>
  <c r="B278" i="1"/>
  <c r="H277" i="1" a="1"/>
  <c r="H277" i="1" s="1"/>
  <c r="C277" i="1"/>
  <c r="B277" i="1"/>
  <c r="H276" i="1" a="1"/>
  <c r="H276" i="1" s="1"/>
  <c r="C276" i="1"/>
  <c r="B276" i="1"/>
  <c r="H275" i="1" a="1"/>
  <c r="H275" i="1" s="1"/>
  <c r="C275" i="1"/>
  <c r="B275" i="1"/>
  <c r="H274" i="1" a="1"/>
  <c r="H274" i="1" s="1"/>
  <c r="C274" i="1"/>
  <c r="B274" i="1"/>
  <c r="H273" i="1" a="1"/>
  <c r="H273" i="1" s="1"/>
  <c r="C273" i="1"/>
  <c r="B273" i="1"/>
  <c r="H272" i="1" a="1"/>
  <c r="H272" i="1" s="1"/>
  <c r="C272" i="1"/>
  <c r="B272" i="1"/>
  <c r="H271" i="1" a="1"/>
  <c r="H271" i="1" s="1"/>
  <c r="C271" i="1"/>
  <c r="B271" i="1"/>
  <c r="H270" i="1" a="1"/>
  <c r="H270" i="1" s="1"/>
  <c r="C270" i="1"/>
  <c r="B270" i="1"/>
  <c r="H269" i="1" a="1"/>
  <c r="H269" i="1" s="1"/>
  <c r="C269" i="1"/>
  <c r="B269" i="1"/>
  <c r="H268" i="1" a="1"/>
  <c r="H268" i="1" s="1"/>
  <c r="C268" i="1"/>
  <c r="B268" i="1"/>
  <c r="H267" i="1" a="1"/>
  <c r="H267" i="1" s="1"/>
  <c r="C267" i="1"/>
  <c r="B267" i="1"/>
  <c r="H266" i="1" a="1"/>
  <c r="H266" i="1" s="1"/>
  <c r="C266" i="1"/>
  <c r="B266" i="1"/>
  <c r="H265" i="1" a="1"/>
  <c r="H265" i="1" s="1"/>
  <c r="C265" i="1"/>
  <c r="B265" i="1"/>
  <c r="H264" i="1" a="1"/>
  <c r="H264" i="1" s="1"/>
  <c r="C264" i="1"/>
  <c r="B264" i="1"/>
  <c r="H263" i="1" a="1"/>
  <c r="H263" i="1" s="1"/>
  <c r="C263" i="1"/>
  <c r="B263" i="1"/>
  <c r="H262" i="1" a="1"/>
  <c r="H262" i="1" s="1"/>
  <c r="C262" i="1"/>
  <c r="B262" i="1"/>
  <c r="H261" i="1" a="1"/>
  <c r="H261" i="1" s="1"/>
  <c r="C261" i="1"/>
  <c r="B261" i="1"/>
  <c r="H260" i="1" a="1"/>
  <c r="H260" i="1" s="1"/>
  <c r="C260" i="1"/>
  <c r="B260" i="1"/>
  <c r="H259" i="1" a="1"/>
  <c r="H259" i="1" s="1"/>
  <c r="C259" i="1"/>
  <c r="B259" i="1"/>
  <c r="H258" i="1" a="1"/>
  <c r="H258" i="1" s="1"/>
  <c r="C258" i="1"/>
  <c r="B258" i="1"/>
  <c r="H257" i="1" a="1"/>
  <c r="H257" i="1" s="1"/>
  <c r="C257" i="1"/>
  <c r="B257" i="1"/>
  <c r="H256" i="1" a="1"/>
  <c r="H256" i="1" s="1"/>
  <c r="C256" i="1"/>
  <c r="B256" i="1"/>
  <c r="H255" i="1" a="1"/>
  <c r="H255" i="1" s="1"/>
  <c r="C255" i="1"/>
  <c r="B255" i="1"/>
  <c r="H254" i="1" a="1"/>
  <c r="H254" i="1" s="1"/>
  <c r="C254" i="1"/>
  <c r="B254" i="1"/>
  <c r="H253" i="1" a="1"/>
  <c r="H253" i="1" s="1"/>
  <c r="C253" i="1"/>
  <c r="B253" i="1"/>
  <c r="H252" i="1" a="1"/>
  <c r="H252" i="1" s="1"/>
  <c r="C252" i="1"/>
  <c r="B252" i="1"/>
  <c r="H251" i="1" a="1"/>
  <c r="H251" i="1" s="1"/>
  <c r="C251" i="1"/>
  <c r="B251" i="1"/>
  <c r="H250" i="1" a="1"/>
  <c r="H250" i="1" s="1"/>
  <c r="C250" i="1"/>
  <c r="B250" i="1"/>
  <c r="H249" i="1" a="1"/>
  <c r="H249" i="1" s="1"/>
  <c r="C249" i="1"/>
  <c r="B249" i="1"/>
  <c r="H248" i="1" a="1"/>
  <c r="H248" i="1" s="1"/>
  <c r="C248" i="1"/>
  <c r="B248" i="1"/>
  <c r="H247" i="1" a="1"/>
  <c r="H247" i="1" s="1"/>
  <c r="C247" i="1"/>
  <c r="B247" i="1"/>
  <c r="H246" i="1" a="1"/>
  <c r="H246" i="1" s="1"/>
  <c r="C246" i="1"/>
  <c r="B246" i="1"/>
  <c r="H245" i="1" a="1"/>
  <c r="H245" i="1" s="1"/>
  <c r="C245" i="1"/>
  <c r="B245" i="1"/>
  <c r="H244" i="1" a="1"/>
  <c r="H244" i="1" s="1"/>
  <c r="C244" i="1"/>
  <c r="B244" i="1"/>
  <c r="H243" i="1" a="1"/>
  <c r="H243" i="1" s="1"/>
  <c r="C243" i="1"/>
  <c r="B243" i="1"/>
  <c r="H242" i="1" a="1"/>
  <c r="H242" i="1" s="1"/>
  <c r="C242" i="1"/>
  <c r="B242" i="1"/>
  <c r="H241" i="1" a="1"/>
  <c r="H241" i="1" s="1"/>
  <c r="C241" i="1"/>
  <c r="B241" i="1"/>
  <c r="H240" i="1" a="1"/>
  <c r="H240" i="1" s="1"/>
  <c r="C240" i="1"/>
  <c r="B240" i="1"/>
  <c r="H239" i="1" a="1"/>
  <c r="H239" i="1" s="1"/>
  <c r="C239" i="1"/>
  <c r="B239" i="1"/>
  <c r="H238" i="1" a="1"/>
  <c r="H238" i="1" s="1"/>
  <c r="C238" i="1"/>
  <c r="B238" i="1"/>
  <c r="H237" i="1" a="1"/>
  <c r="H237" i="1" s="1"/>
  <c r="C237" i="1"/>
  <c r="B237" i="1"/>
  <c r="H236" i="1" a="1"/>
  <c r="H236" i="1" s="1"/>
  <c r="C236" i="1"/>
  <c r="B236" i="1"/>
  <c r="H235" i="1" a="1"/>
  <c r="H235" i="1" s="1"/>
  <c r="C235" i="1"/>
  <c r="B235" i="1"/>
  <c r="H234" i="1" a="1"/>
  <c r="H234" i="1" s="1"/>
  <c r="C234" i="1"/>
  <c r="B234" i="1"/>
  <c r="H233" i="1" a="1"/>
  <c r="H233" i="1" s="1"/>
  <c r="C233" i="1"/>
  <c r="B233" i="1"/>
  <c r="H232" i="1" a="1"/>
  <c r="H232" i="1" s="1"/>
  <c r="C232" i="1"/>
  <c r="B232" i="1"/>
  <c r="H231" i="1" a="1"/>
  <c r="H231" i="1" s="1"/>
  <c r="C231" i="1"/>
  <c r="B231" i="1"/>
  <c r="H230" i="1" a="1"/>
  <c r="H230" i="1" s="1"/>
  <c r="C230" i="1"/>
  <c r="B230" i="1"/>
  <c r="H229" i="1" a="1"/>
  <c r="H229" i="1" s="1"/>
  <c r="C229" i="1"/>
  <c r="B229" i="1"/>
  <c r="H228" i="1" a="1"/>
  <c r="H228" i="1" s="1"/>
  <c r="C228" i="1"/>
  <c r="B228" i="1"/>
  <c r="H227" i="1" a="1"/>
  <c r="H227" i="1" s="1"/>
  <c r="C227" i="1"/>
  <c r="B227" i="1"/>
  <c r="H226" i="1" a="1"/>
  <c r="H226" i="1" s="1"/>
  <c r="C226" i="1"/>
  <c r="B226" i="1"/>
  <c r="H225" i="1" a="1"/>
  <c r="H225" i="1" s="1"/>
  <c r="C225" i="1"/>
  <c r="B225" i="1"/>
  <c r="H224" i="1" a="1"/>
  <c r="H224" i="1" s="1"/>
  <c r="C224" i="1"/>
  <c r="B224" i="1"/>
  <c r="H223" i="1" a="1"/>
  <c r="H223" i="1" s="1"/>
  <c r="C223" i="1"/>
  <c r="B223" i="1"/>
  <c r="H222" i="1" a="1"/>
  <c r="H222" i="1" s="1"/>
  <c r="C222" i="1"/>
  <c r="B222" i="1"/>
  <c r="H221" i="1" a="1"/>
  <c r="H221" i="1" s="1"/>
  <c r="C221" i="1"/>
  <c r="B221" i="1"/>
  <c r="H220" i="1" a="1"/>
  <c r="H220" i="1" s="1"/>
  <c r="C220" i="1"/>
  <c r="B220" i="1"/>
  <c r="H219" i="1" a="1"/>
  <c r="H219" i="1" s="1"/>
  <c r="C219" i="1"/>
  <c r="B219" i="1"/>
  <c r="H218" i="1" a="1"/>
  <c r="H218" i="1" s="1"/>
  <c r="C218" i="1"/>
  <c r="B218" i="1"/>
  <c r="H217" i="1" a="1"/>
  <c r="H217" i="1" s="1"/>
  <c r="C217" i="1"/>
  <c r="B217" i="1"/>
  <c r="H216" i="1" a="1"/>
  <c r="H216" i="1" s="1"/>
  <c r="C216" i="1"/>
  <c r="B216" i="1"/>
  <c r="H215" i="1" a="1"/>
  <c r="H215" i="1" s="1"/>
  <c r="C215" i="1"/>
  <c r="B215" i="1"/>
  <c r="H214" i="1" a="1"/>
  <c r="H214" i="1" s="1"/>
  <c r="C214" i="1"/>
  <c r="B214" i="1"/>
  <c r="H213" i="1" a="1"/>
  <c r="H213" i="1" s="1"/>
  <c r="C213" i="1"/>
  <c r="B213" i="1"/>
  <c r="H212" i="1" a="1"/>
  <c r="H212" i="1" s="1"/>
  <c r="C212" i="1"/>
  <c r="B212" i="1"/>
  <c r="H211" i="1" a="1"/>
  <c r="H211" i="1" s="1"/>
  <c r="C211" i="1"/>
  <c r="B211" i="1"/>
  <c r="H210" i="1" a="1"/>
  <c r="H210" i="1" s="1"/>
  <c r="C210" i="1"/>
  <c r="B210" i="1"/>
  <c r="H209" i="1" a="1"/>
  <c r="H209" i="1" s="1"/>
  <c r="C209" i="1"/>
  <c r="B209" i="1"/>
  <c r="H208" i="1" a="1"/>
  <c r="H208" i="1" s="1"/>
  <c r="C208" i="1"/>
  <c r="B208" i="1"/>
  <c r="H207" i="1" a="1"/>
  <c r="H207" i="1" s="1"/>
  <c r="C207" i="1"/>
  <c r="B207" i="1"/>
  <c r="H206" i="1" a="1"/>
  <c r="H206" i="1" s="1"/>
  <c r="C206" i="1"/>
  <c r="B206" i="1"/>
  <c r="H205" i="1" a="1"/>
  <c r="H205" i="1" s="1"/>
  <c r="C205" i="1"/>
  <c r="B205" i="1"/>
  <c r="H204" i="1" a="1"/>
  <c r="H204" i="1" s="1"/>
  <c r="C204" i="1"/>
  <c r="B204" i="1"/>
  <c r="H203" i="1" a="1"/>
  <c r="H203" i="1" s="1"/>
  <c r="C203" i="1"/>
  <c r="B203" i="1"/>
  <c r="H202" i="1" a="1"/>
  <c r="H202" i="1" s="1"/>
  <c r="C202" i="1"/>
  <c r="B202" i="1"/>
  <c r="H201" i="1" a="1"/>
  <c r="H201" i="1" s="1"/>
  <c r="C201" i="1"/>
  <c r="B201" i="1"/>
  <c r="H200" i="1" a="1"/>
  <c r="H200" i="1" s="1"/>
  <c r="C200" i="1"/>
  <c r="B200" i="1"/>
  <c r="H199" i="1" a="1"/>
  <c r="H199" i="1" s="1"/>
  <c r="C199" i="1"/>
  <c r="B199" i="1"/>
  <c r="H198" i="1" a="1"/>
  <c r="H198" i="1" s="1"/>
  <c r="C198" i="1"/>
  <c r="B198" i="1"/>
  <c r="H197" i="1" a="1"/>
  <c r="H197" i="1" s="1"/>
  <c r="C197" i="1"/>
  <c r="B197" i="1"/>
  <c r="H196" i="1" a="1"/>
  <c r="H196" i="1" s="1"/>
  <c r="C196" i="1"/>
  <c r="B196" i="1"/>
  <c r="H195" i="1" a="1"/>
  <c r="H195" i="1" s="1"/>
  <c r="C195" i="1"/>
  <c r="B195" i="1"/>
  <c r="H194" i="1" a="1"/>
  <c r="H194" i="1" s="1"/>
  <c r="C194" i="1"/>
  <c r="B194" i="1"/>
  <c r="H193" i="1" a="1"/>
  <c r="H193" i="1" s="1"/>
  <c r="C193" i="1"/>
  <c r="B193" i="1"/>
  <c r="H192" i="1" a="1"/>
  <c r="H192" i="1" s="1"/>
  <c r="C192" i="1"/>
  <c r="B192" i="1"/>
  <c r="H191" i="1" a="1"/>
  <c r="H191" i="1" s="1"/>
  <c r="C191" i="1"/>
  <c r="B191" i="1"/>
  <c r="H190" i="1" a="1"/>
  <c r="H190" i="1" s="1"/>
  <c r="C190" i="1"/>
  <c r="B190" i="1"/>
  <c r="H189" i="1" a="1"/>
  <c r="H189" i="1" s="1"/>
  <c r="C189" i="1"/>
  <c r="B189" i="1"/>
  <c r="H188" i="1" a="1"/>
  <c r="H188" i="1" s="1"/>
  <c r="C188" i="1"/>
  <c r="B188" i="1"/>
  <c r="H187" i="1" a="1"/>
  <c r="H187" i="1" s="1"/>
  <c r="C187" i="1"/>
  <c r="B187" i="1"/>
  <c r="H186" i="1" a="1"/>
  <c r="H186" i="1" s="1"/>
  <c r="C186" i="1"/>
  <c r="B186" i="1"/>
  <c r="H185" i="1" a="1"/>
  <c r="H185" i="1" s="1"/>
  <c r="C185" i="1"/>
  <c r="B185" i="1"/>
  <c r="H184" i="1" a="1"/>
  <c r="H184" i="1" s="1"/>
  <c r="C184" i="1"/>
  <c r="B184" i="1"/>
  <c r="H183" i="1" a="1"/>
  <c r="H183" i="1" s="1"/>
  <c r="C183" i="1"/>
  <c r="B183" i="1"/>
  <c r="H182" i="1" a="1"/>
  <c r="H182" i="1" s="1"/>
  <c r="C182" i="1"/>
  <c r="B182" i="1"/>
  <c r="H181" i="1" a="1"/>
  <c r="H181" i="1" s="1"/>
  <c r="C181" i="1"/>
  <c r="B181" i="1"/>
  <c r="H180" i="1" a="1"/>
  <c r="H180" i="1" s="1"/>
  <c r="C180" i="1"/>
  <c r="B180" i="1"/>
  <c r="H179" i="1" a="1"/>
  <c r="H179" i="1" s="1"/>
  <c r="C179" i="1"/>
  <c r="B179" i="1"/>
  <c r="H178" i="1" a="1"/>
  <c r="H178" i="1" s="1"/>
  <c r="C178" i="1"/>
  <c r="B178" i="1"/>
  <c r="H177" i="1" a="1"/>
  <c r="H177" i="1" s="1"/>
  <c r="C177" i="1"/>
  <c r="B177" i="1"/>
  <c r="H176" i="1" a="1"/>
  <c r="H176" i="1" s="1"/>
  <c r="C176" i="1"/>
  <c r="B176" i="1"/>
  <c r="H175" i="1" a="1"/>
  <c r="H175" i="1" s="1"/>
  <c r="C175" i="1"/>
  <c r="B175" i="1"/>
  <c r="H174" i="1" a="1"/>
  <c r="H174" i="1" s="1"/>
  <c r="C174" i="1"/>
  <c r="B174" i="1"/>
  <c r="H173" i="1" a="1"/>
  <c r="H173" i="1" s="1"/>
  <c r="C173" i="1"/>
  <c r="B173" i="1"/>
  <c r="H172" i="1" a="1"/>
  <c r="H172" i="1" s="1"/>
  <c r="C172" i="1"/>
  <c r="B172" i="1"/>
  <c r="H171" i="1" a="1"/>
  <c r="H171" i="1" s="1"/>
  <c r="C171" i="1"/>
  <c r="B171" i="1"/>
  <c r="H170" i="1" a="1"/>
  <c r="H170" i="1" s="1"/>
  <c r="C170" i="1"/>
  <c r="B170" i="1"/>
  <c r="H169" i="1" a="1"/>
  <c r="H169" i="1" s="1"/>
  <c r="C169" i="1"/>
  <c r="B169" i="1"/>
  <c r="H168" i="1" a="1"/>
  <c r="H168" i="1" s="1"/>
  <c r="C168" i="1"/>
  <c r="B168" i="1"/>
  <c r="H167" i="1" a="1"/>
  <c r="H167" i="1" s="1"/>
  <c r="C167" i="1"/>
  <c r="B167" i="1"/>
  <c r="H166" i="1" a="1"/>
  <c r="H166" i="1" s="1"/>
  <c r="C166" i="1"/>
  <c r="B166" i="1"/>
  <c r="H165" i="1" a="1"/>
  <c r="H165" i="1" s="1"/>
  <c r="C165" i="1"/>
  <c r="B165" i="1"/>
  <c r="H164" i="1" a="1"/>
  <c r="H164" i="1" s="1"/>
  <c r="C164" i="1"/>
  <c r="B164" i="1"/>
  <c r="H163" i="1" a="1"/>
  <c r="H163" i="1" s="1"/>
  <c r="C163" i="1"/>
  <c r="B163" i="1"/>
  <c r="H162" i="1" a="1"/>
  <c r="H162" i="1" s="1"/>
  <c r="C162" i="1"/>
  <c r="B162" i="1"/>
  <c r="H161" i="1" a="1"/>
  <c r="H161" i="1" s="1"/>
  <c r="C161" i="1"/>
  <c r="B161" i="1"/>
  <c r="H160" i="1" a="1"/>
  <c r="H160" i="1" s="1"/>
  <c r="C160" i="1"/>
  <c r="B160" i="1"/>
  <c r="H159" i="1" a="1"/>
  <c r="H159" i="1" s="1"/>
  <c r="C159" i="1"/>
  <c r="B159" i="1"/>
  <c r="H158" i="1" a="1"/>
  <c r="H158" i="1" s="1"/>
  <c r="C158" i="1"/>
  <c r="B158" i="1"/>
  <c r="H157" i="1" a="1"/>
  <c r="H157" i="1" s="1"/>
  <c r="C157" i="1"/>
  <c r="B157" i="1"/>
  <c r="H156" i="1" a="1"/>
  <c r="H156" i="1" s="1"/>
  <c r="C156" i="1"/>
  <c r="B156" i="1"/>
  <c r="H155" i="1" a="1"/>
  <c r="H155" i="1" s="1"/>
  <c r="C155" i="1"/>
  <c r="B155" i="1"/>
  <c r="H154" i="1" a="1"/>
  <c r="H154" i="1" s="1"/>
  <c r="C154" i="1"/>
  <c r="B154" i="1"/>
  <c r="H153" i="1" a="1"/>
  <c r="H153" i="1" s="1"/>
  <c r="C153" i="1"/>
  <c r="B153" i="1"/>
  <c r="H152" i="1" a="1"/>
  <c r="H152" i="1" s="1"/>
  <c r="C152" i="1"/>
  <c r="B152" i="1"/>
  <c r="H151" i="1" a="1"/>
  <c r="H151" i="1" s="1"/>
  <c r="C151" i="1"/>
  <c r="B151" i="1"/>
  <c r="H150" i="1" a="1"/>
  <c r="H150" i="1" s="1"/>
  <c r="C150" i="1"/>
  <c r="B150" i="1"/>
  <c r="H149" i="1" a="1"/>
  <c r="H149" i="1" s="1"/>
  <c r="C149" i="1"/>
  <c r="B149" i="1"/>
  <c r="H148" i="1" a="1"/>
  <c r="H148" i="1" s="1"/>
  <c r="C148" i="1"/>
  <c r="B148" i="1"/>
  <c r="H147" i="1" a="1"/>
  <c r="H147" i="1" s="1"/>
  <c r="C147" i="1"/>
  <c r="B147" i="1"/>
  <c r="H146" i="1" a="1"/>
  <c r="H146" i="1" s="1"/>
  <c r="C146" i="1"/>
  <c r="B146" i="1"/>
  <c r="H145" i="1" a="1"/>
  <c r="H145" i="1" s="1"/>
  <c r="C145" i="1"/>
  <c r="B145" i="1"/>
  <c r="H144" i="1" a="1"/>
  <c r="H144" i="1" s="1"/>
  <c r="C144" i="1"/>
  <c r="B144" i="1"/>
  <c r="H143" i="1" a="1"/>
  <c r="H143" i="1" s="1"/>
  <c r="C143" i="1"/>
  <c r="B143" i="1"/>
  <c r="H142" i="1" a="1"/>
  <c r="H142" i="1" s="1"/>
  <c r="C142" i="1"/>
  <c r="B142" i="1"/>
  <c r="H141" i="1" a="1"/>
  <c r="H141" i="1" s="1"/>
  <c r="C141" i="1"/>
  <c r="B141" i="1"/>
  <c r="H140" i="1" a="1"/>
  <c r="H140" i="1" s="1"/>
  <c r="C140" i="1"/>
  <c r="B140" i="1"/>
  <c r="H139" i="1" a="1"/>
  <c r="H139" i="1" s="1"/>
  <c r="C139" i="1"/>
  <c r="B139" i="1"/>
  <c r="H138" i="1" a="1"/>
  <c r="H138" i="1" s="1"/>
  <c r="C138" i="1"/>
  <c r="B138" i="1"/>
  <c r="H137" i="1" a="1"/>
  <c r="H137" i="1" s="1"/>
  <c r="C137" i="1"/>
  <c r="B137" i="1"/>
  <c r="H136" i="1" a="1"/>
  <c r="H136" i="1" s="1"/>
  <c r="C136" i="1"/>
  <c r="B136" i="1"/>
  <c r="H135" i="1" a="1"/>
  <c r="H135" i="1" s="1"/>
  <c r="C135" i="1"/>
  <c r="B135" i="1"/>
  <c r="H134" i="1" a="1"/>
  <c r="H134" i="1" s="1"/>
  <c r="C134" i="1"/>
  <c r="B134" i="1"/>
  <c r="H133" i="1" a="1"/>
  <c r="H133" i="1" s="1"/>
  <c r="C133" i="1"/>
  <c r="B133" i="1"/>
  <c r="H132" i="1" a="1"/>
  <c r="H132" i="1" s="1"/>
  <c r="C132" i="1"/>
  <c r="B132" i="1"/>
  <c r="H131" i="1" a="1"/>
  <c r="H131" i="1" s="1"/>
  <c r="C131" i="1"/>
  <c r="B131" i="1"/>
  <c r="H130" i="1" a="1"/>
  <c r="H130" i="1" s="1"/>
  <c r="C130" i="1"/>
  <c r="B130" i="1"/>
  <c r="H129" i="1" a="1"/>
  <c r="H129" i="1" s="1"/>
  <c r="C129" i="1"/>
  <c r="B129" i="1"/>
  <c r="H128" i="1" a="1"/>
  <c r="H128" i="1" s="1"/>
  <c r="C128" i="1"/>
  <c r="B128" i="1"/>
  <c r="H127" i="1" a="1"/>
  <c r="H127" i="1" s="1"/>
  <c r="C127" i="1"/>
  <c r="B127" i="1"/>
  <c r="H126" i="1" a="1"/>
  <c r="H126" i="1" s="1"/>
  <c r="C126" i="1"/>
  <c r="B126" i="1"/>
  <c r="H125" i="1" a="1"/>
  <c r="H125" i="1" s="1"/>
  <c r="C125" i="1"/>
  <c r="B125" i="1"/>
  <c r="H124" i="1" a="1"/>
  <c r="H124" i="1" s="1"/>
  <c r="C124" i="1"/>
  <c r="B124" i="1"/>
  <c r="H123" i="1" a="1"/>
  <c r="H123" i="1" s="1"/>
  <c r="C123" i="1"/>
  <c r="B123" i="1"/>
  <c r="H122" i="1" a="1"/>
  <c r="H122" i="1" s="1"/>
  <c r="C122" i="1"/>
  <c r="B122" i="1"/>
  <c r="H121" i="1" a="1"/>
  <c r="H121" i="1" s="1"/>
  <c r="C121" i="1"/>
  <c r="B121" i="1"/>
  <c r="H120" i="1" a="1"/>
  <c r="H120" i="1" s="1"/>
  <c r="C120" i="1"/>
  <c r="B120" i="1"/>
  <c r="H119" i="1" a="1"/>
  <c r="H119" i="1" s="1"/>
  <c r="C119" i="1"/>
  <c r="B119" i="1"/>
  <c r="H118" i="1" a="1"/>
  <c r="H118" i="1" s="1"/>
  <c r="C118" i="1"/>
  <c r="B118" i="1"/>
  <c r="H117" i="1" a="1"/>
  <c r="H117" i="1" s="1"/>
  <c r="C117" i="1"/>
  <c r="B117" i="1"/>
  <c r="H116" i="1" a="1"/>
  <c r="H116" i="1" s="1"/>
  <c r="C116" i="1"/>
  <c r="B116" i="1"/>
  <c r="H115" i="1" a="1"/>
  <c r="H115" i="1" s="1"/>
  <c r="C115" i="1"/>
  <c r="B115" i="1"/>
  <c r="H114" i="1" a="1"/>
  <c r="H114" i="1" s="1"/>
  <c r="C114" i="1"/>
  <c r="B114" i="1"/>
  <c r="H113" i="1" a="1"/>
  <c r="H113" i="1" s="1"/>
  <c r="C113" i="1"/>
  <c r="B113" i="1"/>
  <c r="H112" i="1" a="1"/>
  <c r="H112" i="1" s="1"/>
  <c r="C112" i="1"/>
  <c r="B112" i="1"/>
  <c r="H111" i="1" a="1"/>
  <c r="H111" i="1" s="1"/>
  <c r="C111" i="1"/>
  <c r="B111" i="1"/>
  <c r="H110" i="1" a="1"/>
  <c r="H110" i="1" s="1"/>
  <c r="C110" i="1"/>
  <c r="B110" i="1"/>
  <c r="H109" i="1" a="1"/>
  <c r="H109" i="1" s="1"/>
  <c r="C109" i="1"/>
  <c r="B109" i="1"/>
  <c r="H108" i="1" a="1"/>
  <c r="H108" i="1" s="1"/>
  <c r="C108" i="1"/>
  <c r="B108" i="1"/>
  <c r="H107" i="1" a="1"/>
  <c r="H107" i="1" s="1"/>
  <c r="C107" i="1"/>
  <c r="B107" i="1"/>
  <c r="H106" i="1" a="1"/>
  <c r="H106" i="1" s="1"/>
  <c r="C106" i="1"/>
  <c r="B106" i="1"/>
  <c r="H105" i="1" a="1"/>
  <c r="H105" i="1" s="1"/>
  <c r="C105" i="1"/>
  <c r="B105" i="1"/>
  <c r="H104" i="1" a="1"/>
  <c r="H104" i="1" s="1"/>
  <c r="C104" i="1"/>
  <c r="B104" i="1"/>
  <c r="H103" i="1" a="1"/>
  <c r="H103" i="1" s="1"/>
  <c r="C103" i="1"/>
  <c r="B103" i="1"/>
  <c r="H102" i="1" a="1"/>
  <c r="H102" i="1" s="1"/>
  <c r="C102" i="1"/>
  <c r="B102" i="1"/>
  <c r="H101" i="1" a="1"/>
  <c r="H101" i="1" s="1"/>
  <c r="C101" i="1"/>
  <c r="B101" i="1"/>
  <c r="H100" i="1" a="1"/>
  <c r="H100" i="1" s="1"/>
  <c r="C100" i="1"/>
  <c r="B100" i="1"/>
  <c r="H99" i="1" a="1"/>
  <c r="H99" i="1" s="1"/>
  <c r="C99" i="1"/>
  <c r="B99" i="1"/>
  <c r="H98" i="1" a="1"/>
  <c r="H98" i="1" s="1"/>
  <c r="C98" i="1"/>
  <c r="B98" i="1"/>
  <c r="H97" i="1" a="1"/>
  <c r="H97" i="1" s="1"/>
  <c r="C97" i="1"/>
  <c r="B97" i="1"/>
  <c r="H96" i="1" a="1"/>
  <c r="H96" i="1" s="1"/>
  <c r="C96" i="1"/>
  <c r="B96" i="1"/>
  <c r="H95" i="1" a="1"/>
  <c r="H95" i="1" s="1"/>
  <c r="C95" i="1"/>
  <c r="B95" i="1"/>
  <c r="H94" i="1" a="1"/>
  <c r="H94" i="1" s="1"/>
  <c r="C94" i="1"/>
  <c r="B94" i="1"/>
  <c r="H93" i="1" a="1"/>
  <c r="H93" i="1" s="1"/>
  <c r="C93" i="1"/>
  <c r="B93" i="1"/>
  <c r="H92" i="1" a="1"/>
  <c r="H92" i="1" s="1"/>
  <c r="C92" i="1"/>
  <c r="B92" i="1"/>
  <c r="H91" i="1" a="1"/>
  <c r="H91" i="1" s="1"/>
  <c r="C91" i="1"/>
  <c r="B91" i="1"/>
  <c r="H90" i="1" a="1"/>
  <c r="H90" i="1" s="1"/>
  <c r="C90" i="1"/>
  <c r="B90" i="1"/>
  <c r="H89" i="1" a="1"/>
  <c r="H89" i="1" s="1"/>
  <c r="C89" i="1"/>
  <c r="B89" i="1"/>
  <c r="H88" i="1" a="1"/>
  <c r="H88" i="1" s="1"/>
  <c r="C88" i="1"/>
  <c r="B88" i="1"/>
  <c r="H87" i="1" a="1"/>
  <c r="H87" i="1" s="1"/>
  <c r="C87" i="1"/>
  <c r="B87" i="1"/>
  <c r="H86" i="1" a="1"/>
  <c r="H86" i="1" s="1"/>
  <c r="C86" i="1"/>
  <c r="B86" i="1"/>
  <c r="H85" i="1" a="1"/>
  <c r="H85" i="1" s="1"/>
  <c r="C85" i="1"/>
  <c r="B85" i="1"/>
  <c r="H84" i="1" a="1"/>
  <c r="H84" i="1" s="1"/>
  <c r="C84" i="1"/>
  <c r="B84" i="1"/>
  <c r="H83" i="1" a="1"/>
  <c r="H83" i="1" s="1"/>
  <c r="C83" i="1"/>
  <c r="B83" i="1"/>
  <c r="H82" i="1" a="1"/>
  <c r="H82" i="1" s="1"/>
  <c r="C82" i="1"/>
  <c r="B82" i="1"/>
  <c r="H81" i="1" a="1"/>
  <c r="H81" i="1" s="1"/>
  <c r="C81" i="1"/>
  <c r="B81" i="1"/>
  <c r="H80" i="1" a="1"/>
  <c r="H80" i="1" s="1"/>
  <c r="C80" i="1"/>
  <c r="B80" i="1"/>
  <c r="H79" i="1" a="1"/>
  <c r="H79" i="1" s="1"/>
  <c r="C79" i="1"/>
  <c r="B79" i="1"/>
  <c r="H78" i="1" a="1"/>
  <c r="H78" i="1" s="1"/>
  <c r="C78" i="1"/>
  <c r="B78" i="1"/>
  <c r="H77" i="1" a="1"/>
  <c r="H77" i="1" s="1"/>
  <c r="C77" i="1"/>
  <c r="B77" i="1"/>
  <c r="H76" i="1" a="1"/>
  <c r="H76" i="1" s="1"/>
  <c r="C76" i="1"/>
  <c r="B76" i="1"/>
  <c r="H75" i="1" a="1"/>
  <c r="H75" i="1" s="1"/>
  <c r="C75" i="1"/>
  <c r="B75" i="1"/>
  <c r="H74" i="1" a="1"/>
  <c r="H74" i="1" s="1"/>
  <c r="C74" i="1"/>
  <c r="B74" i="1"/>
  <c r="H73" i="1" a="1"/>
  <c r="H73" i="1" s="1"/>
  <c r="C73" i="1"/>
  <c r="B73" i="1"/>
  <c r="H72" i="1" a="1"/>
  <c r="H72" i="1" s="1"/>
  <c r="C72" i="1"/>
  <c r="B72" i="1"/>
  <c r="H71" i="1" a="1"/>
  <c r="H71" i="1" s="1"/>
  <c r="C71" i="1"/>
  <c r="B71" i="1"/>
  <c r="H70" i="1" a="1"/>
  <c r="H70" i="1" s="1"/>
  <c r="C70" i="1"/>
  <c r="B70" i="1"/>
  <c r="H69" i="1" a="1"/>
  <c r="H69" i="1" s="1"/>
  <c r="C69" i="1"/>
  <c r="B69" i="1"/>
  <c r="H68" i="1" a="1"/>
  <c r="H68" i="1" s="1"/>
  <c r="C68" i="1"/>
  <c r="B68" i="1"/>
  <c r="H67" i="1" a="1"/>
  <c r="H67" i="1" s="1"/>
  <c r="C67" i="1"/>
  <c r="B67" i="1"/>
  <c r="H66" i="1" a="1"/>
  <c r="H66" i="1" s="1"/>
  <c r="C66" i="1"/>
  <c r="B66" i="1"/>
  <c r="H65" i="1" a="1"/>
  <c r="H65" i="1" s="1"/>
  <c r="C65" i="1"/>
  <c r="B65" i="1"/>
  <c r="H64" i="1" a="1"/>
  <c r="H64" i="1" s="1"/>
  <c r="C64" i="1"/>
  <c r="B64" i="1"/>
  <c r="H63" i="1" a="1"/>
  <c r="H63" i="1" s="1"/>
  <c r="C63" i="1"/>
  <c r="B63" i="1"/>
  <c r="H62" i="1" a="1"/>
  <c r="H62" i="1" s="1"/>
  <c r="C62" i="1"/>
  <c r="B62" i="1"/>
  <c r="H61" i="1" a="1"/>
  <c r="H61" i="1" s="1"/>
  <c r="C61" i="1"/>
  <c r="B61" i="1"/>
  <c r="H60" i="1" a="1"/>
  <c r="H60" i="1" s="1"/>
  <c r="C60" i="1"/>
  <c r="B60" i="1"/>
  <c r="H59" i="1" a="1"/>
  <c r="H59" i="1" s="1"/>
  <c r="C59" i="1"/>
  <c r="B59" i="1"/>
  <c r="H58" i="1" a="1"/>
  <c r="H58" i="1" s="1"/>
  <c r="C58" i="1"/>
  <c r="B58" i="1"/>
  <c r="H57" i="1" a="1"/>
  <c r="H57" i="1" s="1"/>
  <c r="C57" i="1"/>
  <c r="B57" i="1"/>
  <c r="H56" i="1" a="1"/>
  <c r="H56" i="1" s="1"/>
  <c r="C56" i="1"/>
  <c r="B56" i="1"/>
  <c r="H55" i="1" a="1"/>
  <c r="H55" i="1" s="1"/>
  <c r="C55" i="1"/>
  <c r="B55" i="1"/>
  <c r="H54" i="1" a="1"/>
  <c r="H54" i="1" s="1"/>
  <c r="C54" i="1"/>
  <c r="B54" i="1"/>
  <c r="H53" i="1" a="1"/>
  <c r="H53" i="1" s="1"/>
  <c r="C53" i="1"/>
  <c r="B53" i="1"/>
  <c r="H52" i="1" a="1"/>
  <c r="H52" i="1" s="1"/>
  <c r="C52" i="1"/>
  <c r="B52" i="1"/>
  <c r="H51" i="1" a="1"/>
  <c r="H51" i="1" s="1"/>
  <c r="C51" i="1"/>
  <c r="B51" i="1"/>
  <c r="H50" i="1" a="1"/>
  <c r="H50" i="1" s="1"/>
  <c r="C50" i="1"/>
  <c r="B50" i="1"/>
  <c r="H49" i="1" a="1"/>
  <c r="H49" i="1" s="1"/>
  <c r="C49" i="1"/>
  <c r="B49" i="1"/>
  <c r="H47" i="1" a="1"/>
  <c r="H47" i="1" s="1"/>
  <c r="C47" i="1"/>
  <c r="B47" i="1"/>
  <c r="H46" i="1" a="1"/>
  <c r="H46" i="1" s="1"/>
  <c r="C46" i="1"/>
  <c r="B46" i="1"/>
  <c r="H45" i="1" a="1"/>
  <c r="H45" i="1" s="1"/>
  <c r="C45" i="1"/>
  <c r="B45" i="1"/>
  <c r="H44" i="1" a="1"/>
  <c r="H44" i="1" s="1"/>
  <c r="C44" i="1"/>
  <c r="B44" i="1"/>
  <c r="H43" i="1" a="1"/>
  <c r="H43" i="1" s="1"/>
  <c r="C43" i="1"/>
  <c r="B43" i="1"/>
  <c r="H42" i="1" a="1"/>
  <c r="H42" i="1" s="1"/>
  <c r="C42" i="1"/>
  <c r="B42" i="1"/>
  <c r="H41" i="1" a="1"/>
  <c r="H41" i="1" s="1"/>
  <c r="C41" i="1"/>
  <c r="B41" i="1"/>
  <c r="H40" i="1" a="1"/>
  <c r="H40" i="1" s="1"/>
  <c r="C40" i="1"/>
  <c r="B40" i="1"/>
  <c r="H39" i="1" a="1"/>
  <c r="H39" i="1" s="1"/>
  <c r="C39" i="1"/>
  <c r="B39" i="1"/>
  <c r="H38" i="1" a="1"/>
  <c r="H38" i="1" s="1"/>
  <c r="C38" i="1"/>
  <c r="B38" i="1"/>
  <c r="H37" i="1" a="1"/>
  <c r="H37" i="1" s="1"/>
  <c r="C37" i="1"/>
  <c r="B37" i="1"/>
  <c r="H36" i="1" a="1"/>
  <c r="H36" i="1" s="1"/>
  <c r="C36" i="1"/>
  <c r="B36" i="1"/>
  <c r="H35" i="1" a="1"/>
  <c r="H35" i="1" s="1"/>
  <c r="C35" i="1"/>
  <c r="B35" i="1"/>
  <c r="H34" i="1" a="1"/>
  <c r="H34" i="1" s="1"/>
  <c r="C34" i="1"/>
  <c r="B34" i="1"/>
  <c r="H33" i="1" a="1"/>
  <c r="H33" i="1" s="1"/>
  <c r="C33" i="1"/>
  <c r="B33" i="1"/>
  <c r="H32" i="1" a="1"/>
  <c r="H32" i="1" s="1"/>
  <c r="C32" i="1"/>
  <c r="B32" i="1"/>
  <c r="H31" i="1" a="1"/>
  <c r="H31" i="1" s="1"/>
  <c r="C31" i="1"/>
  <c r="B31" i="1"/>
  <c r="H30" i="1" a="1"/>
  <c r="H30" i="1" s="1"/>
  <c r="C30" i="1"/>
  <c r="B30" i="1"/>
  <c r="H29" i="1" a="1"/>
  <c r="H29" i="1" s="1"/>
  <c r="C29" i="1"/>
  <c r="B29" i="1"/>
  <c r="H28" i="1" a="1"/>
  <c r="H28" i="1" s="1"/>
  <c r="C28" i="1"/>
  <c r="B28" i="1"/>
  <c r="H27" i="1" a="1"/>
  <c r="H27" i="1" s="1"/>
  <c r="C27" i="1"/>
  <c r="B27" i="1"/>
  <c r="H26" i="1" a="1"/>
  <c r="H26" i="1" s="1"/>
  <c r="C26" i="1"/>
  <c r="B26" i="1"/>
  <c r="H25" i="1" a="1"/>
  <c r="H25" i="1" s="1"/>
  <c r="C25" i="1"/>
  <c r="B25" i="1"/>
  <c r="H24" i="1" a="1"/>
  <c r="H24" i="1" s="1"/>
  <c r="C24" i="1"/>
  <c r="B24" i="1"/>
  <c r="H23" i="1" a="1"/>
  <c r="H23" i="1" s="1"/>
  <c r="C23" i="1"/>
  <c r="B23" i="1"/>
  <c r="H22" i="1" a="1"/>
  <c r="H22" i="1" s="1"/>
  <c r="C22" i="1"/>
  <c r="B22" i="1"/>
  <c r="H21" i="1" a="1"/>
  <c r="H21" i="1" s="1"/>
  <c r="C21" i="1"/>
  <c r="B21" i="1"/>
  <c r="H20" i="1" a="1"/>
  <c r="H20" i="1" s="1"/>
  <c r="C20" i="1"/>
  <c r="B20" i="1"/>
  <c r="H19" i="1" a="1"/>
  <c r="H19" i="1" s="1"/>
  <c r="C19" i="1"/>
  <c r="B19" i="1"/>
  <c r="H18" i="1" a="1"/>
  <c r="H18" i="1" s="1"/>
  <c r="C18" i="1"/>
  <c r="B18" i="1"/>
  <c r="H17" i="1" a="1"/>
  <c r="H17" i="1" s="1"/>
  <c r="C17" i="1"/>
  <c r="B17" i="1"/>
  <c r="H16" i="1" a="1"/>
  <c r="H16" i="1" s="1"/>
  <c r="C16" i="1"/>
  <c r="B16" i="1"/>
  <c r="H15" i="1" a="1"/>
  <c r="H15" i="1" s="1"/>
  <c r="C15" i="1"/>
  <c r="B15" i="1"/>
  <c r="H14" i="1" a="1"/>
  <c r="H14" i="1" s="1"/>
  <c r="C14" i="1"/>
  <c r="B14" i="1"/>
  <c r="H13" i="1" a="1"/>
  <c r="H13" i="1" s="1"/>
  <c r="C13" i="1"/>
  <c r="B13" i="1"/>
  <c r="H12" i="1" a="1"/>
  <c r="H12" i="1" s="1"/>
  <c r="C12" i="1"/>
  <c r="B12" i="1"/>
  <c r="H11" i="1" a="1"/>
  <c r="H11" i="1" s="1"/>
  <c r="C11" i="1"/>
  <c r="B11" i="1"/>
  <c r="H10" i="1" a="1"/>
  <c r="H10" i="1" s="1"/>
  <c r="C10" i="1"/>
  <c r="B10" i="1"/>
  <c r="H9" i="1" a="1"/>
  <c r="H9" i="1" s="1"/>
  <c r="C9" i="1"/>
  <c r="B9" i="1"/>
  <c r="H8" i="1" a="1"/>
  <c r="H8" i="1" s="1"/>
  <c r="C8" i="1"/>
  <c r="B8" i="1"/>
  <c r="H7" i="1" a="1"/>
  <c r="H7" i="1" s="1"/>
  <c r="C7" i="1"/>
  <c r="B7" i="1"/>
  <c r="H6" i="1" a="1"/>
  <c r="H6" i="1" s="1"/>
  <c r="C6" i="1"/>
  <c r="B6" i="1"/>
  <c r="H5" i="1" a="1"/>
  <c r="H5" i="1" s="1"/>
  <c r="C5" i="1"/>
  <c r="B5" i="1"/>
  <c r="H4" i="1" a="1"/>
  <c r="H4" i="1" s="1"/>
  <c r="C4" i="1"/>
  <c r="B4" i="1"/>
  <c r="H3" i="1" a="1"/>
  <c r="H3" i="1" s="1"/>
  <c r="C3" i="1"/>
  <c r="B3" i="1"/>
  <c r="E1" i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Y17" i="1" l="1"/>
  <c r="Y29" i="1"/>
  <c r="Y41" i="1"/>
  <c r="Y54" i="1"/>
  <c r="Y66" i="1"/>
  <c r="Y78" i="1"/>
  <c r="Y90" i="1"/>
  <c r="Y102" i="1"/>
  <c r="Y114" i="1"/>
  <c r="Y126" i="1"/>
  <c r="Y138" i="1"/>
  <c r="Y150" i="1"/>
  <c r="Y162" i="1"/>
  <c r="Y174" i="1"/>
  <c r="Y186" i="1"/>
  <c r="Y198" i="1"/>
  <c r="Y210" i="1"/>
  <c r="Y222" i="1"/>
  <c r="Y234" i="1"/>
  <c r="Y246" i="1"/>
  <c r="Y12" i="1"/>
  <c r="Y258" i="1"/>
  <c r="Y10" i="1"/>
  <c r="Y22" i="1"/>
  <c r="Y34" i="1"/>
  <c r="Y46" i="1"/>
  <c r="Y576" i="1"/>
  <c r="Y588" i="1"/>
  <c r="Y84" i="1"/>
  <c r="Y96" i="1"/>
  <c r="Y120" i="1"/>
  <c r="Y156" i="1"/>
  <c r="Y168" i="1"/>
  <c r="Y192" i="1"/>
  <c r="Y456" i="1"/>
  <c r="Y468" i="1"/>
  <c r="Y480" i="1"/>
  <c r="Y492" i="1"/>
  <c r="Y504" i="1"/>
  <c r="Y516" i="1"/>
  <c r="Y528" i="1"/>
  <c r="Y540" i="1"/>
  <c r="Y564" i="1"/>
  <c r="Y552" i="1"/>
  <c r="Y24" i="1"/>
  <c r="Y60" i="1"/>
  <c r="Y72" i="1"/>
  <c r="Y108" i="1"/>
  <c r="Y132" i="1"/>
  <c r="Y144" i="1"/>
  <c r="Y180" i="1"/>
  <c r="Y204" i="1"/>
  <c r="Y270" i="1"/>
  <c r="Y600" i="1"/>
  <c r="Y648" i="1"/>
  <c r="Y612" i="1"/>
  <c r="Y636" i="1"/>
  <c r="Y624" i="1"/>
  <c r="Y36" i="1"/>
  <c r="Y282" i="1"/>
  <c r="Y52" i="1"/>
  <c r="Y64" i="1"/>
  <c r="Y76" i="1"/>
  <c r="Y88" i="1"/>
  <c r="Y100" i="1"/>
  <c r="Y112" i="1"/>
  <c r="Y124" i="1"/>
  <c r="Y136" i="1"/>
  <c r="Y148" i="1"/>
  <c r="Y160" i="1"/>
  <c r="Y172" i="1"/>
  <c r="Y184" i="1"/>
  <c r="Y196" i="1"/>
  <c r="Y208" i="1"/>
  <c r="Y460" i="1"/>
  <c r="Y472" i="1"/>
  <c r="Y484" i="1"/>
  <c r="Y496" i="1"/>
  <c r="Y508" i="1"/>
  <c r="Y520" i="1"/>
  <c r="Y532" i="1"/>
  <c r="Y544" i="1"/>
  <c r="Y556" i="1"/>
  <c r="Y568" i="1"/>
  <c r="Y580" i="1"/>
  <c r="Y592" i="1"/>
  <c r="Y604" i="1"/>
  <c r="Y616" i="1"/>
  <c r="Y628" i="1"/>
  <c r="Y640" i="1"/>
  <c r="Y652" i="1"/>
  <c r="Y664" i="1"/>
  <c r="Y69" i="1"/>
  <c r="Y105" i="1"/>
  <c r="Y141" i="1"/>
  <c r="Y189" i="1"/>
  <c r="Y213" i="1"/>
  <c r="Y249" i="1"/>
  <c r="Y273" i="1"/>
  <c r="Y285" i="1"/>
  <c r="Y309" i="1"/>
  <c r="Y357" i="1"/>
  <c r="Y393" i="1"/>
  <c r="Y429" i="1"/>
  <c r="Y465" i="1"/>
  <c r="Y489" i="1"/>
  <c r="Y525" i="1"/>
  <c r="Y549" i="1"/>
  <c r="Y573" i="1"/>
  <c r="Y609" i="1"/>
  <c r="Y621" i="1"/>
  <c r="Y30" i="1"/>
  <c r="Y81" i="1"/>
  <c r="Y93" i="1"/>
  <c r="Y129" i="1"/>
  <c r="Y165" i="1"/>
  <c r="Y177" i="1"/>
  <c r="Y201" i="1"/>
  <c r="Y237" i="1"/>
  <c r="Y261" i="1"/>
  <c r="Y297" i="1"/>
  <c r="Y345" i="1"/>
  <c r="Y381" i="1"/>
  <c r="Y405" i="1"/>
  <c r="Y417" i="1"/>
  <c r="Y453" i="1"/>
  <c r="Y501" i="1"/>
  <c r="Y537" i="1"/>
  <c r="Y561" i="1"/>
  <c r="Y585" i="1"/>
  <c r="Y597" i="1"/>
  <c r="Y633" i="1"/>
  <c r="Y4" i="1"/>
  <c r="Y16" i="1"/>
  <c r="Y28" i="1"/>
  <c r="Y40" i="1"/>
  <c r="Y53" i="1"/>
  <c r="Y65" i="1"/>
  <c r="Y77" i="1"/>
  <c r="Y89" i="1"/>
  <c r="Y101" i="1"/>
  <c r="Y113" i="1"/>
  <c r="Y125" i="1"/>
  <c r="Y137" i="1"/>
  <c r="Y149" i="1"/>
  <c r="Y161" i="1"/>
  <c r="Y173" i="1"/>
  <c r="Y185" i="1"/>
  <c r="Y197" i="1"/>
  <c r="Y209" i="1"/>
  <c r="Y221" i="1"/>
  <c r="Y233" i="1"/>
  <c r="Y245" i="1"/>
  <c r="Y257" i="1"/>
  <c r="Y269" i="1"/>
  <c r="Y281" i="1"/>
  <c r="Y293" i="1"/>
  <c r="Y305" i="1"/>
  <c r="Y317" i="1"/>
  <c r="Y329" i="1"/>
  <c r="Y341" i="1"/>
  <c r="Y353" i="1"/>
  <c r="Y365" i="1"/>
  <c r="Y377" i="1"/>
  <c r="Y389" i="1"/>
  <c r="Y401" i="1"/>
  <c r="Y413" i="1"/>
  <c r="Y425" i="1"/>
  <c r="Y437" i="1"/>
  <c r="Y449" i="1"/>
  <c r="Y461" i="1"/>
  <c r="Y473" i="1"/>
  <c r="Y485" i="1"/>
  <c r="Y497" i="1"/>
  <c r="Y509" i="1"/>
  <c r="Y521" i="1"/>
  <c r="Y533" i="1"/>
  <c r="Y545" i="1"/>
  <c r="Y557" i="1"/>
  <c r="Y569" i="1"/>
  <c r="Y57" i="1"/>
  <c r="Y153" i="1"/>
  <c r="Y321" i="1"/>
  <c r="Y369" i="1"/>
  <c r="Y441" i="1"/>
  <c r="Y18" i="1"/>
  <c r="Y21" i="1"/>
  <c r="Y33" i="1"/>
  <c r="Y45" i="1"/>
  <c r="Y58" i="1"/>
  <c r="Y70" i="1"/>
  <c r="Y82" i="1"/>
  <c r="Y94" i="1"/>
  <c r="Y106" i="1"/>
  <c r="Y118" i="1"/>
  <c r="Y130" i="1"/>
  <c r="Y142" i="1"/>
  <c r="Y154" i="1"/>
  <c r="Y166" i="1"/>
  <c r="Y178" i="1"/>
  <c r="Y190" i="1"/>
  <c r="Y202" i="1"/>
  <c r="Y214" i="1"/>
  <c r="Y226" i="1"/>
  <c r="Y238" i="1"/>
  <c r="Y250" i="1"/>
  <c r="Y262" i="1"/>
  <c r="Y117" i="1"/>
  <c r="Y225" i="1"/>
  <c r="Y333" i="1"/>
  <c r="Y477" i="1"/>
  <c r="Y513" i="1"/>
  <c r="Y9" i="1"/>
  <c r="Y681" i="1"/>
  <c r="Y669" i="1"/>
  <c r="Y42" i="1"/>
  <c r="Y645" i="1"/>
  <c r="Y657" i="1"/>
  <c r="Y286" i="1"/>
  <c r="Y274" i="1"/>
  <c r="Y48" i="1"/>
  <c r="X48" i="1"/>
  <c r="Y660" i="1"/>
  <c r="Y676" i="1"/>
  <c r="Y672" i="1"/>
  <c r="Y684" i="1"/>
  <c r="Y705" i="1"/>
  <c r="Y693" i="1"/>
  <c r="Y753" i="1"/>
  <c r="Y8" i="1"/>
  <c r="Y20" i="1"/>
  <c r="Y32" i="1"/>
  <c r="Y44" i="1"/>
  <c r="Y56" i="1"/>
  <c r="Y68" i="1"/>
  <c r="Y80" i="1"/>
  <c r="Y92" i="1"/>
  <c r="Y104" i="1"/>
  <c r="Y116" i="1"/>
  <c r="Y128" i="1"/>
  <c r="Y140" i="1"/>
  <c r="Y152" i="1"/>
  <c r="Y164" i="1"/>
  <c r="Y176" i="1"/>
  <c r="Y188" i="1"/>
  <c r="Y200" i="1"/>
  <c r="Y212" i="1"/>
  <c r="Y452" i="1"/>
  <c r="Y464" i="1"/>
  <c r="Y476" i="1"/>
  <c r="Y488" i="1"/>
  <c r="Y500" i="1"/>
  <c r="Y512" i="1"/>
  <c r="Y524" i="1"/>
  <c r="Y536" i="1"/>
  <c r="Y548" i="1"/>
  <c r="Y560" i="1"/>
  <c r="Y572" i="1"/>
  <c r="Y584" i="1"/>
  <c r="Y596" i="1"/>
  <c r="Y608" i="1"/>
  <c r="Y620" i="1"/>
  <c r="Y632" i="1"/>
  <c r="Y644" i="1"/>
  <c r="Y656" i="1"/>
  <c r="Y668" i="1"/>
  <c r="Y680" i="1"/>
  <c r="Y14" i="1"/>
  <c r="Y26" i="1"/>
  <c r="Y38" i="1"/>
  <c r="Y50" i="1"/>
  <c r="Y62" i="1"/>
  <c r="Y74" i="1"/>
  <c r="Y86" i="1"/>
  <c r="Y98" i="1"/>
  <c r="Y110" i="1"/>
  <c r="Y122" i="1"/>
  <c r="Y134" i="1"/>
  <c r="Y146" i="1"/>
  <c r="Y158" i="1"/>
  <c r="Y170" i="1"/>
  <c r="Y182" i="1"/>
  <c r="Y194" i="1"/>
  <c r="Y206" i="1"/>
  <c r="Y218" i="1"/>
  <c r="Y230" i="1"/>
  <c r="Y37" i="1"/>
  <c r="Y73" i="1"/>
  <c r="Y169" i="1"/>
  <c r="Y229" i="1"/>
  <c r="Y265" i="1"/>
  <c r="Y289" i="1"/>
  <c r="Y325" i="1"/>
  <c r="Y349" i="1"/>
  <c r="Y409" i="1"/>
  <c r="Y445" i="1"/>
  <c r="Y469" i="1"/>
  <c r="Y505" i="1"/>
  <c r="Y553" i="1"/>
  <c r="Y601" i="1"/>
  <c r="Y649" i="1"/>
  <c r="Y673" i="1"/>
  <c r="Y697" i="1"/>
  <c r="Y757" i="1"/>
  <c r="Y817" i="1"/>
  <c r="Y49" i="1"/>
  <c r="Y133" i="1"/>
  <c r="Y157" i="1"/>
  <c r="Y193" i="1"/>
  <c r="Y241" i="1"/>
  <c r="Y373" i="1"/>
  <c r="Y421" i="1"/>
  <c r="Y457" i="1"/>
  <c r="Y517" i="1"/>
  <c r="Y565" i="1"/>
  <c r="Y625" i="1"/>
  <c r="Y685" i="1"/>
  <c r="Y781" i="1"/>
  <c r="Y805" i="1"/>
  <c r="Y35" i="1"/>
  <c r="Y25" i="1"/>
  <c r="Y97" i="1"/>
  <c r="Y121" i="1"/>
  <c r="Y145" i="1"/>
  <c r="Y181" i="1"/>
  <c r="Y217" i="1"/>
  <c r="Y253" i="1"/>
  <c r="Y313" i="1"/>
  <c r="Y361" i="1"/>
  <c r="Y397" i="1"/>
  <c r="Y481" i="1"/>
  <c r="Y541" i="1"/>
  <c r="Y589" i="1"/>
  <c r="Y637" i="1"/>
  <c r="Y661" i="1"/>
  <c r="Y793" i="1"/>
  <c r="Y23" i="1"/>
  <c r="Y13" i="1"/>
  <c r="Y61" i="1"/>
  <c r="Y85" i="1"/>
  <c r="Y109" i="1"/>
  <c r="Y205" i="1"/>
  <c r="Y277" i="1"/>
  <c r="Y301" i="1"/>
  <c r="Y337" i="1"/>
  <c r="Y385" i="1"/>
  <c r="Y433" i="1"/>
  <c r="Y493" i="1"/>
  <c r="Y529" i="1"/>
  <c r="Y577" i="1"/>
  <c r="Y613" i="1"/>
  <c r="Y709" i="1"/>
  <c r="Y769" i="1"/>
  <c r="Y11" i="1"/>
  <c r="Y242" i="1"/>
  <c r="Y254" i="1"/>
  <c r="Y266" i="1"/>
  <c r="Y841" i="1"/>
  <c r="Y829" i="1"/>
  <c r="Y59" i="1"/>
  <c r="Y527" i="1"/>
  <c r="Y47" i="1"/>
  <c r="Y278" i="1"/>
  <c r="Y581" i="1"/>
  <c r="Y593" i="1"/>
  <c r="Y605" i="1"/>
  <c r="Y617" i="1"/>
  <c r="Y629" i="1"/>
  <c r="Y641" i="1"/>
  <c r="Y653" i="1"/>
  <c r="Y665" i="1"/>
  <c r="Y677" i="1"/>
  <c r="Y689" i="1"/>
  <c r="Y701" i="1"/>
  <c r="Y713" i="1"/>
  <c r="Y761" i="1"/>
  <c r="Y773" i="1"/>
  <c r="Y785" i="1"/>
  <c r="Y797" i="1"/>
  <c r="Y809" i="1"/>
  <c r="Y821" i="1"/>
  <c r="Y833" i="1"/>
  <c r="Y845" i="1"/>
  <c r="Y7" i="1"/>
  <c r="Y19" i="1"/>
  <c r="Y31" i="1"/>
  <c r="Y43" i="1"/>
  <c r="Y55" i="1"/>
  <c r="Y67" i="1"/>
  <c r="Y535" i="1"/>
  <c r="Y15" i="1"/>
  <c r="Y27" i="1"/>
  <c r="Y39" i="1"/>
  <c r="Y51" i="1"/>
  <c r="Y63" i="1"/>
  <c r="Y531" i="1"/>
  <c r="X322" i="1"/>
  <c r="X430" i="1"/>
  <c r="X466" i="1"/>
  <c r="X574" i="1"/>
  <c r="X610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62" i="1"/>
  <c r="X774" i="1"/>
  <c r="X782" i="1"/>
  <c r="X786" i="1"/>
  <c r="X790" i="1"/>
  <c r="X798" i="1"/>
  <c r="X810" i="1"/>
  <c r="X818" i="1"/>
  <c r="X822" i="1"/>
  <c r="X826" i="1"/>
  <c r="X834" i="1"/>
  <c r="X846" i="1"/>
  <c r="X854" i="1"/>
  <c r="X858" i="1"/>
  <c r="Y866" i="1"/>
  <c r="Y3" i="1"/>
  <c r="X861" i="1"/>
  <c r="X278" i="1"/>
  <c r="X577" i="1"/>
  <c r="X721" i="1"/>
  <c r="X757" i="1"/>
  <c r="X793" i="1"/>
  <c r="X829" i="1"/>
  <c r="Y290" i="1"/>
  <c r="Y294" i="1"/>
  <c r="Y298" i="1"/>
  <c r="Y302" i="1"/>
  <c r="Y306" i="1"/>
  <c r="Y310" i="1"/>
  <c r="Y314" i="1"/>
  <c r="Y318" i="1"/>
  <c r="Y322" i="1"/>
  <c r="Y326" i="1"/>
  <c r="Y330" i="1"/>
  <c r="Y334" i="1"/>
  <c r="Y338" i="1"/>
  <c r="Y342" i="1"/>
  <c r="Y346" i="1"/>
  <c r="Y350" i="1"/>
  <c r="Y354" i="1"/>
  <c r="Y358" i="1"/>
  <c r="Y362" i="1"/>
  <c r="Y366" i="1"/>
  <c r="Y370" i="1"/>
  <c r="Y374" i="1"/>
  <c r="Y378" i="1"/>
  <c r="Y382" i="1"/>
  <c r="Y386" i="1"/>
  <c r="Y390" i="1"/>
  <c r="Y394" i="1"/>
  <c r="Y398" i="1"/>
  <c r="Y402" i="1"/>
  <c r="Y406" i="1"/>
  <c r="Y410" i="1"/>
  <c r="Y414" i="1"/>
  <c r="Y418" i="1"/>
  <c r="Y422" i="1"/>
  <c r="Y426" i="1"/>
  <c r="Y430" i="1"/>
  <c r="Y434" i="1"/>
  <c r="Y438" i="1"/>
  <c r="Y442" i="1"/>
  <c r="Y446" i="1"/>
  <c r="Y450" i="1"/>
  <c r="Y454" i="1"/>
  <c r="Y458" i="1"/>
  <c r="Y462" i="1"/>
  <c r="Y466" i="1"/>
  <c r="Y470" i="1"/>
  <c r="Y474" i="1"/>
  <c r="Y478" i="1"/>
  <c r="Y482" i="1"/>
  <c r="Y486" i="1"/>
  <c r="Y490" i="1"/>
  <c r="Y494" i="1"/>
  <c r="Y498" i="1"/>
  <c r="Y502" i="1"/>
  <c r="Y506" i="1"/>
  <c r="Y510" i="1"/>
  <c r="Y514" i="1"/>
  <c r="Y518" i="1"/>
  <c r="Y522" i="1"/>
  <c r="Y526" i="1"/>
  <c r="Y530" i="1"/>
  <c r="Y534" i="1"/>
  <c r="Y538" i="1"/>
  <c r="Y542" i="1"/>
  <c r="Y546" i="1"/>
  <c r="Y550" i="1"/>
  <c r="Y554" i="1"/>
  <c r="Y558" i="1"/>
  <c r="Y562" i="1"/>
  <c r="Y566" i="1"/>
  <c r="Y570" i="1"/>
  <c r="Y574" i="1"/>
  <c r="Y578" i="1"/>
  <c r="Y582" i="1"/>
  <c r="Y586" i="1"/>
  <c r="Y590" i="1"/>
  <c r="Y594" i="1"/>
  <c r="Y598" i="1"/>
  <c r="Y602" i="1"/>
  <c r="Y606" i="1"/>
  <c r="Y610" i="1"/>
  <c r="Y614" i="1"/>
  <c r="Y618" i="1"/>
  <c r="X684" i="1"/>
  <c r="X696" i="1"/>
  <c r="X708" i="1"/>
  <c r="X720" i="1"/>
  <c r="X732" i="1"/>
  <c r="X744" i="1"/>
  <c r="X756" i="1"/>
  <c r="X768" i="1"/>
  <c r="X780" i="1"/>
  <c r="X792" i="1"/>
  <c r="X804" i="1"/>
  <c r="X816" i="1"/>
  <c r="X820" i="1"/>
  <c r="X824" i="1"/>
  <c r="X828" i="1"/>
  <c r="X832" i="1"/>
  <c r="X836" i="1"/>
  <c r="X840" i="1"/>
  <c r="X844" i="1"/>
  <c r="X848" i="1"/>
  <c r="X852" i="1"/>
  <c r="X856" i="1"/>
  <c r="X860" i="1"/>
  <c r="X864" i="1"/>
  <c r="Y853" i="1"/>
  <c r="Y857" i="1"/>
  <c r="Y861" i="1"/>
  <c r="Y865" i="1"/>
  <c r="Y86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433" i="1"/>
  <c r="X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519" i="1"/>
  <c r="X523" i="1"/>
  <c r="Y688" i="1"/>
  <c r="Y692" i="1"/>
  <c r="Y696" i="1"/>
  <c r="Y700" i="1"/>
  <c r="Y704" i="1"/>
  <c r="Y708" i="1"/>
  <c r="Y712" i="1"/>
  <c r="Y716" i="1"/>
  <c r="Y720" i="1"/>
  <c r="Y724" i="1"/>
  <c r="Y728" i="1"/>
  <c r="Y732" i="1"/>
  <c r="Y736" i="1"/>
  <c r="Y740" i="1"/>
  <c r="Y744" i="1"/>
  <c r="Y748" i="1"/>
  <c r="Y752" i="1"/>
  <c r="Y756" i="1"/>
  <c r="Y760" i="1"/>
  <c r="Y764" i="1"/>
  <c r="Y768" i="1"/>
  <c r="Y772" i="1"/>
  <c r="Y776" i="1"/>
  <c r="Y780" i="1"/>
  <c r="Y784" i="1"/>
  <c r="Y788" i="1"/>
  <c r="Y792" i="1"/>
  <c r="Y796" i="1"/>
  <c r="Y800" i="1"/>
  <c r="Y804" i="1"/>
  <c r="Y808" i="1"/>
  <c r="Y812" i="1"/>
  <c r="Y816" i="1"/>
  <c r="Y820" i="1"/>
  <c r="X6" i="1"/>
  <c r="X118" i="1"/>
  <c r="X182" i="1"/>
  <c r="X230" i="1"/>
  <c r="X314" i="1"/>
  <c r="X350" i="1"/>
  <c r="X358" i="1"/>
  <c r="X386" i="1"/>
  <c r="X394" i="1"/>
  <c r="X422" i="1"/>
  <c r="X458" i="1"/>
  <c r="X494" i="1"/>
  <c r="X502" i="1"/>
  <c r="X530" i="1"/>
  <c r="X538" i="1"/>
  <c r="X566" i="1"/>
  <c r="X602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Y539" i="1"/>
  <c r="Y543" i="1"/>
  <c r="Y547" i="1"/>
  <c r="Y551" i="1"/>
  <c r="Y555" i="1"/>
  <c r="Y559" i="1"/>
  <c r="Y563" i="1"/>
  <c r="Y567" i="1"/>
  <c r="Y571" i="1"/>
  <c r="Y575" i="1"/>
  <c r="Y579" i="1"/>
  <c r="Y583" i="1"/>
  <c r="Y587" i="1"/>
  <c r="Y591" i="1"/>
  <c r="Y595" i="1"/>
  <c r="Y599" i="1"/>
  <c r="Y603" i="1"/>
  <c r="Y607" i="1"/>
  <c r="Y611" i="1"/>
  <c r="Y615" i="1"/>
  <c r="Y619" i="1"/>
  <c r="Y623" i="1"/>
  <c r="Y627" i="1"/>
  <c r="Y631" i="1"/>
  <c r="Y635" i="1"/>
  <c r="Y639" i="1"/>
  <c r="Y643" i="1"/>
  <c r="Y647" i="1"/>
  <c r="Y651" i="1"/>
  <c r="Y655" i="1"/>
  <c r="Y659" i="1"/>
  <c r="Y663" i="1"/>
  <c r="Y667" i="1"/>
  <c r="Y671" i="1"/>
  <c r="Y675" i="1"/>
  <c r="Y679" i="1"/>
  <c r="Y683" i="1"/>
  <c r="Y687" i="1"/>
  <c r="Y691" i="1"/>
  <c r="Y695" i="1"/>
  <c r="Y699" i="1"/>
  <c r="Y703" i="1"/>
  <c r="Y707" i="1"/>
  <c r="Y711" i="1"/>
  <c r="Y715" i="1"/>
  <c r="Y719" i="1"/>
  <c r="Y723" i="1"/>
  <c r="Y727" i="1"/>
  <c r="Y731" i="1"/>
  <c r="Y735" i="1"/>
  <c r="Y739" i="1"/>
  <c r="Y743" i="1"/>
  <c r="Y747" i="1"/>
  <c r="Y751" i="1"/>
  <c r="Y755" i="1"/>
  <c r="Y759" i="1"/>
  <c r="Y763" i="1"/>
  <c r="Y767" i="1"/>
  <c r="Y771" i="1"/>
  <c r="Y775" i="1"/>
  <c r="Y779" i="1"/>
  <c r="Y783" i="1"/>
  <c r="Y787" i="1"/>
  <c r="Y791" i="1"/>
  <c r="Y795" i="1"/>
  <c r="Y799" i="1"/>
  <c r="Y803" i="1"/>
  <c r="Y807" i="1"/>
  <c r="Y811" i="1"/>
  <c r="Y815" i="1"/>
  <c r="Y819" i="1"/>
  <c r="Y823" i="1"/>
  <c r="X5" i="1"/>
  <c r="X325" i="1"/>
  <c r="X361" i="1"/>
  <c r="X397" i="1"/>
  <c r="X469" i="1"/>
  <c r="X505" i="1"/>
  <c r="X541" i="1"/>
  <c r="X613" i="1"/>
  <c r="X649" i="1"/>
  <c r="X685" i="1"/>
  <c r="X717" i="1"/>
  <c r="X725" i="1"/>
  <c r="X729" i="1"/>
  <c r="X733" i="1"/>
  <c r="X737" i="1"/>
  <c r="X741" i="1"/>
  <c r="X745" i="1"/>
  <c r="X749" i="1"/>
  <c r="X753" i="1"/>
  <c r="X761" i="1"/>
  <c r="X773" i="1"/>
  <c r="X785" i="1"/>
  <c r="X797" i="1"/>
  <c r="X809" i="1"/>
  <c r="X821" i="1"/>
  <c r="X833" i="1"/>
  <c r="X845" i="1"/>
  <c r="X857" i="1"/>
  <c r="Y754" i="1"/>
  <c r="Y758" i="1"/>
  <c r="Y762" i="1"/>
  <c r="Y766" i="1"/>
  <c r="Y770" i="1"/>
  <c r="Y774" i="1"/>
  <c r="Y778" i="1"/>
  <c r="Y782" i="1"/>
  <c r="Y786" i="1"/>
  <c r="Y790" i="1"/>
  <c r="Y794" i="1"/>
  <c r="Y798" i="1"/>
  <c r="Y802" i="1"/>
  <c r="Y806" i="1"/>
  <c r="Y810" i="1"/>
  <c r="Y814" i="1"/>
  <c r="Y818" i="1"/>
  <c r="Y822" i="1"/>
  <c r="Y826" i="1"/>
  <c r="Y830" i="1"/>
  <c r="Y834" i="1"/>
  <c r="Y838" i="1"/>
  <c r="Y842" i="1"/>
  <c r="Y846" i="1"/>
  <c r="Y850" i="1"/>
  <c r="Y854" i="1"/>
  <c r="Y858" i="1"/>
  <c r="Y862" i="1"/>
  <c r="X212" i="1"/>
  <c r="X216" i="1"/>
  <c r="X220" i="1"/>
  <c r="X224" i="1"/>
  <c r="X228" i="1"/>
  <c r="X232" i="1"/>
  <c r="X236" i="1"/>
  <c r="X240" i="1"/>
  <c r="X244" i="1"/>
  <c r="X248" i="1"/>
  <c r="X252" i="1"/>
  <c r="X256" i="1"/>
  <c r="X260" i="1"/>
  <c r="X264" i="1"/>
  <c r="X268" i="1"/>
  <c r="X272" i="1"/>
  <c r="X276" i="1"/>
  <c r="X280" i="1"/>
  <c r="X284" i="1"/>
  <c r="X288" i="1"/>
  <c r="X292" i="1"/>
  <c r="X296" i="1"/>
  <c r="X300" i="1"/>
  <c r="X304" i="1"/>
  <c r="X308" i="1"/>
  <c r="X312" i="1"/>
  <c r="X316" i="1"/>
  <c r="X320" i="1"/>
  <c r="X324" i="1"/>
  <c r="X328" i="1"/>
  <c r="X332" i="1"/>
  <c r="X336" i="1"/>
  <c r="X340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6" i="1"/>
  <c r="X468" i="1"/>
  <c r="X480" i="1"/>
  <c r="X492" i="1"/>
  <c r="X504" i="1"/>
  <c r="X516" i="1"/>
  <c r="X528" i="1"/>
  <c r="X540" i="1"/>
  <c r="X552" i="1"/>
  <c r="X564" i="1"/>
  <c r="X576" i="1"/>
  <c r="X588" i="1"/>
  <c r="X600" i="1"/>
  <c r="X612" i="1"/>
  <c r="X624" i="1"/>
  <c r="X636" i="1"/>
  <c r="X648" i="1"/>
  <c r="X660" i="1"/>
  <c r="X672" i="1"/>
  <c r="Y71" i="1"/>
  <c r="Y75" i="1"/>
  <c r="Y79" i="1"/>
  <c r="Y83" i="1"/>
  <c r="Y87" i="1"/>
  <c r="Y91" i="1"/>
  <c r="Y95" i="1"/>
  <c r="Y99" i="1"/>
  <c r="Y103" i="1"/>
  <c r="Y107" i="1"/>
  <c r="Y111" i="1"/>
  <c r="Y115" i="1"/>
  <c r="Y119" i="1"/>
  <c r="Y123" i="1"/>
  <c r="Y127" i="1"/>
  <c r="Y131" i="1"/>
  <c r="Y135" i="1"/>
  <c r="Y139" i="1"/>
  <c r="Y143" i="1"/>
  <c r="Y147" i="1"/>
  <c r="Y151" i="1"/>
  <c r="Y155" i="1"/>
  <c r="Y159" i="1"/>
  <c r="Y163" i="1"/>
  <c r="Y167" i="1"/>
  <c r="Y171" i="1"/>
  <c r="Y175" i="1"/>
  <c r="Y179" i="1"/>
  <c r="Y183" i="1"/>
  <c r="Y187" i="1"/>
  <c r="Y191" i="1"/>
  <c r="Y195" i="1"/>
  <c r="Y199" i="1"/>
  <c r="Y203" i="1"/>
  <c r="Y207" i="1"/>
  <c r="Y211" i="1"/>
  <c r="Y215" i="1"/>
  <c r="Y219" i="1"/>
  <c r="Y223" i="1"/>
  <c r="Y227" i="1"/>
  <c r="Y231" i="1"/>
  <c r="Y235" i="1"/>
  <c r="Y239" i="1"/>
  <c r="Y243" i="1"/>
  <c r="Y247" i="1"/>
  <c r="Y251" i="1"/>
  <c r="Y255" i="1"/>
  <c r="Y259" i="1"/>
  <c r="Y263" i="1"/>
  <c r="Y267" i="1"/>
  <c r="Y271" i="1"/>
  <c r="Y275" i="1"/>
  <c r="Y279" i="1"/>
  <c r="Y283" i="1"/>
  <c r="Y287" i="1"/>
  <c r="Y291" i="1"/>
  <c r="Y295" i="1"/>
  <c r="Y6" i="1"/>
  <c r="X4" i="1"/>
  <c r="X8" i="1"/>
  <c r="X12" i="1"/>
  <c r="X16" i="1"/>
  <c r="X20" i="1"/>
  <c r="X24" i="1"/>
  <c r="X28" i="1"/>
  <c r="X32" i="1"/>
  <c r="X36" i="1"/>
  <c r="X40" i="1"/>
  <c r="X44" i="1"/>
  <c r="X52" i="1"/>
  <c r="X56" i="1"/>
  <c r="X60" i="1"/>
  <c r="X64" i="1"/>
  <c r="X68" i="1"/>
  <c r="X72" i="1"/>
  <c r="X76" i="1"/>
  <c r="X80" i="1"/>
  <c r="X84" i="1"/>
  <c r="X88" i="1"/>
  <c r="X92" i="1"/>
  <c r="X96" i="1"/>
  <c r="X100" i="1"/>
  <c r="X104" i="1"/>
  <c r="X108" i="1"/>
  <c r="X112" i="1"/>
  <c r="X116" i="1"/>
  <c r="X120" i="1"/>
  <c r="X124" i="1"/>
  <c r="X128" i="1"/>
  <c r="X132" i="1"/>
  <c r="X136" i="1"/>
  <c r="X140" i="1"/>
  <c r="X144" i="1"/>
  <c r="X148" i="1"/>
  <c r="X152" i="1"/>
  <c r="X156" i="1"/>
  <c r="X160" i="1"/>
  <c r="X164" i="1"/>
  <c r="X168" i="1"/>
  <c r="X172" i="1"/>
  <c r="X176" i="1"/>
  <c r="X180" i="1"/>
  <c r="X184" i="1"/>
  <c r="X188" i="1"/>
  <c r="X192" i="1"/>
  <c r="X196" i="1"/>
  <c r="X200" i="1"/>
  <c r="X204" i="1"/>
  <c r="X208" i="1"/>
  <c r="X121" i="1"/>
  <c r="Y5" i="1"/>
  <c r="X30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Y216" i="1"/>
  <c r="Y220" i="1"/>
  <c r="Y224" i="1"/>
  <c r="Y228" i="1"/>
  <c r="Y232" i="1"/>
  <c r="Y236" i="1"/>
  <c r="Y240" i="1"/>
  <c r="Y244" i="1"/>
  <c r="Y304" i="1"/>
  <c r="Y316" i="1"/>
  <c r="Y376" i="1"/>
  <c r="Y717" i="1"/>
  <c r="Y721" i="1"/>
  <c r="Y725" i="1"/>
  <c r="Y248" i="1"/>
  <c r="Y252" i="1"/>
  <c r="Y256" i="1"/>
  <c r="Y260" i="1"/>
  <c r="Y264" i="1"/>
  <c r="Y268" i="1"/>
  <c r="Y272" i="1"/>
  <c r="Y276" i="1"/>
  <c r="Y280" i="1"/>
  <c r="Y284" i="1"/>
  <c r="Y288" i="1"/>
  <c r="Y292" i="1"/>
  <c r="Y296" i="1"/>
  <c r="Y300" i="1"/>
  <c r="Y308" i="1"/>
  <c r="Y312" i="1"/>
  <c r="Y320" i="1"/>
  <c r="Y324" i="1"/>
  <c r="Y328" i="1"/>
  <c r="Y332" i="1"/>
  <c r="Y336" i="1"/>
  <c r="Y340" i="1"/>
  <c r="Y344" i="1"/>
  <c r="Y348" i="1"/>
  <c r="Y352" i="1"/>
  <c r="Y356" i="1"/>
  <c r="Y360" i="1"/>
  <c r="Y364" i="1"/>
  <c r="Y368" i="1"/>
  <c r="Y372" i="1"/>
  <c r="Y380" i="1"/>
  <c r="Y384" i="1"/>
  <c r="Y388" i="1"/>
  <c r="Y392" i="1"/>
  <c r="Y396" i="1"/>
  <c r="Y400" i="1"/>
  <c r="Y404" i="1"/>
  <c r="Y408" i="1"/>
  <c r="Y412" i="1"/>
  <c r="Y416" i="1"/>
  <c r="Y420" i="1"/>
  <c r="Y424" i="1"/>
  <c r="Y428" i="1"/>
  <c r="Y432" i="1"/>
  <c r="Y436" i="1"/>
  <c r="Y440" i="1"/>
  <c r="Y444" i="1"/>
  <c r="Y448" i="1"/>
  <c r="X10" i="1"/>
  <c r="X14" i="1"/>
  <c r="X18" i="1"/>
  <c r="X22" i="1"/>
  <c r="X26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6" i="1"/>
  <c r="X190" i="1"/>
  <c r="X194" i="1"/>
  <c r="X198" i="1"/>
  <c r="X202" i="1"/>
  <c r="X206" i="1"/>
  <c r="X210" i="1"/>
  <c r="X214" i="1"/>
  <c r="X218" i="1"/>
  <c r="X222" i="1"/>
  <c r="X226" i="1"/>
  <c r="X234" i="1"/>
  <c r="X238" i="1"/>
  <c r="X242" i="1"/>
  <c r="X246" i="1"/>
  <c r="X250" i="1"/>
  <c r="X254" i="1"/>
  <c r="X258" i="1"/>
  <c r="X262" i="1"/>
  <c r="X266" i="1"/>
  <c r="X270" i="1"/>
  <c r="X274" i="1"/>
  <c r="X282" i="1"/>
  <c r="X286" i="1"/>
  <c r="X290" i="1"/>
  <c r="X294" i="1"/>
  <c r="X298" i="1"/>
  <c r="X302" i="1"/>
  <c r="X306" i="1"/>
  <c r="X310" i="1"/>
  <c r="X318" i="1"/>
  <c r="X326" i="1"/>
  <c r="X330" i="1"/>
  <c r="X334" i="1"/>
  <c r="X338" i="1"/>
  <c r="X342" i="1"/>
  <c r="X346" i="1"/>
  <c r="X354" i="1"/>
  <c r="X362" i="1"/>
  <c r="X366" i="1"/>
  <c r="X370" i="1"/>
  <c r="X374" i="1"/>
  <c r="X378" i="1"/>
  <c r="X382" i="1"/>
  <c r="X390" i="1"/>
  <c r="X398" i="1"/>
  <c r="X402" i="1"/>
  <c r="X406" i="1"/>
  <c r="X410" i="1"/>
  <c r="X414" i="1"/>
  <c r="X418" i="1"/>
  <c r="X426" i="1"/>
  <c r="X434" i="1"/>
  <c r="X438" i="1"/>
  <c r="X442" i="1"/>
  <c r="X446" i="1"/>
  <c r="X450" i="1"/>
  <c r="X454" i="1"/>
  <c r="X462" i="1"/>
  <c r="X470" i="1"/>
  <c r="X474" i="1"/>
  <c r="X478" i="1"/>
  <c r="X482" i="1"/>
  <c r="X486" i="1"/>
  <c r="X490" i="1"/>
  <c r="X498" i="1"/>
  <c r="X506" i="1"/>
  <c r="X510" i="1"/>
  <c r="X514" i="1"/>
  <c r="X518" i="1"/>
  <c r="X522" i="1"/>
  <c r="X526" i="1"/>
  <c r="X534" i="1"/>
  <c r="X542" i="1"/>
  <c r="X546" i="1"/>
  <c r="X550" i="1"/>
  <c r="X554" i="1"/>
  <c r="X558" i="1"/>
  <c r="X562" i="1"/>
  <c r="X570" i="1"/>
  <c r="X578" i="1"/>
  <c r="X582" i="1"/>
  <c r="X586" i="1"/>
  <c r="X590" i="1"/>
  <c r="X594" i="1"/>
  <c r="X598" i="1"/>
  <c r="X606" i="1"/>
  <c r="X614" i="1"/>
  <c r="Y299" i="1"/>
  <c r="Y303" i="1"/>
  <c r="Y307" i="1"/>
  <c r="Y311" i="1"/>
  <c r="Y315" i="1"/>
  <c r="Y319" i="1"/>
  <c r="Y323" i="1"/>
  <c r="Y327" i="1"/>
  <c r="Y331" i="1"/>
  <c r="Y335" i="1"/>
  <c r="Y339" i="1"/>
  <c r="Y343" i="1"/>
  <c r="Y347" i="1"/>
  <c r="Y351" i="1"/>
  <c r="Y355" i="1"/>
  <c r="Y359" i="1"/>
  <c r="Y363" i="1"/>
  <c r="Y367" i="1"/>
  <c r="Y371" i="1"/>
  <c r="Y375" i="1"/>
  <c r="Y379" i="1"/>
  <c r="Y383" i="1"/>
  <c r="Y387" i="1"/>
  <c r="Y391" i="1"/>
  <c r="Y395" i="1"/>
  <c r="Y399" i="1"/>
  <c r="Y403" i="1"/>
  <c r="Y407" i="1"/>
  <c r="Y411" i="1"/>
  <c r="Y415" i="1"/>
  <c r="Y419" i="1"/>
  <c r="Y423" i="1"/>
  <c r="Y427" i="1"/>
  <c r="Y431" i="1"/>
  <c r="Y435" i="1"/>
  <c r="Y439" i="1"/>
  <c r="Y443" i="1"/>
  <c r="Y447" i="1"/>
  <c r="Y451" i="1"/>
  <c r="Y455" i="1"/>
  <c r="Y459" i="1"/>
  <c r="Y463" i="1"/>
  <c r="Y467" i="1"/>
  <c r="Y471" i="1"/>
  <c r="Y475" i="1"/>
  <c r="Y479" i="1"/>
  <c r="Y483" i="1"/>
  <c r="Y487" i="1"/>
  <c r="Y491" i="1"/>
  <c r="Y495" i="1"/>
  <c r="Y499" i="1"/>
  <c r="Y503" i="1"/>
  <c r="Y507" i="1"/>
  <c r="Y511" i="1"/>
  <c r="Y515" i="1"/>
  <c r="Y519" i="1"/>
  <c r="Y523" i="1"/>
  <c r="X9" i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9" i="1"/>
  <c r="X333" i="1"/>
  <c r="X337" i="1"/>
  <c r="X341" i="1"/>
  <c r="X345" i="1"/>
  <c r="X349" i="1"/>
  <c r="X353" i="1"/>
  <c r="X357" i="1"/>
  <c r="X365" i="1"/>
  <c r="X369" i="1"/>
  <c r="X373" i="1"/>
  <c r="X377" i="1"/>
  <c r="X381" i="1"/>
  <c r="X385" i="1"/>
  <c r="X389" i="1"/>
  <c r="X393" i="1"/>
  <c r="X401" i="1"/>
  <c r="X405" i="1"/>
  <c r="X409" i="1"/>
  <c r="X413" i="1"/>
  <c r="X417" i="1"/>
  <c r="X421" i="1"/>
  <c r="X425" i="1"/>
  <c r="X429" i="1"/>
  <c r="X437" i="1"/>
  <c r="X441" i="1"/>
  <c r="X445" i="1"/>
  <c r="X449" i="1"/>
  <c r="X453" i="1"/>
  <c r="X457" i="1"/>
  <c r="X461" i="1"/>
  <c r="X465" i="1"/>
  <c r="X473" i="1"/>
  <c r="X477" i="1"/>
  <c r="X481" i="1"/>
  <c r="X485" i="1"/>
  <c r="X489" i="1"/>
  <c r="X493" i="1"/>
  <c r="X497" i="1"/>
  <c r="X501" i="1"/>
  <c r="X509" i="1"/>
  <c r="X513" i="1"/>
  <c r="X517" i="1"/>
  <c r="X521" i="1"/>
  <c r="X525" i="1"/>
  <c r="X529" i="1"/>
  <c r="X533" i="1"/>
  <c r="X537" i="1"/>
  <c r="X545" i="1"/>
  <c r="X549" i="1"/>
  <c r="X553" i="1"/>
  <c r="X557" i="1"/>
  <c r="X561" i="1"/>
  <c r="X565" i="1"/>
  <c r="X569" i="1"/>
  <c r="X573" i="1"/>
  <c r="X581" i="1"/>
  <c r="X585" i="1"/>
  <c r="X589" i="1"/>
  <c r="X593" i="1"/>
  <c r="X597" i="1"/>
  <c r="X601" i="1"/>
  <c r="X605" i="1"/>
  <c r="X609" i="1"/>
  <c r="X617" i="1"/>
  <c r="X621" i="1"/>
  <c r="X625" i="1"/>
  <c r="X629" i="1"/>
  <c r="X633" i="1"/>
  <c r="X637" i="1"/>
  <c r="X641" i="1"/>
  <c r="X645" i="1"/>
  <c r="X653" i="1"/>
  <c r="X657" i="1"/>
  <c r="X661" i="1"/>
  <c r="X665" i="1"/>
  <c r="X669" i="1"/>
  <c r="X673" i="1"/>
  <c r="X677" i="1"/>
  <c r="X681" i="1"/>
  <c r="X689" i="1"/>
  <c r="X693" i="1"/>
  <c r="X697" i="1"/>
  <c r="X701" i="1"/>
  <c r="X705" i="1"/>
  <c r="X709" i="1"/>
  <c r="X713" i="1"/>
  <c r="Y622" i="1"/>
  <c r="Y626" i="1"/>
  <c r="Y630" i="1"/>
  <c r="Y634" i="1"/>
  <c r="Y638" i="1"/>
  <c r="Y642" i="1"/>
  <c r="Y646" i="1"/>
  <c r="Y650" i="1"/>
  <c r="Y654" i="1"/>
  <c r="Y658" i="1"/>
  <c r="Y662" i="1"/>
  <c r="Y827" i="1"/>
  <c r="Y831" i="1"/>
  <c r="Y835" i="1"/>
  <c r="Y839" i="1"/>
  <c r="X862" i="1"/>
  <c r="Y666" i="1"/>
  <c r="Y670" i="1"/>
  <c r="Y674" i="1"/>
  <c r="Y678" i="1"/>
  <c r="Y682" i="1"/>
  <c r="Y686" i="1"/>
  <c r="Y690" i="1"/>
  <c r="Y694" i="1"/>
  <c r="Y698" i="1"/>
  <c r="Y702" i="1"/>
  <c r="Y706" i="1"/>
  <c r="Y710" i="1"/>
  <c r="Y714" i="1"/>
  <c r="Y718" i="1"/>
  <c r="Y722" i="1"/>
  <c r="Y726" i="1"/>
  <c r="Y730" i="1"/>
  <c r="Y734" i="1"/>
  <c r="Y738" i="1"/>
  <c r="Y742" i="1"/>
  <c r="Y746" i="1"/>
  <c r="Y750" i="1"/>
  <c r="X853" i="1"/>
  <c r="X817" i="1"/>
  <c r="X781" i="1"/>
  <c r="X452" i="1"/>
  <c r="X460" i="1"/>
  <c r="X464" i="1"/>
  <c r="X472" i="1"/>
  <c r="X476" i="1"/>
  <c r="X484" i="1"/>
  <c r="X488" i="1"/>
  <c r="X496" i="1"/>
  <c r="X500" i="1"/>
  <c r="X508" i="1"/>
  <c r="X512" i="1"/>
  <c r="X520" i="1"/>
  <c r="X524" i="1"/>
  <c r="X532" i="1"/>
  <c r="X536" i="1"/>
  <c r="X544" i="1"/>
  <c r="X548" i="1"/>
  <c r="X556" i="1"/>
  <c r="X560" i="1"/>
  <c r="X568" i="1"/>
  <c r="X572" i="1"/>
  <c r="X580" i="1"/>
  <c r="X584" i="1"/>
  <c r="X592" i="1"/>
  <c r="X596" i="1"/>
  <c r="X604" i="1"/>
  <c r="X608" i="1"/>
  <c r="X616" i="1"/>
  <c r="X620" i="1"/>
  <c r="X628" i="1"/>
  <c r="X632" i="1"/>
  <c r="X640" i="1"/>
  <c r="X644" i="1"/>
  <c r="X652" i="1"/>
  <c r="X656" i="1"/>
  <c r="X664" i="1"/>
  <c r="X668" i="1"/>
  <c r="X676" i="1"/>
  <c r="X680" i="1"/>
  <c r="X688" i="1"/>
  <c r="X692" i="1"/>
  <c r="X700" i="1"/>
  <c r="X704" i="1"/>
  <c r="X712" i="1"/>
  <c r="X716" i="1"/>
  <c r="X724" i="1"/>
  <c r="X728" i="1"/>
  <c r="X736" i="1"/>
  <c r="X740" i="1"/>
  <c r="X748" i="1"/>
  <c r="X752" i="1"/>
  <c r="X760" i="1"/>
  <c r="X764" i="1"/>
  <c r="X772" i="1"/>
  <c r="X776" i="1"/>
  <c r="X784" i="1"/>
  <c r="X788" i="1"/>
  <c r="X796" i="1"/>
  <c r="X800" i="1"/>
  <c r="X808" i="1"/>
  <c r="X812" i="1"/>
  <c r="X868" i="1"/>
  <c r="Y868" i="1"/>
  <c r="X850" i="1"/>
  <c r="X814" i="1"/>
  <c r="X778" i="1"/>
  <c r="Y729" i="1"/>
  <c r="Y733" i="1"/>
  <c r="Y737" i="1"/>
  <c r="Y741" i="1"/>
  <c r="Y745" i="1"/>
  <c r="Y749" i="1"/>
  <c r="H765" i="1"/>
  <c r="Y765" i="1" s="1"/>
  <c r="X765" i="1"/>
  <c r="H777" i="1"/>
  <c r="Y777" i="1" s="1"/>
  <c r="X777" i="1"/>
  <c r="H789" i="1"/>
  <c r="Y789" i="1" s="1"/>
  <c r="X789" i="1"/>
  <c r="H801" i="1"/>
  <c r="Y801" i="1" s="1"/>
  <c r="X801" i="1"/>
  <c r="H813" i="1"/>
  <c r="Y813" i="1" s="1"/>
  <c r="X813" i="1"/>
  <c r="H825" i="1"/>
  <c r="Y825" i="1" s="1"/>
  <c r="X825" i="1"/>
  <c r="H837" i="1"/>
  <c r="Y837" i="1" s="1"/>
  <c r="X837" i="1"/>
  <c r="H849" i="1"/>
  <c r="Y849" i="1" s="1"/>
  <c r="X849" i="1"/>
  <c r="X842" i="1"/>
  <c r="X806" i="1"/>
  <c r="X770" i="1"/>
  <c r="X841" i="1"/>
  <c r="X805" i="1"/>
  <c r="X769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Y824" i="1"/>
  <c r="Y832" i="1"/>
  <c r="Y844" i="1"/>
  <c r="Y856" i="1"/>
  <c r="Y864" i="1"/>
  <c r="X866" i="1"/>
  <c r="X838" i="1"/>
  <c r="X802" i="1"/>
  <c r="X766" i="1"/>
  <c r="X865" i="1"/>
  <c r="X830" i="1"/>
  <c r="X794" i="1"/>
  <c r="X758" i="1"/>
  <c r="Y828" i="1"/>
  <c r="Y836" i="1"/>
  <c r="Y840" i="1"/>
  <c r="Y848" i="1"/>
  <c r="Y852" i="1"/>
  <c r="Y860" i="1"/>
  <c r="Y843" i="1"/>
  <c r="Y847" i="1"/>
  <c r="Y851" i="1"/>
  <c r="Y855" i="1"/>
  <c r="Y859" i="1"/>
  <c r="Y863" i="1"/>
  <c r="Y867" i="1"/>
  <c r="X869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D49F33C0-5294-45C0-A8AA-13E7BF4B59E8}" keepAlive="1" name="Query - Siam Chart" description="Connection to the 'Siam Chart' query in the workbook." type="5" refreshedVersion="8" background="1" saveData="1">
    <dbPr connection="Provider=Microsoft.Mashup.OleDb.1;Data Source=$Workbook$;Location=&quot;Siam Chart&quot;;Extended Properties=&quot;&quot;" command="SELECT * FROM [Siam Char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<sst xmlns="http://schemas.openxmlformats.org/spreadsheetml/2006/main" count="2658" uniqueCount="897">
  <si>
    <t>Name</t>
  </si>
  <si>
    <t>No.</t>
  </si>
  <si>
    <t>Last</t>
  </si>
  <si>
    <t>Chg%</t>
  </si>
  <si>
    <t>Volume</t>
  </si>
  <si>
    <t>Value (k)</t>
  </si>
  <si>
    <t>MCap (M)</t>
  </si>
  <si>
    <t>P/E</t>
  </si>
  <si>
    <t>P/BV</t>
  </si>
  <si>
    <t>D/E</t>
  </si>
  <si>
    <t>DPS</t>
  </si>
  <si>
    <t>EPS</t>
  </si>
  <si>
    <t>ROA%</t>
  </si>
  <si>
    <t>ROE%</t>
  </si>
  <si>
    <t>NPM%</t>
  </si>
  <si>
    <t>Yield%</t>
  </si>
  <si>
    <t>FFloat%</t>
  </si>
  <si>
    <t>MG%</t>
  </si>
  <si>
    <t>Magic1</t>
  </si>
  <si>
    <t>Magic2</t>
  </si>
  <si>
    <t>PEG</t>
  </si>
  <si>
    <t>CG</t>
  </si>
  <si>
    <t/>
  </si>
  <si>
    <t>2S</t>
  </si>
  <si>
    <t>88TH</t>
  </si>
  <si>
    <t>A</t>
  </si>
  <si>
    <t>A5</t>
  </si>
  <si>
    <t>AAI</t>
  </si>
  <si>
    <t>AAV</t>
  </si>
  <si>
    <t>ABM</t>
  </si>
  <si>
    <t>ACAP</t>
  </si>
  <si>
    <t>ACC</t>
  </si>
  <si>
    <t>ACE</t>
  </si>
  <si>
    <t>ACG</t>
  </si>
  <si>
    <t>ADB</t>
  </si>
  <si>
    <t>ADD</t>
  </si>
  <si>
    <t>ADVANC</t>
  </si>
  <si>
    <t>ADVICE</t>
  </si>
  <si>
    <t>AE</t>
  </si>
  <si>
    <t>AEONTS</t>
  </si>
  <si>
    <t>AF</t>
  </si>
  <si>
    <t>AFC</t>
  </si>
  <si>
    <t>AGE</t>
  </si>
  <si>
    <t>AH</t>
  </si>
  <si>
    <t>AHC</t>
  </si>
  <si>
    <t>AI</t>
  </si>
  <si>
    <t>AIE</t>
  </si>
  <si>
    <t>AIRA</t>
  </si>
  <si>
    <t>AIT</t>
  </si>
  <si>
    <t>AJ</t>
  </si>
  <si>
    <t>AJA</t>
  </si>
  <si>
    <t>AKP</t>
  </si>
  <si>
    <t>AKR</t>
  </si>
  <si>
    <t>AKS</t>
  </si>
  <si>
    <t>ALLA</t>
  </si>
  <si>
    <t>ALPHAX</t>
  </si>
  <si>
    <t>ALT</t>
  </si>
  <si>
    <t>ALUCON</t>
  </si>
  <si>
    <t>AMA</t>
  </si>
  <si>
    <t>AMANAH</t>
  </si>
  <si>
    <t>AMARC</t>
  </si>
  <si>
    <t>AMARIN</t>
  </si>
  <si>
    <t>AMATA</t>
  </si>
  <si>
    <t>AMATAV</t>
  </si>
  <si>
    <t>AMC</t>
  </si>
  <si>
    <t>AMR</t>
  </si>
  <si>
    <t>ANAN</t>
  </si>
  <si>
    <t>ANI</t>
  </si>
  <si>
    <t>AOT</t>
  </si>
  <si>
    <t>AP</t>
  </si>
  <si>
    <t>APCO</t>
  </si>
  <si>
    <t>APCS</t>
  </si>
  <si>
    <t>APO</t>
  </si>
  <si>
    <t>APP</t>
  </si>
  <si>
    <t>APURE</t>
  </si>
  <si>
    <t>AQUA</t>
  </si>
  <si>
    <t>ARIN</t>
  </si>
  <si>
    <t>ARIP</t>
  </si>
  <si>
    <t>ARROW</t>
  </si>
  <si>
    <t>AS</t>
  </si>
  <si>
    <t>ASAP</t>
  </si>
  <si>
    <t>ASEFA</t>
  </si>
  <si>
    <t>ASIA</t>
  </si>
  <si>
    <t>ASIAN</t>
  </si>
  <si>
    <t>ASIMAR</t>
  </si>
  <si>
    <t>ASK</t>
  </si>
  <si>
    <t>ASN</t>
  </si>
  <si>
    <t>ASP</t>
  </si>
  <si>
    <t>ASTR</t>
  </si>
  <si>
    <t>ASW</t>
  </si>
  <si>
    <t>ATLAS</t>
  </si>
  <si>
    <t>ATP30</t>
  </si>
  <si>
    <t>AU</t>
  </si>
  <si>
    <t>AUCT</t>
  </si>
  <si>
    <t>AURA</t>
  </si>
  <si>
    <t>AWC</t>
  </si>
  <si>
    <t>AYUD</t>
  </si>
  <si>
    <t>B</t>
  </si>
  <si>
    <t>B52</t>
  </si>
  <si>
    <t>BA</t>
  </si>
  <si>
    <t>BAFS</t>
  </si>
  <si>
    <t>BAM</t>
  </si>
  <si>
    <t>BANPU</t>
  </si>
  <si>
    <t>BAY</t>
  </si>
  <si>
    <t>BBGI</t>
  </si>
  <si>
    <t>BBIK</t>
  </si>
  <si>
    <t>BBL</t>
  </si>
  <si>
    <t>BC</t>
  </si>
  <si>
    <t>BCH</t>
  </si>
  <si>
    <t>BCP</t>
  </si>
  <si>
    <t>BCPG</t>
  </si>
  <si>
    <t>BCT</t>
  </si>
  <si>
    <t>BDMS</t>
  </si>
  <si>
    <t>BE8</t>
  </si>
  <si>
    <t>BEAUTY</t>
  </si>
  <si>
    <t>BEC</t>
  </si>
  <si>
    <t>BEM</t>
  </si>
  <si>
    <t>BEYOND</t>
  </si>
  <si>
    <t>BGC</t>
  </si>
  <si>
    <t>BGRIM</t>
  </si>
  <si>
    <t>BGT</t>
  </si>
  <si>
    <t>BH</t>
  </si>
  <si>
    <t>BIG</t>
  </si>
  <si>
    <t>BIOTEC</t>
  </si>
  <si>
    <t>BIS</t>
  </si>
  <si>
    <t>BIZ</t>
  </si>
  <si>
    <t>BJC</t>
  </si>
  <si>
    <t>BJCHI</t>
  </si>
  <si>
    <t>BKA</t>
  </si>
  <si>
    <t>BKD</t>
  </si>
  <si>
    <t>BKGI</t>
  </si>
  <si>
    <t>BKIH</t>
  </si>
  <si>
    <t>BLA</t>
  </si>
  <si>
    <t>BLAND</t>
  </si>
  <si>
    <t>BLC</t>
  </si>
  <si>
    <t>BLESS</t>
  </si>
  <si>
    <t>BLISS</t>
  </si>
  <si>
    <t>BM</t>
  </si>
  <si>
    <t>BOL</t>
  </si>
  <si>
    <t>BPP</t>
  </si>
  <si>
    <t>BPS</t>
  </si>
  <si>
    <t>BR</t>
  </si>
  <si>
    <t>BRI</t>
  </si>
  <si>
    <t>BROCK</t>
  </si>
  <si>
    <t>BRR</t>
  </si>
  <si>
    <t>BSBM</t>
  </si>
  <si>
    <t>BSM</t>
  </si>
  <si>
    <t>BTC</t>
  </si>
  <si>
    <t>BTG</t>
  </si>
  <si>
    <t>BTNC</t>
  </si>
  <si>
    <t>BTS</t>
  </si>
  <si>
    <t>BTW</t>
  </si>
  <si>
    <t>BUI</t>
  </si>
  <si>
    <t>BVG</t>
  </si>
  <si>
    <t>BWG</t>
  </si>
  <si>
    <t>BYD</t>
  </si>
  <si>
    <t>CAZ</t>
  </si>
  <si>
    <t>CBG</t>
  </si>
  <si>
    <t>CCET</t>
  </si>
  <si>
    <t>CCP</t>
  </si>
  <si>
    <t>CEN</t>
  </si>
  <si>
    <t>CENTEL</t>
  </si>
  <si>
    <t>CEYE</t>
  </si>
  <si>
    <t>CFARM</t>
  </si>
  <si>
    <t>CFRESH</t>
  </si>
  <si>
    <t>CGD</t>
  </si>
  <si>
    <t>CGH</t>
  </si>
  <si>
    <t>CH</t>
  </si>
  <si>
    <t>CHAO</t>
  </si>
  <si>
    <t>CHARAN</t>
  </si>
  <si>
    <t>CHASE</t>
  </si>
  <si>
    <t>CHAYO</t>
  </si>
  <si>
    <t>CHEWA</t>
  </si>
  <si>
    <t>CHG</t>
  </si>
  <si>
    <t>CHIC</t>
  </si>
  <si>
    <t>CHO</t>
  </si>
  <si>
    <t>CHOTI</t>
  </si>
  <si>
    <t>CHOW</t>
  </si>
  <si>
    <t>CI</t>
  </si>
  <si>
    <t>CIG</t>
  </si>
  <si>
    <t>CIMBT</t>
  </si>
  <si>
    <t>CITY</t>
  </si>
  <si>
    <t>CIVIL</t>
  </si>
  <si>
    <t>CK</t>
  </si>
  <si>
    <t>CKP</t>
  </si>
  <si>
    <t>CM</t>
  </si>
  <si>
    <t>CMAN</t>
  </si>
  <si>
    <t>CMC</t>
  </si>
  <si>
    <t>CMO</t>
  </si>
  <si>
    <t>CMR</t>
  </si>
  <si>
    <t>CNT</t>
  </si>
  <si>
    <t>COCOCO</t>
  </si>
  <si>
    <t>COLOR</t>
  </si>
  <si>
    <t>COM7</t>
  </si>
  <si>
    <t>COMAN</t>
  </si>
  <si>
    <t>CPALL</t>
  </si>
  <si>
    <t>CPANEL</t>
  </si>
  <si>
    <t>CPAXT</t>
  </si>
  <si>
    <t>CPF</t>
  </si>
  <si>
    <t>CPH</t>
  </si>
  <si>
    <t>CPI</t>
  </si>
  <si>
    <t>CPL</t>
  </si>
  <si>
    <t>CPN</t>
  </si>
  <si>
    <t>CPR</t>
  </si>
  <si>
    <t>CPT</t>
  </si>
  <si>
    <t>CPW</t>
  </si>
  <si>
    <t>CRANE</t>
  </si>
  <si>
    <t>CRC</t>
  </si>
  <si>
    <t>CRD</t>
  </si>
  <si>
    <t>CREDIT</t>
  </si>
  <si>
    <t>CSC</t>
  </si>
  <si>
    <t>CSP</t>
  </si>
  <si>
    <t>CSR</t>
  </si>
  <si>
    <t>CSS</t>
  </si>
  <si>
    <t>CTW</t>
  </si>
  <si>
    <t>CV</t>
  </si>
  <si>
    <t>CWT</t>
  </si>
  <si>
    <t>D</t>
  </si>
  <si>
    <t>DCC</t>
  </si>
  <si>
    <t>DCON</t>
  </si>
  <si>
    <t>DDD</t>
  </si>
  <si>
    <t>DELTA</t>
  </si>
  <si>
    <t>DEMCO</t>
  </si>
  <si>
    <t>DEXON</t>
  </si>
  <si>
    <t>DHOUSE</t>
  </si>
  <si>
    <t>DIMET</t>
  </si>
  <si>
    <t>DITTO</t>
  </si>
  <si>
    <t>DMT</t>
  </si>
  <si>
    <t>DOD</t>
  </si>
  <si>
    <t>DOHOME</t>
  </si>
  <si>
    <t>DPAINT</t>
  </si>
  <si>
    <t>DRT</t>
  </si>
  <si>
    <t>DTCENT</t>
  </si>
  <si>
    <t>DTCI</t>
  </si>
  <si>
    <t>DUSIT</t>
  </si>
  <si>
    <t>EA</t>
  </si>
  <si>
    <t>EASON</t>
  </si>
  <si>
    <t>EAST</t>
  </si>
  <si>
    <t>EASTW</t>
  </si>
  <si>
    <t>ECF</t>
  </si>
  <si>
    <t>EFORL</t>
  </si>
  <si>
    <t>EGCO</t>
  </si>
  <si>
    <t>EKH</t>
  </si>
  <si>
    <t>EMC</t>
  </si>
  <si>
    <t>EMPIRE</t>
  </si>
  <si>
    <t>EP</t>
  </si>
  <si>
    <t>EPG</t>
  </si>
  <si>
    <t>ERW</t>
  </si>
  <si>
    <t>ESTAR</t>
  </si>
  <si>
    <t>ETC</t>
  </si>
  <si>
    <t>ETE</t>
  </si>
  <si>
    <t>ETL</t>
  </si>
  <si>
    <t>EURO</t>
  </si>
  <si>
    <t>EVER</t>
  </si>
  <si>
    <t>F&amp;D</t>
  </si>
  <si>
    <t>FANCY</t>
  </si>
  <si>
    <t>FE</t>
  </si>
  <si>
    <t>FLOYD</t>
  </si>
  <si>
    <t>FM</t>
  </si>
  <si>
    <t>FMT</t>
  </si>
  <si>
    <t>FN</t>
  </si>
  <si>
    <t>FNS</t>
  </si>
  <si>
    <t>FORTH</t>
  </si>
  <si>
    <t>FPI</t>
  </si>
  <si>
    <t>FPT</t>
  </si>
  <si>
    <t>FSMART</t>
  </si>
  <si>
    <t>FSX</t>
  </si>
  <si>
    <t>FTE</t>
  </si>
  <si>
    <t>FTI</t>
  </si>
  <si>
    <t>FVC</t>
  </si>
  <si>
    <t>GABLE</t>
  </si>
  <si>
    <t>GBX</t>
  </si>
  <si>
    <t>GC</t>
  </si>
  <si>
    <t>GCAP</t>
  </si>
  <si>
    <t>GEL</t>
  </si>
  <si>
    <t>GENCO</t>
  </si>
  <si>
    <t>GFC</t>
  </si>
  <si>
    <t>GFPT</t>
  </si>
  <si>
    <t>GGC</t>
  </si>
  <si>
    <t>GJS</t>
  </si>
  <si>
    <t>GLAND</t>
  </si>
  <si>
    <t>GLOBAL</t>
  </si>
  <si>
    <t>GLORY</t>
  </si>
  <si>
    <t>GPI</t>
  </si>
  <si>
    <t>GPSC</t>
  </si>
  <si>
    <t>GRAMMY</t>
  </si>
  <si>
    <t>GRAND</t>
  </si>
  <si>
    <t>GREEN</t>
  </si>
  <si>
    <t>GSTEEL</t>
  </si>
  <si>
    <t>GTB</t>
  </si>
  <si>
    <t>GTV</t>
  </si>
  <si>
    <t>GULF</t>
  </si>
  <si>
    <t>GUNKUL</t>
  </si>
  <si>
    <t>GYT</t>
  </si>
  <si>
    <t>HANA</t>
  </si>
  <si>
    <t>HANN</t>
  </si>
  <si>
    <t>HARN</t>
  </si>
  <si>
    <t>HENG</t>
  </si>
  <si>
    <t>HFT</t>
  </si>
  <si>
    <t>HL</t>
  </si>
  <si>
    <t>HMPRO</t>
  </si>
  <si>
    <t>HPT</t>
  </si>
  <si>
    <t>NC</t>
  </si>
  <si>
    <t>HTC</t>
  </si>
  <si>
    <t>HTECH</t>
  </si>
  <si>
    <t>HUMAN</t>
  </si>
  <si>
    <t>HYDRO</t>
  </si>
  <si>
    <t>I2</t>
  </si>
  <si>
    <t>ICC</t>
  </si>
  <si>
    <t>ICHI</t>
  </si>
  <si>
    <t>ICN</t>
  </si>
  <si>
    <t>IDG</t>
  </si>
  <si>
    <t>IFS</t>
  </si>
  <si>
    <t>IHL</t>
  </si>
  <si>
    <t>IIG</t>
  </si>
  <si>
    <t>III</t>
  </si>
  <si>
    <t>ILINK</t>
  </si>
  <si>
    <t>ILM</t>
  </si>
  <si>
    <t>IMH</t>
  </si>
  <si>
    <t>IND</t>
  </si>
  <si>
    <t>INET</t>
  </si>
  <si>
    <t>INGRS</t>
  </si>
  <si>
    <t>INOX</t>
  </si>
  <si>
    <t>INSET</t>
  </si>
  <si>
    <t>INSURE</t>
  </si>
  <si>
    <t>IP</t>
  </si>
  <si>
    <t>IRC</t>
  </si>
  <si>
    <t>IRCP</t>
  </si>
  <si>
    <t>IROYAL</t>
  </si>
  <si>
    <t>IRPC</t>
  </si>
  <si>
    <t>IT</t>
  </si>
  <si>
    <t>ITC</t>
  </si>
  <si>
    <t>ITD</t>
  </si>
  <si>
    <t>ITEL</t>
  </si>
  <si>
    <t>ITNS</t>
  </si>
  <si>
    <t>ITTHI</t>
  </si>
  <si>
    <t>IVF</t>
  </si>
  <si>
    <t>IVL</t>
  </si>
  <si>
    <t>J</t>
  </si>
  <si>
    <t>JAK</t>
  </si>
  <si>
    <t>JAS</t>
  </si>
  <si>
    <t>JCK</t>
  </si>
  <si>
    <t>JCT</t>
  </si>
  <si>
    <t>JDF</t>
  </si>
  <si>
    <t>JMART</t>
  </si>
  <si>
    <t>JMT</t>
  </si>
  <si>
    <t>JPARK</t>
  </si>
  <si>
    <t>JR</t>
  </si>
  <si>
    <t>JSP</t>
  </si>
  <si>
    <t>JTS</t>
  </si>
  <si>
    <t>JUBILE</t>
  </si>
  <si>
    <t>K</t>
  </si>
  <si>
    <t>KAMART</t>
  </si>
  <si>
    <t>KASET</t>
  </si>
  <si>
    <t>KBANK</t>
  </si>
  <si>
    <t>KBS</t>
  </si>
  <si>
    <t>KC</t>
  </si>
  <si>
    <t>KCAR</t>
  </si>
  <si>
    <t>KCC</t>
  </si>
  <si>
    <t>KCE</t>
  </si>
  <si>
    <t>KCG</t>
  </si>
  <si>
    <t>KCM</t>
  </si>
  <si>
    <t>KDH</t>
  </si>
  <si>
    <t>KGEN</t>
  </si>
  <si>
    <t>KGI</t>
  </si>
  <si>
    <t>KIAT</t>
  </si>
  <si>
    <t>KISS</t>
  </si>
  <si>
    <t>KJL</t>
  </si>
  <si>
    <t>KK</t>
  </si>
  <si>
    <t>KKC</t>
  </si>
  <si>
    <t>KKP</t>
  </si>
  <si>
    <t>KLINIQ</t>
  </si>
  <si>
    <t>KOOL</t>
  </si>
  <si>
    <t>KSL</t>
  </si>
  <si>
    <t>KTB</t>
  </si>
  <si>
    <t>KTC</t>
  </si>
  <si>
    <t>KTIS</t>
  </si>
  <si>
    <t>KTMS</t>
  </si>
  <si>
    <t>KUMWEL</t>
  </si>
  <si>
    <t>KUN</t>
  </si>
  <si>
    <t>KWC</t>
  </si>
  <si>
    <t>KWI</t>
  </si>
  <si>
    <t>KWM</t>
  </si>
  <si>
    <t>KYE</t>
  </si>
  <si>
    <t>L&amp;E</t>
  </si>
  <si>
    <t>LALIN</t>
  </si>
  <si>
    <t>LANNA</t>
  </si>
  <si>
    <t>LDC</t>
  </si>
  <si>
    <t>LEE</t>
  </si>
  <si>
    <t>LEO</t>
  </si>
  <si>
    <t>LH</t>
  </si>
  <si>
    <t>LHFG</t>
  </si>
  <si>
    <t>LHK</t>
  </si>
  <si>
    <t>LIT</t>
  </si>
  <si>
    <t>LOXLEY</t>
  </si>
  <si>
    <t>LPH</t>
  </si>
  <si>
    <t>LPN</t>
  </si>
  <si>
    <t>LRH</t>
  </si>
  <si>
    <t>LST</t>
  </si>
  <si>
    <t>LTMH</t>
  </si>
  <si>
    <t>LTS</t>
  </si>
  <si>
    <t>M</t>
  </si>
  <si>
    <t>M-CHAI</t>
  </si>
  <si>
    <t>MADAME</t>
  </si>
  <si>
    <t>MAGURO</t>
  </si>
  <si>
    <t>MAJOR</t>
  </si>
  <si>
    <t>MALEE</t>
  </si>
  <si>
    <t>MANRIN</t>
  </si>
  <si>
    <t>MASTEC</t>
  </si>
  <si>
    <t>MASTER</t>
  </si>
  <si>
    <t>MATCH</t>
  </si>
  <si>
    <t>MATI</t>
  </si>
  <si>
    <t>MBAX</t>
  </si>
  <si>
    <t>MBK</t>
  </si>
  <si>
    <t>MC</t>
  </si>
  <si>
    <t>MCA</t>
  </si>
  <si>
    <t>MCOT</t>
  </si>
  <si>
    <t>MCS</t>
  </si>
  <si>
    <t>MDX</t>
  </si>
  <si>
    <t>MEB</t>
  </si>
  <si>
    <t>MEDEZE</t>
  </si>
  <si>
    <t>MEGA</t>
  </si>
  <si>
    <t>MENA</t>
  </si>
  <si>
    <t>META</t>
  </si>
  <si>
    <t>METCO</t>
  </si>
  <si>
    <t>MFC</t>
  </si>
  <si>
    <t>MFEC</t>
  </si>
  <si>
    <t>MGC</t>
  </si>
  <si>
    <t>MGI</t>
  </si>
  <si>
    <t>MGT</t>
  </si>
  <si>
    <t>MICRO</t>
  </si>
  <si>
    <t>MIDA</t>
  </si>
  <si>
    <t>MILL</t>
  </si>
  <si>
    <t>MINT</t>
  </si>
  <si>
    <t>MITSIB</t>
  </si>
  <si>
    <t>MJD</t>
  </si>
  <si>
    <t>MK</t>
  </si>
  <si>
    <t>ML</t>
  </si>
  <si>
    <t>MMM</t>
  </si>
  <si>
    <t>MODERN</t>
  </si>
  <si>
    <t>MONO</t>
  </si>
  <si>
    <t>MOONG</t>
  </si>
  <si>
    <t>MORE</t>
  </si>
  <si>
    <t>MOSHI</t>
  </si>
  <si>
    <t>MOTHER</t>
  </si>
  <si>
    <t>MPJ</t>
  </si>
  <si>
    <t>MRDIYT</t>
  </si>
  <si>
    <t>MSC</t>
  </si>
  <si>
    <t>MST</t>
  </si>
  <si>
    <t>MTC</t>
  </si>
  <si>
    <t>MTI</t>
  </si>
  <si>
    <t>MTW</t>
  </si>
  <si>
    <t>MUD</t>
  </si>
  <si>
    <t>MVP</t>
  </si>
  <si>
    <t>NAM</t>
  </si>
  <si>
    <t>NAT</t>
  </si>
  <si>
    <t>NATION</t>
  </si>
  <si>
    <t>NCAP</t>
  </si>
  <si>
    <t>NCH</t>
  </si>
  <si>
    <t>NCL</t>
  </si>
  <si>
    <t>NCP</t>
  </si>
  <si>
    <t>NDR</t>
  </si>
  <si>
    <t>NEO</t>
  </si>
  <si>
    <t>NEP</t>
  </si>
  <si>
    <t>NER</t>
  </si>
  <si>
    <t>NETBAY</t>
  </si>
  <si>
    <t>NEW</t>
  </si>
  <si>
    <t>NEX</t>
  </si>
  <si>
    <t>NFC</t>
  </si>
  <si>
    <t>NKI</t>
  </si>
  <si>
    <t>NKT</t>
  </si>
  <si>
    <t>NL</t>
  </si>
  <si>
    <t>NNCL</t>
  </si>
  <si>
    <t>NOBLE</t>
  </si>
  <si>
    <t>NOVA</t>
  </si>
  <si>
    <t>NPK</t>
  </si>
  <si>
    <t>NRF</t>
  </si>
  <si>
    <t>NSL</t>
  </si>
  <si>
    <t>NTF</t>
  </si>
  <si>
    <t>NTSC</t>
  </si>
  <si>
    <t>NTV</t>
  </si>
  <si>
    <t>NUT</t>
  </si>
  <si>
    <t>NV</t>
  </si>
  <si>
    <t>NVD</t>
  </si>
  <si>
    <t>NWR</t>
  </si>
  <si>
    <t>NYT</t>
  </si>
  <si>
    <t>OCC</t>
  </si>
  <si>
    <t>OGC</t>
  </si>
  <si>
    <t>OHTL</t>
  </si>
  <si>
    <t>OKJ</t>
  </si>
  <si>
    <t>ONEE</t>
  </si>
  <si>
    <t>ONSENS</t>
  </si>
  <si>
    <t>OR</t>
  </si>
  <si>
    <t>ORI</t>
  </si>
  <si>
    <t>ORN</t>
  </si>
  <si>
    <t>OSP</t>
  </si>
  <si>
    <t>PACO</t>
  </si>
  <si>
    <t>PAF</t>
  </si>
  <si>
    <t>PANEL</t>
  </si>
  <si>
    <t>PAP</t>
  </si>
  <si>
    <t>PATO</t>
  </si>
  <si>
    <t>PB</t>
  </si>
  <si>
    <t>PCC</t>
  </si>
  <si>
    <t>PCE</t>
  </si>
  <si>
    <t>PCSGH</t>
  </si>
  <si>
    <t>PDG</t>
  </si>
  <si>
    <t>PDJ</t>
  </si>
  <si>
    <t>PEACE</t>
  </si>
  <si>
    <t>PEER</t>
  </si>
  <si>
    <t>PERM</t>
  </si>
  <si>
    <t>PF</t>
  </si>
  <si>
    <t>PG</t>
  </si>
  <si>
    <t>PHG</t>
  </si>
  <si>
    <t>PHOL</t>
  </si>
  <si>
    <t>PICO</t>
  </si>
  <si>
    <t>PIMO</t>
  </si>
  <si>
    <t>PIN</t>
  </si>
  <si>
    <t>PIS</t>
  </si>
  <si>
    <t>PJW</t>
  </si>
  <si>
    <t>PK</t>
  </si>
  <si>
    <t>PL</t>
  </si>
  <si>
    <t>PLANB</t>
  </si>
  <si>
    <t>PLANET</t>
  </si>
  <si>
    <t>PLAT</t>
  </si>
  <si>
    <t>PLE</t>
  </si>
  <si>
    <t>PLT</t>
  </si>
  <si>
    <t>PLUS</t>
  </si>
  <si>
    <t>PM</t>
  </si>
  <si>
    <t>PMC</t>
  </si>
  <si>
    <t>PMTA</t>
  </si>
  <si>
    <t>POLY</t>
  </si>
  <si>
    <t>PORT</t>
  </si>
  <si>
    <t>PPM</t>
  </si>
  <si>
    <t>PPP</t>
  </si>
  <si>
    <t>PPPM</t>
  </si>
  <si>
    <t>PPS</t>
  </si>
  <si>
    <t>PQS</t>
  </si>
  <si>
    <t>PR9</t>
  </si>
  <si>
    <t>PRAKIT</t>
  </si>
  <si>
    <t>PRAPAT</t>
  </si>
  <si>
    <t>PREB</t>
  </si>
  <si>
    <t>PRECHA</t>
  </si>
  <si>
    <t>PRG</t>
  </si>
  <si>
    <t>PRI</t>
  </si>
  <si>
    <t>PRIME</t>
  </si>
  <si>
    <t>PRIN</t>
  </si>
  <si>
    <t>PRINC</t>
  </si>
  <si>
    <t>PRM</t>
  </si>
  <si>
    <t>PROEN</t>
  </si>
  <si>
    <t>PROS</t>
  </si>
  <si>
    <t>PROUD</t>
  </si>
  <si>
    <t>PRTR</t>
  </si>
  <si>
    <t>PSGC</t>
  </si>
  <si>
    <t>PSH</t>
  </si>
  <si>
    <t>PSL</t>
  </si>
  <si>
    <t>PSP</t>
  </si>
  <si>
    <t>PSTC</t>
  </si>
  <si>
    <t>PT</t>
  </si>
  <si>
    <t>PTC</t>
  </si>
  <si>
    <t>PTG</t>
  </si>
  <si>
    <t>PTL</t>
  </si>
  <si>
    <t>PTT</t>
  </si>
  <si>
    <t>PTTEP</t>
  </si>
  <si>
    <t>PTTGC</t>
  </si>
  <si>
    <t>PYLON</t>
  </si>
  <si>
    <t>Q-CON</t>
  </si>
  <si>
    <t>QDC</t>
  </si>
  <si>
    <t>QH</t>
  </si>
  <si>
    <t>QLT</t>
  </si>
  <si>
    <t>QTC</t>
  </si>
  <si>
    <t>QTCG</t>
  </si>
  <si>
    <t>RABBIT</t>
  </si>
  <si>
    <t>RAM</t>
  </si>
  <si>
    <t>RATCH</t>
  </si>
  <si>
    <t>RBF</t>
  </si>
  <si>
    <t>RCL</t>
  </si>
  <si>
    <t>READY</t>
  </si>
  <si>
    <t>RICHY</t>
  </si>
  <si>
    <t>RJH</t>
  </si>
  <si>
    <t>RML</t>
  </si>
  <si>
    <t>ROCK</t>
  </si>
  <si>
    <t>ROCTEC</t>
  </si>
  <si>
    <t>ROH</t>
  </si>
  <si>
    <t>ROJNA</t>
  </si>
  <si>
    <t>RP</t>
  </si>
  <si>
    <t>RPC</t>
  </si>
  <si>
    <t>RPH</t>
  </si>
  <si>
    <t>RS</t>
  </si>
  <si>
    <t>RSP</t>
  </si>
  <si>
    <t>RT</t>
  </si>
  <si>
    <t>RWI</t>
  </si>
  <si>
    <t>S&amp;J</t>
  </si>
  <si>
    <t>S</t>
  </si>
  <si>
    <t>S11</t>
  </si>
  <si>
    <t>SA</t>
  </si>
  <si>
    <t>SAAM</t>
  </si>
  <si>
    <t>SABINA</t>
  </si>
  <si>
    <t>SAF</t>
  </si>
  <si>
    <t>SAFE</t>
  </si>
  <si>
    <t>SAK</t>
  </si>
  <si>
    <t>SALEE</t>
  </si>
  <si>
    <t>SAM</t>
  </si>
  <si>
    <t>SAMART</t>
  </si>
  <si>
    <t>SAMCO</t>
  </si>
  <si>
    <t>SAMTEL</t>
  </si>
  <si>
    <t>SANKO</t>
  </si>
  <si>
    <t>SAPPE</t>
  </si>
  <si>
    <t>SAT</t>
  </si>
  <si>
    <t>SAUCE</t>
  </si>
  <si>
    <t>SAV</t>
  </si>
  <si>
    <t>SAWAD</t>
  </si>
  <si>
    <t>SAWANG</t>
  </si>
  <si>
    <t>SC</t>
  </si>
  <si>
    <t>SCAP</t>
  </si>
  <si>
    <t>SCB</t>
  </si>
  <si>
    <t>SCC</t>
  </si>
  <si>
    <t>SCCC</t>
  </si>
  <si>
    <t>SCG</t>
  </si>
  <si>
    <t>SCGD</t>
  </si>
  <si>
    <t>SCGP</t>
  </si>
  <si>
    <t>SCI</t>
  </si>
  <si>
    <t>SCL</t>
  </si>
  <si>
    <t>SCM</t>
  </si>
  <si>
    <t>SCN</t>
  </si>
  <si>
    <t>SCP</t>
  </si>
  <si>
    <t>SDC</t>
  </si>
  <si>
    <t>SE</t>
  </si>
  <si>
    <t>SE-ED</t>
  </si>
  <si>
    <t>SEAFCO</t>
  </si>
  <si>
    <t>SEAOIL</t>
  </si>
  <si>
    <t>SECURE</t>
  </si>
  <si>
    <t>SEI</t>
  </si>
  <si>
    <t>SELIC</t>
  </si>
  <si>
    <t>SENA</t>
  </si>
  <si>
    <t>SENX</t>
  </si>
  <si>
    <t>SFLEX</t>
  </si>
  <si>
    <t>SFT</t>
  </si>
  <si>
    <t>SGC</t>
  </si>
  <si>
    <t>SGF</t>
  </si>
  <si>
    <t>SGP</t>
  </si>
  <si>
    <t>SHANG</t>
  </si>
  <si>
    <t>SHR</t>
  </si>
  <si>
    <t>SIAM</t>
  </si>
  <si>
    <t>SICT</t>
  </si>
  <si>
    <t>SIMAT</t>
  </si>
  <si>
    <t>SINGER</t>
  </si>
  <si>
    <t>SINO</t>
  </si>
  <si>
    <t>SIRI</t>
  </si>
  <si>
    <t>SIS</t>
  </si>
  <si>
    <t>SISB</t>
  </si>
  <si>
    <t>SITHAI</t>
  </si>
  <si>
    <t>SJWD</t>
  </si>
  <si>
    <t>SK</t>
  </si>
  <si>
    <t>SKE</t>
  </si>
  <si>
    <t>SKIN</t>
  </si>
  <si>
    <t>SKN</t>
  </si>
  <si>
    <t>SKR</t>
  </si>
  <si>
    <t>SKY</t>
  </si>
  <si>
    <t>SLP</t>
  </si>
  <si>
    <t>SMART</t>
  </si>
  <si>
    <t>SMD100</t>
  </si>
  <si>
    <t>SMIT</t>
  </si>
  <si>
    <t>SMO</t>
  </si>
  <si>
    <t>SMPC</t>
  </si>
  <si>
    <t>SMT</t>
  </si>
  <si>
    <t>SNC</t>
  </si>
  <si>
    <t>SNNP</t>
  </si>
  <si>
    <t>SNP</t>
  </si>
  <si>
    <t>SNPS</t>
  </si>
  <si>
    <t>SO</t>
  </si>
  <si>
    <t>SOLAR</t>
  </si>
  <si>
    <t>SONIC</t>
  </si>
  <si>
    <t>SORKON</t>
  </si>
  <si>
    <t>SPA</t>
  </si>
  <si>
    <t>SPACK</t>
  </si>
  <si>
    <t>SPALI</t>
  </si>
  <si>
    <t>SPC</t>
  </si>
  <si>
    <t>SPCG</t>
  </si>
  <si>
    <t>SPG</t>
  </si>
  <si>
    <t>SPI</t>
  </si>
  <si>
    <t>SPRC</t>
  </si>
  <si>
    <t>SPREME</t>
  </si>
  <si>
    <t>SPTX</t>
  </si>
  <si>
    <t>SPVI</t>
  </si>
  <si>
    <t>SQ</t>
  </si>
  <si>
    <t>SR</t>
  </si>
  <si>
    <t>SRICHA</t>
  </si>
  <si>
    <t>SRS</t>
  </si>
  <si>
    <t>SSF</t>
  </si>
  <si>
    <t>SSP</t>
  </si>
  <si>
    <t>SSSC</t>
  </si>
  <si>
    <t>SST</t>
  </si>
  <si>
    <t>STA</t>
  </si>
  <si>
    <t>STANLY</t>
  </si>
  <si>
    <t>STARM</t>
  </si>
  <si>
    <t>STC</t>
  </si>
  <si>
    <t>STECH</t>
  </si>
  <si>
    <t>STECON</t>
  </si>
  <si>
    <t>STELLA</t>
  </si>
  <si>
    <t>STGT</t>
  </si>
  <si>
    <t>STI</t>
  </si>
  <si>
    <t>STOWER</t>
  </si>
  <si>
    <t>STP</t>
  </si>
  <si>
    <t>STPI</t>
  </si>
  <si>
    <t>STX</t>
  </si>
  <si>
    <t>SUC</t>
  </si>
  <si>
    <t>SUN</t>
  </si>
  <si>
    <t>SUPER</t>
  </si>
  <si>
    <t>SUSCO</t>
  </si>
  <si>
    <t>SUTHA</t>
  </si>
  <si>
    <t>SVOA</t>
  </si>
  <si>
    <t>SVR</t>
  </si>
  <si>
    <t>SVT</t>
  </si>
  <si>
    <t>SWC</t>
  </si>
  <si>
    <t>SYMC</t>
  </si>
  <si>
    <t>SYNEX</t>
  </si>
  <si>
    <t>SYNTEC</t>
  </si>
  <si>
    <t>TACC</t>
  </si>
  <si>
    <t>TAE</t>
  </si>
  <si>
    <t>TAKUNI</t>
  </si>
  <si>
    <t>TAN</t>
  </si>
  <si>
    <t>TAPAC</t>
  </si>
  <si>
    <t>TASCO</t>
  </si>
  <si>
    <t>TATG</t>
  </si>
  <si>
    <t>TBN</t>
  </si>
  <si>
    <t>TBSP</t>
  </si>
  <si>
    <t>TC</t>
  </si>
  <si>
    <t>TCAP</t>
  </si>
  <si>
    <t>TCC</t>
  </si>
  <si>
    <t>TCJ</t>
  </si>
  <si>
    <t>TCMC</t>
  </si>
  <si>
    <t>TCOAT</t>
  </si>
  <si>
    <t>TEAM</t>
  </si>
  <si>
    <t>TEAMG</t>
  </si>
  <si>
    <t>TEGH</t>
  </si>
  <si>
    <t>TEKA</t>
  </si>
  <si>
    <t>TERA</t>
  </si>
  <si>
    <t>TFG</t>
  </si>
  <si>
    <t>TFI</t>
  </si>
  <si>
    <t>TFM</t>
  </si>
  <si>
    <t>TFMAMA</t>
  </si>
  <si>
    <t>TGE</t>
  </si>
  <si>
    <t>TGH</t>
  </si>
  <si>
    <t>TGPRO</t>
  </si>
  <si>
    <t>TH</t>
  </si>
  <si>
    <t>THAI</t>
  </si>
  <si>
    <t>THANA</t>
  </si>
  <si>
    <t>THANI</t>
  </si>
  <si>
    <t>THCOM</t>
  </si>
  <si>
    <t>THE</t>
  </si>
  <si>
    <t>THG</t>
  </si>
  <si>
    <t>THIP</t>
  </si>
  <si>
    <t>THMUI</t>
  </si>
  <si>
    <t>THRE</t>
  </si>
  <si>
    <t>THREL</t>
  </si>
  <si>
    <t>TIDLOR</t>
  </si>
  <si>
    <t>TIGER</t>
  </si>
  <si>
    <t>TIPCO</t>
  </si>
  <si>
    <t>TIPH</t>
  </si>
  <si>
    <t>TISCO</t>
  </si>
  <si>
    <t>TITLE</t>
  </si>
  <si>
    <t>TK</t>
  </si>
  <si>
    <t>TKC</t>
  </si>
  <si>
    <t>TKN</t>
  </si>
  <si>
    <t>TKS</t>
  </si>
  <si>
    <t>TKT</t>
  </si>
  <si>
    <t>TL</t>
  </si>
  <si>
    <t>TLI</t>
  </si>
  <si>
    <t>TM</t>
  </si>
  <si>
    <t>TMAN</t>
  </si>
  <si>
    <t>TMC</t>
  </si>
  <si>
    <t>TMD</t>
  </si>
  <si>
    <t>TMI</t>
  </si>
  <si>
    <t>TMILL</t>
  </si>
  <si>
    <t>TMT</t>
  </si>
  <si>
    <t>TMW</t>
  </si>
  <si>
    <t>TNDT</t>
  </si>
  <si>
    <t>TNH</t>
  </si>
  <si>
    <t>TNITY</t>
  </si>
  <si>
    <t>TNL</t>
  </si>
  <si>
    <t>TNP</t>
  </si>
  <si>
    <t>TNPC</t>
  </si>
  <si>
    <t>TNR</t>
  </si>
  <si>
    <t>TOA</t>
  </si>
  <si>
    <t>TOG</t>
  </si>
  <si>
    <t>TOP</t>
  </si>
  <si>
    <t>TOPP</t>
  </si>
  <si>
    <t>TPA</t>
  </si>
  <si>
    <t>TPAC</t>
  </si>
  <si>
    <t>TPBI</t>
  </si>
  <si>
    <t>TPCH</t>
  </si>
  <si>
    <t>TPCS</t>
  </si>
  <si>
    <t>TPIPL</t>
  </si>
  <si>
    <t>TPIPP</t>
  </si>
  <si>
    <t>TPL</t>
  </si>
  <si>
    <t>TPLAS</t>
  </si>
  <si>
    <t>TPOLY</t>
  </si>
  <si>
    <t>TPP</t>
  </si>
  <si>
    <t>TPS</t>
  </si>
  <si>
    <t>TQM</t>
  </si>
  <si>
    <t>TQR</t>
  </si>
  <si>
    <t>TR</t>
  </si>
  <si>
    <t>TRC</t>
  </si>
  <si>
    <t>TRITN</t>
  </si>
  <si>
    <t>TRP</t>
  </si>
  <si>
    <t>TRT</t>
  </si>
  <si>
    <t>TRU</t>
  </si>
  <si>
    <t>TRUBB</t>
  </si>
  <si>
    <t>TRUE</t>
  </si>
  <si>
    <t>TRV</t>
  </si>
  <si>
    <t>TSC</t>
  </si>
  <si>
    <t>TSE</t>
  </si>
  <si>
    <t>TSI</t>
  </si>
  <si>
    <t>TSR</t>
  </si>
  <si>
    <t>TSTE</t>
  </si>
  <si>
    <t>TSTH</t>
  </si>
  <si>
    <t>TTA</t>
  </si>
  <si>
    <t>TTB</t>
  </si>
  <si>
    <t>TTCL</t>
  </si>
  <si>
    <t>TTI</t>
  </si>
  <si>
    <t>TTT</t>
  </si>
  <si>
    <t>TTW</t>
  </si>
  <si>
    <t>TU</t>
  </si>
  <si>
    <t>TURBO</t>
  </si>
  <si>
    <t>TURTLE</t>
  </si>
  <si>
    <t>TVDH</t>
  </si>
  <si>
    <t>TVH</t>
  </si>
  <si>
    <t>TVO</t>
  </si>
  <si>
    <t>TVT</t>
  </si>
  <si>
    <t>TWP</t>
  </si>
  <si>
    <t>TWPC</t>
  </si>
  <si>
    <t>TWZ</t>
  </si>
  <si>
    <t>TYCN</t>
  </si>
  <si>
    <t>UAC</t>
  </si>
  <si>
    <t>UBA</t>
  </si>
  <si>
    <t>UBE</t>
  </si>
  <si>
    <t>UBIS</t>
  </si>
  <si>
    <t>UEC</t>
  </si>
  <si>
    <t>UKEM</t>
  </si>
  <si>
    <t>UMI</t>
  </si>
  <si>
    <t>UMS</t>
  </si>
  <si>
    <t>UNIQ</t>
  </si>
  <si>
    <t>UNIX</t>
  </si>
  <si>
    <t>UP</t>
  </si>
  <si>
    <t>UPF</t>
  </si>
  <si>
    <t>UPOIC</t>
  </si>
  <si>
    <t>UREKA</t>
  </si>
  <si>
    <t>UTP</t>
  </si>
  <si>
    <t>UV</t>
  </si>
  <si>
    <t>UVAN</t>
  </si>
  <si>
    <t>VARO</t>
  </si>
  <si>
    <t>VCOM</t>
  </si>
  <si>
    <t>VGI</t>
  </si>
  <si>
    <t>VIBE</t>
  </si>
  <si>
    <t>VIBHA</t>
  </si>
  <si>
    <t>VIH</t>
  </si>
  <si>
    <t>VL</t>
  </si>
  <si>
    <t>VNG</t>
  </si>
  <si>
    <t>VPO</t>
  </si>
  <si>
    <t>VRANDA</t>
  </si>
  <si>
    <t>VS</t>
  </si>
  <si>
    <t>WACOAL</t>
  </si>
  <si>
    <t>WARRIX</t>
  </si>
  <si>
    <t>WASH</t>
  </si>
  <si>
    <t>WAVE</t>
  </si>
  <si>
    <t>WELL</t>
  </si>
  <si>
    <t>WFX</t>
  </si>
  <si>
    <t>WGE</t>
  </si>
  <si>
    <t>WHA</t>
  </si>
  <si>
    <t>WHAUP</t>
  </si>
  <si>
    <t>WICE</t>
  </si>
  <si>
    <t>WIIK</t>
  </si>
  <si>
    <t>WIN</t>
  </si>
  <si>
    <t>WINDOW</t>
  </si>
  <si>
    <t>WINMED</t>
  </si>
  <si>
    <t>WINNER</t>
  </si>
  <si>
    <t>WORK</t>
  </si>
  <si>
    <t>WP</t>
  </si>
  <si>
    <t>WPH</t>
  </si>
  <si>
    <t>WSOL</t>
  </si>
  <si>
    <t>XBIO</t>
  </si>
  <si>
    <t>XO</t>
  </si>
  <si>
    <t>XPG</t>
  </si>
  <si>
    <t>XYZ</t>
  </si>
  <si>
    <t>YGG</t>
  </si>
  <si>
    <t>YONG</t>
  </si>
  <si>
    <t>YUASA</t>
  </si>
  <si>
    <t>ZAA</t>
  </si>
  <si>
    <t>ZEN</t>
  </si>
  <si>
    <t>ZIGA</t>
  </si>
  <si>
    <t xml:space="preserve"> </t>
  </si>
  <si>
    <t>Name </t>
  </si>
  <si>
    <t>BVPS</t>
  </si>
  <si>
    <t>SharesOut</t>
  </si>
  <si>
    <t>BANPUU</t>
  </si>
  <si>
    <t>POWER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</si>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</sst>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7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charset val="222"/>
      <scheme val="minor"/>
    </font>
    <font>
      <b/>
      <sz val="11"/>
      <color theme="1"/>
      <name val="Calibri"/>
      <family val="2"/>
    </font>
    <font>
      <b/>
      <sz val="9"/>
      <color rgb="FF000000"/>
      <name val="Arial"/>
      <family val="2"/>
    </font>
    <font>
      <b/>
      <sz val="11"/>
      <color theme="0"/>
      <name val="Aptos Narrow"/>
      <family val="2"/>
      <charset val="22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6">
    <border>
      <left/>
      <right/>
      <top/>
      <bottom/>
      <diagonal/>
    </border>
    <border>
      <left/>
      <right/>
      <top/>
      <bottom style="thick">
        <color rgb="FF222222"/>
      </bottom>
      <diagonal/>
    </border>
    <border>
      <left style="thick">
        <color rgb="FF222222"/>
      </left>
      <right style="thick">
        <color rgb="FF222222"/>
      </right>
      <top style="thick">
        <color rgb="FF222222"/>
      </top>
      <bottom style="thick">
        <color rgb="FF222222"/>
      </bottom>
      <diagonal/>
    </border>
    <border>
      <left style="thick">
        <color rgb="FF222222"/>
      </left>
      <right/>
      <top style="thick">
        <color rgb="FF222222"/>
      </top>
      <bottom style="thick">
        <color rgb="FF222222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3">
    <xf numFmtId="0" fontId="0" fillId="0" borderId="0"/>
    <xf numFmtId="0" fontId="1" fillId="0" borderId="0"/>
    <xf numFmtId="43" fontId="6" fillId="0" borderId="0" applyFont="0" applyFill="0" applyBorder="0" applyAlignment="0" applyProtection="0"/>
  </cellStyleXfs>
  <cellXfs count="10">
    <xf numFmtId="0" fontId="0" fillId="0" borderId="0" xfId="0"/>
    <xf numFmtId="0" fontId="3" fillId="2" borderId="2" xfId="0" applyFont="1" applyFill="1" applyBorder="1" applyAlignment="1">
      <alignment vertical="center"/>
    </xf>
    <xf numFmtId="0" fontId="3" fillId="2" borderId="3" xfId="0" applyFont="1" applyFill="1" applyBorder="1" applyAlignment="1">
      <alignment vertical="center"/>
    </xf>
    <xf numFmtId="0" fontId="4" fillId="3" borderId="4" xfId="0" applyFont="1" applyFill="1" applyBorder="1"/>
    <xf numFmtId="0" fontId="4" fillId="3" borderId="5" xfId="0" applyFont="1" applyFill="1" applyBorder="1"/>
    <xf numFmtId="43" fontId="0" fillId="4" borderId="4" xfId="0" applyNumberFormat="1" applyFill="1" applyBorder="1"/>
    <xf numFmtId="43" fontId="0" fillId="4" borderId="5" xfId="0" applyNumberFormat="1" applyFill="1" applyBorder="1"/>
    <xf numFmtId="0" fontId="5" fillId="0" borderId="0" xfId="0" applyFont="1"/>
    <xf numFmtId="43" fontId="0" fillId="0" borderId="0" xfId="2" applyFont="1"/>
    <xf numFmtId="0" fontId="2" fillId="0" borderId="1" xfId="0" applyFont="1" applyBorder="1" applyAlignment="1">
      <alignment horizontal="center"/>
    </xf>
  </cellXfs>
  <cellStyles count="3">
    <cellStyle name="Comma" xfId="2" builtinId="3"/>
    <cellStyle name="Normal" xfId="0" builtinId="0"/>
    <cellStyle name="Normal 2" xfId="1" xr:uid="{3E4DCAA7-CEBD-4403-A753-266E91F4DE67}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66675</xdr:colOff>
      <xdr:row>0</xdr:row>
      <xdr:rowOff>66675</xdr:rowOff>
    </xdr:to>
    <xdr:pic>
      <xdr:nvPicPr>
        <xdr:cNvPr id="2" name="Picture 1" descr="http://siamchart.com/css/sort_down.gif">
          <a:extLst>
            <a:ext uri="{FF2B5EF4-FFF2-40B4-BE49-F238E27FC236}">
              <a16:creationId xmlns:a16="http://schemas.microsoft.com/office/drawing/2014/main" id="{8D2D9F5C-90D5-4D5A-BD8D-7B007BC6199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6675" cy="6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66675</xdr:colOff>
      <xdr:row>1</xdr:row>
      <xdr:rowOff>66675</xdr:rowOff>
    </xdr:to>
    <xdr:pic>
      <xdr:nvPicPr>
        <xdr:cNvPr id="3" name="Picture 2" descr="http://siamchart.com/css/sort_down.gif">
          <a:extLst>
            <a:ext uri="{FF2B5EF4-FFF2-40B4-BE49-F238E27FC236}">
              <a16:creationId xmlns:a16="http://schemas.microsoft.com/office/drawing/2014/main" id="{D5DA53A7-2E9A-4ADA-9012-7EF21297D34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0025"/>
          <a:ext cx="66675" cy="6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66675</xdr:colOff>
      <xdr:row>1</xdr:row>
      <xdr:rowOff>66675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DAAB2B03-6780-43B6-9D6A-59E8B9D9F6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0025"/>
          <a:ext cx="66675" cy="6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7F40869-F7ED-4909-88D4-5650843AA874}" autoFormatId="16" applyNumberFormats="0" applyBorderFormats="0" applyFontFormats="0" applyPatternFormats="0" applyAlignmentFormats="0" applyWidthHeightFormats="0">
  <queryTableRefresh nextId="27" unboundColumnsRight="2">
    <queryTableFields count="24">
      <queryTableField id="1" name="Name" tableColumnId="1"/>
      <queryTableField id="2" name="No." tableColumnId="2"/>
      <queryTableField id="5" name="Last" tableColumnId="5"/>
      <queryTableField id="6" name="Chg%" tableColumnId="6"/>
      <queryTableField id="7" name="Volume" tableColumnId="7"/>
      <queryTableField id="8" name="Value (k)" tableColumnId="8"/>
      <queryTableField id="9" name="MCap (M)" tableColumnId="9"/>
      <queryTableField id="10" name="P/E" tableColumnId="10"/>
      <queryTableField id="11" name="P/BV" tableColumnId="11"/>
      <queryTableField id="12" name="D/E" tableColumnId="12"/>
      <queryTableField id="13" name="DPS" tableColumnId="13"/>
      <queryTableField id="14" name="EPS" tableColumnId="14"/>
      <queryTableField id="15" name="ROA%" tableColumnId="15"/>
      <queryTableField id="16" name="ROE%" tableColumnId="16"/>
      <queryTableField id="17" name="NPM%" tableColumnId="17"/>
      <queryTableField id="18" name="Yield%" tableColumnId="18"/>
      <queryTableField id="19" name="FFloat%" tableColumnId="19"/>
      <queryTableField id="20" name="MG%" tableColumnId="20"/>
      <queryTableField id="21" name="Magic1" tableColumnId="21"/>
      <queryTableField id="22" name="Magic2" tableColumnId="22"/>
      <queryTableField id="23" name="PEG" tableColumnId="23"/>
      <queryTableField id="24" name="CG" tableColumnId="24"/>
      <queryTableField id="25" dataBound="0" tableColumnId="3"/>
      <queryTableField id="26" dataBound="0" tableColumnId="4"/>
    </queryTableFields>
    <queryTableDeletedFields count="2">
      <deletedField name="Links"/>
      <deletedField name="Sign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F16DF6-6443-4C17-9824-C46FAE7EDE1E}" name="Siam_Chart" displayName="Siam_Chart" ref="A1:X870" tableType="queryTable" totalsRowShown="0">
  <autoFilter ref="A1:X870" xr:uid="{C1F16DF6-6443-4C17-9824-C46FAE7EDE1E}"/>
  <tableColumns count="24">
    <tableColumn id="1" xr3:uid="{FC14DCDB-B2B7-41B9-A672-79C513E164E1}" uniqueName="1" name="Name" queryTableFieldId="1" dataDxfId="2"/>
    <tableColumn id="2" xr3:uid="{5E32DF75-6B58-4AA8-83CD-8D8F0F25EFDB}" uniqueName="2" name="No." queryTableFieldId="2"/>
    <tableColumn id="5" xr3:uid="{9540D7B8-D0F5-49F5-9260-6B07BD05050C}" uniqueName="5" name="Last" queryTableFieldId="5"/>
    <tableColumn id="6" xr3:uid="{9A804CA8-FB73-43FA-A7A5-CB3099321A12}" uniqueName="6" name="Chg%" queryTableFieldId="6"/>
    <tableColumn id="7" xr3:uid="{D4A97ADD-372A-4CF9-B4E7-235974EFB948}" uniqueName="7" name="Volume" queryTableFieldId="7"/>
    <tableColumn id="8" xr3:uid="{5CA64475-08EC-4C13-A4CF-AF90C3E323E3}" uniqueName="8" name="Value (k)" queryTableFieldId="8"/>
    <tableColumn id="9" xr3:uid="{818281DA-F1E1-48CD-AA6E-8F6F26E15240}" uniqueName="9" name="MCap (M)" queryTableFieldId="9"/>
    <tableColumn id="10" xr3:uid="{BF22A84B-CA18-4202-84B5-102046B9989E}" uniqueName="10" name="P/E" queryTableFieldId="10"/>
    <tableColumn id="11" xr3:uid="{26489615-A11A-4EBD-BF67-2C2A9FA05A2C}" uniqueName="11" name="P/BV" queryTableFieldId="11"/>
    <tableColumn id="12" xr3:uid="{DEFB6068-E7F4-4EBB-A001-043CE3DF19B0}" uniqueName="12" name="D/E" queryTableFieldId="12"/>
    <tableColumn id="13" xr3:uid="{9F6E2344-151A-4795-BE70-54839E03B477}" uniqueName="13" name="DPS" queryTableFieldId="13"/>
    <tableColumn id="14" xr3:uid="{4F185194-3EC5-4D7D-9C97-EBBD006BAC24}" uniqueName="14" name="EPS" queryTableFieldId="14"/>
    <tableColumn id="15" xr3:uid="{B127EEA6-70FE-4DD5-8BFC-5E5FC35A9657}" uniqueName="15" name="ROA%" queryTableFieldId="15"/>
    <tableColumn id="16" xr3:uid="{15CDF9EB-B67F-4BD0-8779-24F15B1BEBBB}" uniqueName="16" name="ROE%" queryTableFieldId="16"/>
    <tableColumn id="17" xr3:uid="{5EA21D3F-E9AD-4CD1-82B1-1EAC2D5E2318}" uniqueName="17" name="NPM%" queryTableFieldId="17"/>
    <tableColumn id="18" xr3:uid="{5BCD17DC-6291-4567-BF06-35D1F45CAEDD}" uniqueName="18" name="Yield%" queryTableFieldId="18"/>
    <tableColumn id="19" xr3:uid="{4EA31836-3FDE-4783-A95B-88E8CF42A683}" uniqueName="19" name="FFloat%" queryTableFieldId="19" dataDxfId="1"/>
    <tableColumn id="20" xr3:uid="{5BD8DC0C-2B37-4519-ABCC-E18AC03BBA27}" uniqueName="20" name="MG%" queryTableFieldId="20" dataDxfId="0"/>
    <tableColumn id="21" xr3:uid="{B9EAF2E3-E29A-480F-AF03-B73EF74F52AC}" uniqueName="21" name="Magic1" queryTableFieldId="21"/>
    <tableColumn id="22" xr3:uid="{871D48FE-C601-4239-A369-DE53AE7DF9B2}" uniqueName="22" name="Magic2" queryTableFieldId="22"/>
    <tableColumn id="23" xr3:uid="{7BFE83B1-6D51-4D4F-A1C5-76847D1FC79B}" uniqueName="23" name="PEG" queryTableFieldId="23"/>
    <tableColumn id="24" xr3:uid="{CBA0DBCF-B0E1-4B30-A962-34B761AF0D67}" uniqueName="24" name="CG" queryTableFieldId="24"/>
    <tableColumn id="3" xr3:uid="{BF4C6056-1887-49EC-9C27-17A000DDD2E4}" uniqueName="3" name="BVPS" queryTableFieldId="25"/>
    <tableColumn id="4" xr3:uid="{1105C2C4-CBF7-47F4-9F60-86D86542D6FE}" uniqueName="4" name="SharesOut" queryTableFieldId="2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B77E6-C203-458F-A163-A55AF573C1DC}">
  <sheetPr codeName="Sheet2"/>
  <dimension ref="A1:X870"/>
  <sheetViews>
    <sheetView workbookViewId="0">
      <pane ySplit="1" topLeftCell="A37" activePane="bottomLeft" state="frozen"/>
      <selection pane="bottomLeft" activeCell="F48" sqref="F48"/>
    </sheetView>
  </sheetViews>
  <sheetFormatPr defaultRowHeight="15" x14ac:dyDescent="0.25"/>
  <cols>
    <col min="2" max="2" width="6.42578125" bestFit="1" customWidth="1"/>
    <col min="3" max="3" width="7" bestFit="1" customWidth="1"/>
    <col min="4" max="4" width="8.42578125" bestFit="1" customWidth="1"/>
    <col min="5" max="5" width="16.85546875" bestFit="1" customWidth="1"/>
    <col min="6" max="6" width="15.28515625" bestFit="1" customWidth="1"/>
    <col min="7" max="7" width="11.85546875" bestFit="1" customWidth="1"/>
    <col min="8" max="8" width="7" bestFit="1" customWidth="1"/>
    <col min="9" max="9" width="7.42578125" bestFit="1" customWidth="1"/>
    <col min="10" max="10" width="6.7109375" bestFit="1" customWidth="1"/>
    <col min="11" max="11" width="7" bestFit="1" customWidth="1"/>
    <col min="12" max="12" width="6.7109375" bestFit="1" customWidth="1"/>
    <col min="13" max="14" width="8.7109375" bestFit="1" customWidth="1"/>
    <col min="15" max="15" width="9" bestFit="1" customWidth="1"/>
    <col min="16" max="16" width="9.42578125" bestFit="1" customWidth="1"/>
    <col min="17" max="17" width="10.28515625" bestFit="1" customWidth="1"/>
    <col min="18" max="18" width="7.85546875" bestFit="1" customWidth="1"/>
    <col min="19" max="20" width="9.42578125" bestFit="1" customWidth="1"/>
    <col min="21" max="21" width="7.7109375" bestFit="1" customWidth="1"/>
    <col min="22" max="22" width="6.140625" bestFit="1" customWidth="1"/>
    <col min="24" max="24" width="17.85546875" customWidth="1"/>
  </cols>
  <sheetData>
    <row r="1" spans="1:24" ht="16.5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s="3" t="s">
        <v>892</v>
      </c>
      <c r="X1" s="4" t="s">
        <v>893</v>
      </c>
    </row>
    <row r="2" spans="1:24" x14ac:dyDescent="0.25">
      <c r="A2" t="s">
        <v>23</v>
      </c>
      <c r="B2">
        <v>1</v>
      </c>
      <c r="C2">
        <v>3.8</v>
      </c>
      <c r="D2">
        <v>-1.04</v>
      </c>
      <c r="E2">
        <v>356031</v>
      </c>
      <c r="F2">
        <v>1354272.96</v>
      </c>
      <c r="G2">
        <v>2089984625.2</v>
      </c>
      <c r="H2">
        <v>5.61</v>
      </c>
      <c r="I2">
        <v>0.89</v>
      </c>
      <c r="J2">
        <v>0.14127600000000001</v>
      </c>
      <c r="K2">
        <v>0.12</v>
      </c>
      <c r="L2">
        <v>0.67</v>
      </c>
      <c r="M2">
        <v>18.336116000000001</v>
      </c>
      <c r="N2">
        <v>16.956644000000001</v>
      </c>
      <c r="O2">
        <v>8.9956949999999996</v>
      </c>
      <c r="P2">
        <v>5.26</v>
      </c>
      <c r="Q2" t="s">
        <v>22</v>
      </c>
      <c r="R2" t="s">
        <v>22</v>
      </c>
      <c r="S2">
        <v>198</v>
      </c>
      <c r="T2">
        <v>116</v>
      </c>
      <c r="U2">
        <v>0.32</v>
      </c>
      <c r="V2">
        <v>4</v>
      </c>
      <c r="W2">
        <v>4.26</v>
      </c>
      <c r="X2">
        <v>549995954</v>
      </c>
    </row>
    <row r="3" spans="1:24" x14ac:dyDescent="0.25">
      <c r="A3" t="s">
        <v>24</v>
      </c>
      <c r="B3">
        <v>2</v>
      </c>
      <c r="C3">
        <v>3.7</v>
      </c>
      <c r="D3">
        <v>0</v>
      </c>
      <c r="E3">
        <v>208332</v>
      </c>
      <c r="F3">
        <v>764450.5</v>
      </c>
      <c r="G3">
        <v>786250000</v>
      </c>
      <c r="H3">
        <v>9.18</v>
      </c>
      <c r="I3">
        <v>1.63</v>
      </c>
      <c r="J3">
        <v>0.16503699999999999</v>
      </c>
      <c r="K3">
        <v>0.185</v>
      </c>
      <c r="L3">
        <v>0.17</v>
      </c>
      <c r="M3">
        <v>24.886887999999999</v>
      </c>
      <c r="N3">
        <v>24.717697000000001</v>
      </c>
      <c r="O3">
        <v>11.065108</v>
      </c>
      <c r="P3">
        <v>5</v>
      </c>
      <c r="Q3" t="s">
        <v>22</v>
      </c>
      <c r="R3" t="s">
        <v>22</v>
      </c>
      <c r="S3">
        <v>277</v>
      </c>
      <c r="T3">
        <v>239</v>
      </c>
      <c r="U3">
        <v>0.12</v>
      </c>
      <c r="W3">
        <v>2.27</v>
      </c>
      <c r="X3">
        <v>212500000</v>
      </c>
    </row>
    <row r="4" spans="1:24" x14ac:dyDescent="0.25">
      <c r="A4" t="s">
        <v>25</v>
      </c>
      <c r="B4">
        <v>3</v>
      </c>
      <c r="C4">
        <v>2.48</v>
      </c>
      <c r="D4">
        <v>-3.13</v>
      </c>
      <c r="E4">
        <v>100</v>
      </c>
      <c r="F4">
        <v>248</v>
      </c>
      <c r="G4">
        <v>2430400000</v>
      </c>
      <c r="H4">
        <v>2508800000</v>
      </c>
      <c r="I4">
        <v>4.84</v>
      </c>
      <c r="J4">
        <v>26.022794000000001</v>
      </c>
      <c r="K4">
        <v>0.03</v>
      </c>
      <c r="L4">
        <v>-0.73</v>
      </c>
      <c r="M4">
        <v>-4.7250069999999997</v>
      </c>
      <c r="N4">
        <v>-121.535421</v>
      </c>
      <c r="O4">
        <v>-264.28200199999998</v>
      </c>
      <c r="P4">
        <v>4.99</v>
      </c>
      <c r="Q4" t="s">
        <v>22</v>
      </c>
      <c r="R4" t="s">
        <v>22</v>
      </c>
      <c r="W4">
        <v>0.51</v>
      </c>
      <c r="X4">
        <v>980000000</v>
      </c>
    </row>
    <row r="5" spans="1:24" ht="15.75" customHeight="1" x14ac:dyDescent="0.25">
      <c r="A5" t="s">
        <v>26</v>
      </c>
      <c r="B5">
        <v>4</v>
      </c>
      <c r="C5">
        <v>1.79</v>
      </c>
      <c r="D5">
        <v>0</v>
      </c>
      <c r="E5">
        <v>11400</v>
      </c>
      <c r="F5">
        <v>20324</v>
      </c>
      <c r="G5">
        <v>2164798928.04</v>
      </c>
      <c r="H5">
        <v>84.35</v>
      </c>
      <c r="I5">
        <v>1.28</v>
      </c>
      <c r="J5">
        <v>1.0944689999999999</v>
      </c>
      <c r="K5">
        <v>0.05</v>
      </c>
      <c r="L5">
        <v>0.02</v>
      </c>
      <c r="M5">
        <v>1.9496770000000001</v>
      </c>
      <c r="N5">
        <v>1.5024919999999999</v>
      </c>
      <c r="O5">
        <v>4.2510659999999998</v>
      </c>
      <c r="P5">
        <v>2.79</v>
      </c>
      <c r="Q5" t="s">
        <v>22</v>
      </c>
      <c r="R5" t="s">
        <v>22</v>
      </c>
      <c r="S5">
        <v>1198</v>
      </c>
      <c r="T5">
        <v>1192</v>
      </c>
      <c r="U5">
        <v>0.47</v>
      </c>
      <c r="V5">
        <v>4</v>
      </c>
      <c r="W5">
        <v>1.4</v>
      </c>
      <c r="X5">
        <v>1209384876</v>
      </c>
    </row>
    <row r="6" spans="1:24" x14ac:dyDescent="0.25">
      <c r="A6" t="s">
        <v>27</v>
      </c>
      <c r="B6">
        <v>5</v>
      </c>
      <c r="C6">
        <v>4.0199999999999996</v>
      </c>
      <c r="D6">
        <v>1.52</v>
      </c>
      <c r="E6">
        <v>4304081</v>
      </c>
      <c r="F6">
        <v>17336834.719999999</v>
      </c>
      <c r="G6">
        <v>8542500000</v>
      </c>
      <c r="H6">
        <v>14.12</v>
      </c>
      <c r="I6">
        <v>1.75</v>
      </c>
      <c r="J6">
        <v>0.17941699999999999</v>
      </c>
      <c r="K6">
        <v>0.1416</v>
      </c>
      <c r="L6">
        <v>0.15</v>
      </c>
      <c r="M6">
        <v>11.575144999999999</v>
      </c>
      <c r="N6">
        <v>12.240123000000001</v>
      </c>
      <c r="O6">
        <v>9.7450369999999999</v>
      </c>
      <c r="P6">
        <v>8.34</v>
      </c>
      <c r="Q6" t="s">
        <v>22</v>
      </c>
      <c r="R6" t="s">
        <v>22</v>
      </c>
      <c r="S6">
        <v>644</v>
      </c>
      <c r="T6">
        <v>569</v>
      </c>
      <c r="U6">
        <v>0.54</v>
      </c>
      <c r="V6">
        <v>5</v>
      </c>
      <c r="W6">
        <v>2.29</v>
      </c>
      <c r="X6">
        <v>2125000000</v>
      </c>
    </row>
    <row r="7" spans="1:24" x14ac:dyDescent="0.25">
      <c r="A7" t="s">
        <v>28</v>
      </c>
      <c r="B7">
        <v>6</v>
      </c>
      <c r="C7">
        <v>1.04</v>
      </c>
      <c r="D7">
        <v>0</v>
      </c>
      <c r="E7">
        <v>10500750</v>
      </c>
      <c r="F7">
        <v>10918041.279999999</v>
      </c>
      <c r="G7">
        <v>13363999996.879999</v>
      </c>
      <c r="H7">
        <v>13492499996.85</v>
      </c>
      <c r="I7">
        <v>1.1100000000000001</v>
      </c>
      <c r="J7">
        <v>5.5347470000000003</v>
      </c>
      <c r="K7">
        <v>-0.12</v>
      </c>
      <c r="L7">
        <v>-0.12</v>
      </c>
      <c r="M7">
        <v>3.5895929999999998</v>
      </c>
      <c r="N7">
        <v>-5.9867460000000001</v>
      </c>
      <c r="O7">
        <v>-6.0504759999999997</v>
      </c>
      <c r="P7">
        <v>1.1200000000000001</v>
      </c>
      <c r="Q7" t="s">
        <v>22</v>
      </c>
      <c r="R7" t="s">
        <v>22</v>
      </c>
      <c r="S7">
        <v>306</v>
      </c>
      <c r="T7">
        <v>445</v>
      </c>
      <c r="U7">
        <v>0.06</v>
      </c>
      <c r="V7">
        <v>5</v>
      </c>
      <c r="W7">
        <v>0.94</v>
      </c>
      <c r="X7">
        <v>12849999997</v>
      </c>
    </row>
    <row r="8" spans="1:24" x14ac:dyDescent="0.25">
      <c r="A8" t="s">
        <v>29</v>
      </c>
      <c r="B8">
        <v>7</v>
      </c>
      <c r="C8">
        <v>0.88</v>
      </c>
      <c r="D8">
        <v>-8.33</v>
      </c>
      <c r="E8">
        <v>2935657</v>
      </c>
      <c r="F8">
        <v>2646053.0299999998</v>
      </c>
      <c r="G8">
        <v>609065991.60000002</v>
      </c>
      <c r="H8">
        <v>470641902.60000002</v>
      </c>
      <c r="I8">
        <v>0.82</v>
      </c>
      <c r="J8">
        <v>0.71881600000000001</v>
      </c>
      <c r="L8">
        <v>-2.667134274301076</v>
      </c>
      <c r="M8">
        <v>-2.6671339999999999</v>
      </c>
      <c r="N8">
        <v>-9.1576869999999992</v>
      </c>
      <c r="O8">
        <v>-0.22853200000000001</v>
      </c>
      <c r="P8">
        <v>0.63</v>
      </c>
      <c r="Q8" t="s">
        <v>22</v>
      </c>
      <c r="R8" t="s">
        <v>22</v>
      </c>
      <c r="V8">
        <v>4</v>
      </c>
      <c r="W8">
        <v>1.07</v>
      </c>
      <c r="X8">
        <v>692120445</v>
      </c>
    </row>
    <row r="9" spans="1:24" x14ac:dyDescent="0.25">
      <c r="A9" t="s">
        <v>30</v>
      </c>
      <c r="B9">
        <v>8</v>
      </c>
      <c r="C9">
        <v>2026</v>
      </c>
      <c r="D9">
        <v>0</v>
      </c>
      <c r="E9">
        <v>0</v>
      </c>
      <c r="F9">
        <v>0</v>
      </c>
      <c r="G9">
        <v>134</v>
      </c>
      <c r="H9">
        <v>0</v>
      </c>
      <c r="I9">
        <v>1.3269226132901817</v>
      </c>
      <c r="J9">
        <v>1.3269230000000001</v>
      </c>
      <c r="K9">
        <v>0.35</v>
      </c>
      <c r="L9">
        <v>0.35</v>
      </c>
      <c r="M9">
        <v>13.699806000000001</v>
      </c>
      <c r="N9">
        <v>31.319330999999998</v>
      </c>
      <c r="O9">
        <v>302.313738</v>
      </c>
      <c r="P9">
        <v>0</v>
      </c>
      <c r="Q9" t="s">
        <v>22</v>
      </c>
      <c r="R9" t="s">
        <v>22</v>
      </c>
      <c r="W9">
        <v>2.5499999999999998</v>
      </c>
      <c r="X9">
        <v>406411160</v>
      </c>
    </row>
    <row r="10" spans="1:24" x14ac:dyDescent="0.25">
      <c r="A10" t="s">
        <v>31</v>
      </c>
      <c r="B10">
        <v>9</v>
      </c>
      <c r="C10">
        <v>0.33</v>
      </c>
      <c r="D10">
        <v>0</v>
      </c>
      <c r="E10">
        <v>872033</v>
      </c>
      <c r="F10">
        <v>288947.23</v>
      </c>
      <c r="G10">
        <v>620510217.69000006</v>
      </c>
      <c r="H10">
        <v>564100197.89999998</v>
      </c>
      <c r="I10">
        <v>1.3</v>
      </c>
      <c r="J10">
        <v>0.84760599999999997</v>
      </c>
      <c r="K10">
        <v>-0.02</v>
      </c>
      <c r="L10">
        <v>-0.02</v>
      </c>
      <c r="M10">
        <v>-6.0269709999999996</v>
      </c>
      <c r="N10">
        <v>-52.384585999999999</v>
      </c>
      <c r="O10">
        <v>-72.290936000000002</v>
      </c>
      <c r="P10">
        <v>1.18</v>
      </c>
      <c r="Q10" t="s">
        <v>22</v>
      </c>
      <c r="R10" t="s">
        <v>22</v>
      </c>
      <c r="W10">
        <v>0.25</v>
      </c>
      <c r="X10">
        <v>1880333993</v>
      </c>
    </row>
    <row r="11" spans="1:24" x14ac:dyDescent="0.25">
      <c r="A11" t="s">
        <v>32</v>
      </c>
      <c r="B11">
        <v>10</v>
      </c>
      <c r="C11">
        <v>1.3</v>
      </c>
      <c r="D11">
        <v>-0.76</v>
      </c>
      <c r="E11">
        <v>837094</v>
      </c>
      <c r="F11">
        <v>1094452.94</v>
      </c>
      <c r="G11">
        <v>13098324668</v>
      </c>
      <c r="H11">
        <v>12.47</v>
      </c>
      <c r="I11">
        <v>0.75</v>
      </c>
      <c r="J11">
        <v>0.52501699999999996</v>
      </c>
      <c r="K11">
        <v>0.01</v>
      </c>
      <c r="L11">
        <v>0.06</v>
      </c>
      <c r="M11">
        <v>5.774184</v>
      </c>
      <c r="N11">
        <v>6.1454120000000003</v>
      </c>
      <c r="O11">
        <v>17.523515</v>
      </c>
      <c r="P11">
        <v>0.77</v>
      </c>
      <c r="Q11" t="s">
        <v>22</v>
      </c>
      <c r="R11" t="s">
        <v>22</v>
      </c>
      <c r="S11">
        <v>831</v>
      </c>
      <c r="T11">
        <v>758</v>
      </c>
      <c r="U11">
        <v>-0.88</v>
      </c>
      <c r="V11">
        <v>5</v>
      </c>
      <c r="W11">
        <v>1.73</v>
      </c>
      <c r="X11">
        <v>10075634360</v>
      </c>
    </row>
    <row r="12" spans="1:24" x14ac:dyDescent="0.25">
      <c r="A12" t="s">
        <v>33</v>
      </c>
      <c r="B12">
        <v>11</v>
      </c>
      <c r="C12">
        <v>0.73</v>
      </c>
      <c r="D12">
        <v>-1.35</v>
      </c>
      <c r="E12">
        <v>27800</v>
      </c>
      <c r="F12">
        <v>20554</v>
      </c>
      <c r="G12">
        <v>438000000</v>
      </c>
      <c r="H12">
        <v>10.37</v>
      </c>
      <c r="I12">
        <v>0.6</v>
      </c>
      <c r="J12">
        <v>0.52753899999999998</v>
      </c>
      <c r="K12">
        <v>0.04</v>
      </c>
      <c r="L12">
        <v>0.04</v>
      </c>
      <c r="M12">
        <v>6.2305460000000004</v>
      </c>
      <c r="N12">
        <v>5.8413139999999997</v>
      </c>
      <c r="O12">
        <v>3.5502560000000001</v>
      </c>
      <c r="P12">
        <v>5.48</v>
      </c>
      <c r="Q12" t="s">
        <v>22</v>
      </c>
      <c r="R12" t="s">
        <v>22</v>
      </c>
      <c r="S12">
        <v>846</v>
      </c>
      <c r="T12">
        <v>739</v>
      </c>
      <c r="U12">
        <v>0.78</v>
      </c>
      <c r="V12">
        <v>4</v>
      </c>
      <c r="W12">
        <v>1.22</v>
      </c>
      <c r="X12">
        <v>600000000</v>
      </c>
    </row>
    <row r="13" spans="1:24" x14ac:dyDescent="0.25">
      <c r="A13" t="s">
        <v>34</v>
      </c>
      <c r="B13">
        <v>12</v>
      </c>
      <c r="C13">
        <v>1.25</v>
      </c>
      <c r="D13">
        <v>-1.57</v>
      </c>
      <c r="E13">
        <v>828461</v>
      </c>
      <c r="F13">
        <v>1042284.46</v>
      </c>
      <c r="G13">
        <v>907499903.75</v>
      </c>
      <c r="H13">
        <v>12.77</v>
      </c>
      <c r="I13">
        <v>1.33</v>
      </c>
      <c r="J13">
        <v>0.56151300000000004</v>
      </c>
      <c r="K13">
        <v>0.03</v>
      </c>
      <c r="L13">
        <v>0.08</v>
      </c>
      <c r="M13">
        <v>8.2836780000000001</v>
      </c>
      <c r="N13">
        <v>10.769192</v>
      </c>
      <c r="O13">
        <v>11.628432</v>
      </c>
      <c r="P13">
        <v>2.4</v>
      </c>
      <c r="Q13" t="s">
        <v>22</v>
      </c>
      <c r="R13" t="s">
        <v>22</v>
      </c>
      <c r="S13">
        <v>610</v>
      </c>
      <c r="T13">
        <v>588</v>
      </c>
      <c r="U13">
        <v>0.18</v>
      </c>
      <c r="V13">
        <v>5</v>
      </c>
      <c r="W13">
        <v>0.94</v>
      </c>
      <c r="X13">
        <v>725999923</v>
      </c>
    </row>
    <row r="14" spans="1:24" x14ac:dyDescent="0.25">
      <c r="A14" t="s">
        <v>35</v>
      </c>
      <c r="B14">
        <v>13</v>
      </c>
      <c r="C14">
        <v>3.66</v>
      </c>
      <c r="D14">
        <v>-0.54</v>
      </c>
      <c r="E14">
        <v>13212</v>
      </c>
      <c r="F14">
        <v>47974.12</v>
      </c>
      <c r="G14">
        <v>614880000</v>
      </c>
      <c r="H14">
        <v>17.38</v>
      </c>
      <c r="I14">
        <v>1.25</v>
      </c>
      <c r="J14">
        <v>0.358406</v>
      </c>
      <c r="K14">
        <v>7.0000000000000007E-2</v>
      </c>
      <c r="L14">
        <v>0.05</v>
      </c>
      <c r="M14">
        <v>9.4434839999999998</v>
      </c>
      <c r="N14">
        <v>7.0536820000000002</v>
      </c>
      <c r="O14">
        <v>4.4087630000000004</v>
      </c>
      <c r="P14">
        <v>9.56</v>
      </c>
      <c r="Q14" t="s">
        <v>22</v>
      </c>
      <c r="R14" t="s">
        <v>22</v>
      </c>
      <c r="S14">
        <v>828</v>
      </c>
      <c r="T14">
        <v>596</v>
      </c>
      <c r="U14">
        <v>-7.39</v>
      </c>
      <c r="V14">
        <v>4</v>
      </c>
      <c r="W14">
        <v>2.93</v>
      </c>
      <c r="X14">
        <v>168000000</v>
      </c>
    </row>
    <row r="15" spans="1:24" x14ac:dyDescent="0.25">
      <c r="A15" t="s">
        <v>36</v>
      </c>
      <c r="B15">
        <v>14</v>
      </c>
      <c r="C15">
        <v>355</v>
      </c>
      <c r="D15">
        <v>-0.28000000000000003</v>
      </c>
      <c r="E15">
        <v>5738656</v>
      </c>
      <c r="F15">
        <v>2040736905.55</v>
      </c>
      <c r="G15">
        <v>1055844456280</v>
      </c>
      <c r="H15">
        <v>19.72</v>
      </c>
      <c r="I15">
        <v>20.2</v>
      </c>
      <c r="J15">
        <v>6.6706180000000002</v>
      </c>
      <c r="K15">
        <v>8.69</v>
      </c>
      <c r="L15">
        <v>9.15</v>
      </c>
      <c r="M15">
        <v>17.816033000000001</v>
      </c>
      <c r="N15">
        <v>69.541426000000001</v>
      </c>
      <c r="O15">
        <v>23.668272000000002</v>
      </c>
      <c r="P15">
        <v>9.66</v>
      </c>
      <c r="Q15" t="s">
        <v>22</v>
      </c>
      <c r="R15" t="s">
        <v>22</v>
      </c>
      <c r="S15">
        <v>567</v>
      </c>
      <c r="T15">
        <v>603</v>
      </c>
      <c r="U15">
        <v>1.27</v>
      </c>
      <c r="V15">
        <v>5</v>
      </c>
      <c r="W15">
        <v>17.579999999999998</v>
      </c>
      <c r="X15">
        <v>2974209736</v>
      </c>
    </row>
    <row r="16" spans="1:24" x14ac:dyDescent="0.25">
      <c r="A16" t="s">
        <v>37</v>
      </c>
      <c r="B16">
        <v>15</v>
      </c>
      <c r="C16">
        <v>7.1</v>
      </c>
      <c r="D16">
        <v>-2.74</v>
      </c>
      <c r="E16">
        <v>1737805</v>
      </c>
      <c r="F16">
        <v>12455129.949999999</v>
      </c>
      <c r="G16">
        <v>4402000000</v>
      </c>
      <c r="H16">
        <v>11.53</v>
      </c>
      <c r="I16">
        <v>3.89</v>
      </c>
      <c r="J16">
        <v>3.1583800000000002</v>
      </c>
      <c r="K16">
        <v>0.23</v>
      </c>
      <c r="L16">
        <v>0.41</v>
      </c>
      <c r="M16">
        <v>12.112847</v>
      </c>
      <c r="N16">
        <v>36.318364000000003</v>
      </c>
      <c r="O16">
        <v>2.859785</v>
      </c>
      <c r="P16">
        <v>4.93</v>
      </c>
      <c r="Q16" t="s">
        <v>22</v>
      </c>
      <c r="R16" t="s">
        <v>22</v>
      </c>
      <c r="S16">
        <v>465</v>
      </c>
      <c r="T16">
        <v>577</v>
      </c>
      <c r="U16">
        <v>0.55000000000000004</v>
      </c>
      <c r="W16">
        <v>1.82</v>
      </c>
      <c r="X16">
        <v>620000000</v>
      </c>
    </row>
    <row r="17" spans="1:24" x14ac:dyDescent="0.25">
      <c r="A17" t="s">
        <v>38</v>
      </c>
      <c r="B17">
        <v>16</v>
      </c>
      <c r="C17">
        <v>0.08</v>
      </c>
      <c r="D17">
        <v>0</v>
      </c>
      <c r="E17">
        <v>801506</v>
      </c>
      <c r="F17">
        <v>57150.46</v>
      </c>
      <c r="G17">
        <v>205722872.56</v>
      </c>
      <c r="H17">
        <v>205722872.56</v>
      </c>
      <c r="I17">
        <v>0.1</v>
      </c>
      <c r="J17">
        <v>0.311114</v>
      </c>
      <c r="K17">
        <v>-0.02</v>
      </c>
      <c r="L17">
        <v>-0.02</v>
      </c>
      <c r="M17">
        <v>-3.473983</v>
      </c>
      <c r="N17">
        <v>-6.0811279999999996</v>
      </c>
      <c r="O17">
        <v>-9.2582740000000001</v>
      </c>
      <c r="P17">
        <v>0.1</v>
      </c>
      <c r="Q17" t="s">
        <v>22</v>
      </c>
      <c r="R17" t="s">
        <v>22</v>
      </c>
      <c r="V17">
        <v>4</v>
      </c>
      <c r="W17">
        <v>0.79</v>
      </c>
      <c r="X17">
        <v>2571535907</v>
      </c>
    </row>
    <row r="18" spans="1:24" x14ac:dyDescent="0.25">
      <c r="A18" t="s">
        <v>39</v>
      </c>
      <c r="B18">
        <v>17</v>
      </c>
      <c r="C18">
        <v>102</v>
      </c>
      <c r="D18">
        <v>-0.97</v>
      </c>
      <c r="E18">
        <v>189124</v>
      </c>
      <c r="F18">
        <v>19310401.5</v>
      </c>
      <c r="G18">
        <v>25500000000</v>
      </c>
      <c r="H18">
        <v>8.08</v>
      </c>
      <c r="I18">
        <v>0.89</v>
      </c>
      <c r="J18">
        <v>2.0144319999999998</v>
      </c>
      <c r="K18">
        <v>2.95</v>
      </c>
      <c r="L18">
        <v>3.2</v>
      </c>
      <c r="M18">
        <v>6.5336119999999998</v>
      </c>
      <c r="N18">
        <v>11.360295000000001</v>
      </c>
      <c r="O18">
        <v>17.127700000000001</v>
      </c>
      <c r="P18">
        <v>5.42</v>
      </c>
      <c r="Q18" t="s">
        <v>22</v>
      </c>
      <c r="R18" t="s">
        <v>22</v>
      </c>
      <c r="S18">
        <v>382</v>
      </c>
      <c r="T18">
        <v>685</v>
      </c>
      <c r="U18">
        <v>-1.42</v>
      </c>
      <c r="V18">
        <v>5</v>
      </c>
      <c r="W18">
        <v>114.11</v>
      </c>
      <c r="X18">
        <v>250000000</v>
      </c>
    </row>
    <row r="19" spans="1:24" x14ac:dyDescent="0.25">
      <c r="A19" t="s">
        <v>40</v>
      </c>
      <c r="B19">
        <v>18</v>
      </c>
      <c r="C19">
        <v>0.4</v>
      </c>
      <c r="D19">
        <v>0</v>
      </c>
      <c r="E19">
        <v>17900</v>
      </c>
      <c r="F19">
        <v>7238</v>
      </c>
      <c r="G19">
        <v>640000000</v>
      </c>
      <c r="H19">
        <v>41.67</v>
      </c>
      <c r="I19">
        <v>1.18</v>
      </c>
      <c r="J19">
        <v>3.9206059999999998</v>
      </c>
      <c r="K19">
        <v>0.02</v>
      </c>
      <c r="L19">
        <v>0.01</v>
      </c>
      <c r="M19">
        <v>3.7842660000000001</v>
      </c>
      <c r="N19">
        <v>2.877955</v>
      </c>
      <c r="O19">
        <v>8.7016620000000007</v>
      </c>
      <c r="P19">
        <v>1.1499999999999999</v>
      </c>
      <c r="Q19" t="s">
        <v>22</v>
      </c>
      <c r="R19" t="s">
        <v>22</v>
      </c>
      <c r="S19">
        <v>1230</v>
      </c>
      <c r="T19">
        <v>1338</v>
      </c>
      <c r="U19">
        <v>3.95</v>
      </c>
      <c r="V19">
        <v>5</v>
      </c>
      <c r="W19">
        <v>0.34</v>
      </c>
      <c r="X19">
        <v>1600000000</v>
      </c>
    </row>
    <row r="20" spans="1:24" x14ac:dyDescent="0.25">
      <c r="A20" t="s">
        <v>41</v>
      </c>
      <c r="B20">
        <v>19</v>
      </c>
      <c r="C20">
        <v>4.66</v>
      </c>
      <c r="D20">
        <v>-0.85</v>
      </c>
      <c r="E20">
        <v>1000</v>
      </c>
      <c r="F20">
        <v>4670</v>
      </c>
      <c r="G20">
        <v>212376079.56</v>
      </c>
      <c r="H20">
        <v>18.920000000000002</v>
      </c>
      <c r="I20">
        <v>0.17</v>
      </c>
      <c r="J20">
        <v>0.182639</v>
      </c>
      <c r="K20">
        <v>0.14000000000000001</v>
      </c>
      <c r="L20">
        <v>0.25</v>
      </c>
      <c r="M20">
        <v>0.92559999999999998</v>
      </c>
      <c r="N20">
        <v>0.93847000000000003</v>
      </c>
      <c r="O20">
        <v>2.1501999999999999</v>
      </c>
      <c r="P20">
        <v>0.18</v>
      </c>
      <c r="Q20" t="s">
        <v>22</v>
      </c>
      <c r="R20" t="s">
        <v>22</v>
      </c>
      <c r="S20">
        <v>695</v>
      </c>
      <c r="T20">
        <v>692</v>
      </c>
      <c r="U20">
        <v>-0.04</v>
      </c>
      <c r="W20">
        <v>26.65</v>
      </c>
      <c r="X20">
        <v>45574266</v>
      </c>
    </row>
    <row r="21" spans="1:24" x14ac:dyDescent="0.25">
      <c r="A21" t="s">
        <v>42</v>
      </c>
      <c r="B21">
        <v>20</v>
      </c>
      <c r="C21">
        <v>1.42</v>
      </c>
      <c r="D21">
        <v>-0.7</v>
      </c>
      <c r="E21">
        <v>1293103</v>
      </c>
      <c r="F21">
        <v>1857458.41</v>
      </c>
      <c r="G21">
        <v>1699063277.7</v>
      </c>
      <c r="H21">
        <v>4.3499999999999996</v>
      </c>
      <c r="I21">
        <v>0.5</v>
      </c>
      <c r="J21">
        <v>1.3713470000000001</v>
      </c>
      <c r="K21">
        <v>0.2</v>
      </c>
      <c r="L21">
        <v>0.2</v>
      </c>
      <c r="M21">
        <v>7.8592979999999999</v>
      </c>
      <c r="N21">
        <v>12.091222999999999</v>
      </c>
      <c r="O21">
        <v>2.9290050000000001</v>
      </c>
      <c r="P21">
        <v>0.51</v>
      </c>
      <c r="Q21" t="s">
        <v>22</v>
      </c>
      <c r="R21" t="s">
        <v>22</v>
      </c>
      <c r="S21">
        <v>259</v>
      </c>
      <c r="T21">
        <v>333</v>
      </c>
      <c r="U21">
        <v>-0.05</v>
      </c>
      <c r="V21">
        <v>5</v>
      </c>
      <c r="W21">
        <v>2.85</v>
      </c>
      <c r="X21">
        <v>1196523435</v>
      </c>
    </row>
    <row r="22" spans="1:24" x14ac:dyDescent="0.25">
      <c r="A22" t="s">
        <v>43</v>
      </c>
      <c r="B22">
        <v>21</v>
      </c>
      <c r="C22">
        <v>15.6</v>
      </c>
      <c r="D22">
        <v>-2.5</v>
      </c>
      <c r="E22">
        <v>144312</v>
      </c>
      <c r="F22">
        <v>2262835.7000000002</v>
      </c>
      <c r="G22">
        <v>5535535387.1999998</v>
      </c>
      <c r="H22">
        <v>6.34</v>
      </c>
      <c r="I22">
        <v>0.45</v>
      </c>
      <c r="J22">
        <v>1.020686</v>
      </c>
      <c r="K22">
        <v>0.38</v>
      </c>
      <c r="L22">
        <v>1.52</v>
      </c>
      <c r="M22">
        <v>5.196593</v>
      </c>
      <c r="N22">
        <v>7.3837989999999998</v>
      </c>
      <c r="O22">
        <v>4.0787310000000003</v>
      </c>
      <c r="P22">
        <v>5.0599999999999996</v>
      </c>
      <c r="Q22" t="s">
        <v>22</v>
      </c>
      <c r="R22" t="s">
        <v>22</v>
      </c>
      <c r="S22">
        <v>481</v>
      </c>
      <c r="T22">
        <v>508</v>
      </c>
      <c r="U22">
        <v>2.52</v>
      </c>
      <c r="V22">
        <v>4</v>
      </c>
      <c r="W22">
        <v>34.32</v>
      </c>
      <c r="X22">
        <v>354842012</v>
      </c>
    </row>
    <row r="23" spans="1:24" x14ac:dyDescent="0.25">
      <c r="A23" t="s">
        <v>44</v>
      </c>
      <c r="B23">
        <v>22</v>
      </c>
      <c r="C23">
        <v>12</v>
      </c>
      <c r="D23">
        <v>-2.44</v>
      </c>
      <c r="E23">
        <v>51801</v>
      </c>
      <c r="F23">
        <v>614616.69999999995</v>
      </c>
      <c r="G23">
        <v>1798911168</v>
      </c>
      <c r="H23">
        <v>21.5</v>
      </c>
      <c r="I23">
        <v>0.86</v>
      </c>
      <c r="J23">
        <v>0.177117</v>
      </c>
      <c r="K23">
        <v>0.52</v>
      </c>
      <c r="L23">
        <v>0.18</v>
      </c>
      <c r="M23">
        <v>4.1635530000000003</v>
      </c>
      <c r="N23">
        <v>3.9756719999999999</v>
      </c>
      <c r="O23">
        <v>3.132037</v>
      </c>
      <c r="P23">
        <v>4.33</v>
      </c>
      <c r="Q23" t="s">
        <v>22</v>
      </c>
      <c r="R23" t="s">
        <v>22</v>
      </c>
      <c r="S23">
        <v>949</v>
      </c>
      <c r="T23">
        <v>826</v>
      </c>
      <c r="U23">
        <v>-1.71</v>
      </c>
      <c r="V23">
        <v>3</v>
      </c>
      <c r="W23">
        <v>14.03</v>
      </c>
      <c r="X23">
        <v>149909264</v>
      </c>
    </row>
    <row r="24" spans="1:24" x14ac:dyDescent="0.25">
      <c r="A24" t="s">
        <v>45</v>
      </c>
      <c r="B24">
        <v>23</v>
      </c>
      <c r="C24">
        <v>3.16</v>
      </c>
      <c r="D24">
        <v>0</v>
      </c>
      <c r="E24">
        <v>159083</v>
      </c>
      <c r="F24">
        <v>502983.32</v>
      </c>
      <c r="G24">
        <v>2211996906.3600001</v>
      </c>
      <c r="H24">
        <v>12.07</v>
      </c>
      <c r="I24">
        <v>0.93</v>
      </c>
      <c r="J24">
        <v>0.16528799999999999</v>
      </c>
      <c r="K24">
        <v>0.2</v>
      </c>
      <c r="L24">
        <v>0.22</v>
      </c>
      <c r="M24">
        <v>7.8656699999999997</v>
      </c>
      <c r="N24">
        <v>7.7882040000000003</v>
      </c>
      <c r="O24">
        <v>5.3703139999999996</v>
      </c>
      <c r="P24">
        <v>6.33</v>
      </c>
      <c r="Q24" t="s">
        <v>22</v>
      </c>
      <c r="R24" t="s">
        <v>22</v>
      </c>
      <c r="S24">
        <v>723</v>
      </c>
      <c r="T24">
        <v>607</v>
      </c>
      <c r="U24">
        <v>0.8</v>
      </c>
      <c r="W24">
        <v>3.39</v>
      </c>
      <c r="X24">
        <v>699999021</v>
      </c>
    </row>
    <row r="25" spans="1:24" x14ac:dyDescent="0.25">
      <c r="A25" t="s">
        <v>46</v>
      </c>
      <c r="B25">
        <v>24</v>
      </c>
      <c r="C25">
        <v>1.59</v>
      </c>
      <c r="D25">
        <v>1.27</v>
      </c>
      <c r="E25">
        <v>3718048</v>
      </c>
      <c r="F25">
        <v>5845647.9299999997</v>
      </c>
      <c r="G25">
        <v>2200582274.3099999</v>
      </c>
      <c r="H25">
        <v>9.32</v>
      </c>
      <c r="I25">
        <v>1.03</v>
      </c>
      <c r="J25">
        <v>0.22031300000000001</v>
      </c>
      <c r="K25">
        <v>0.2</v>
      </c>
      <c r="L25">
        <v>0.13</v>
      </c>
      <c r="M25">
        <v>9.5258870000000009</v>
      </c>
      <c r="N25">
        <v>11.480028000000001</v>
      </c>
      <c r="O25">
        <v>4.5046989999999996</v>
      </c>
      <c r="P25">
        <v>3.14</v>
      </c>
      <c r="Q25" t="s">
        <v>22</v>
      </c>
      <c r="R25" t="s">
        <v>22</v>
      </c>
      <c r="S25">
        <v>405</v>
      </c>
      <c r="T25">
        <v>362</v>
      </c>
      <c r="U25">
        <v>1.55</v>
      </c>
      <c r="V25">
        <v>3</v>
      </c>
      <c r="W25">
        <v>1.55</v>
      </c>
      <c r="X25">
        <v>1384014009</v>
      </c>
    </row>
    <row r="26" spans="1:24" x14ac:dyDescent="0.25">
      <c r="A26" t="s">
        <v>47</v>
      </c>
      <c r="B26">
        <v>25</v>
      </c>
      <c r="C26">
        <v>1.05</v>
      </c>
      <c r="D26">
        <v>0</v>
      </c>
      <c r="E26">
        <v>10000</v>
      </c>
      <c r="F26">
        <v>10500</v>
      </c>
      <c r="G26">
        <v>6504324888.9899998</v>
      </c>
      <c r="H26">
        <v>6630622459.6499996</v>
      </c>
      <c r="I26">
        <v>2.1</v>
      </c>
      <c r="J26">
        <v>1.281239</v>
      </c>
      <c r="K26">
        <v>1.0999999999999999E-2</v>
      </c>
      <c r="L26">
        <v>2.916637598579479</v>
      </c>
      <c r="M26">
        <v>2.9166379999999998</v>
      </c>
      <c r="N26">
        <v>-1.253331</v>
      </c>
      <c r="O26">
        <v>4.8326190000000002</v>
      </c>
      <c r="P26">
        <v>2.14</v>
      </c>
      <c r="Q26" t="s">
        <v>22</v>
      </c>
      <c r="R26" t="s">
        <v>22</v>
      </c>
      <c r="V26">
        <v>5</v>
      </c>
      <c r="W26">
        <v>0.49</v>
      </c>
      <c r="X26">
        <v>6314878533</v>
      </c>
    </row>
    <row r="27" spans="1:24" x14ac:dyDescent="0.25">
      <c r="A27" t="s">
        <v>48</v>
      </c>
      <c r="B27">
        <v>26</v>
      </c>
      <c r="C27">
        <v>4.84</v>
      </c>
      <c r="D27">
        <v>0</v>
      </c>
      <c r="E27">
        <v>210400</v>
      </c>
      <c r="F27">
        <v>1014454.72</v>
      </c>
      <c r="G27">
        <v>7436251368.4799995</v>
      </c>
      <c r="H27">
        <v>12.75</v>
      </c>
      <c r="I27">
        <v>1.87</v>
      </c>
      <c r="J27">
        <v>0.60337700000000005</v>
      </c>
      <c r="K27">
        <v>0.15</v>
      </c>
      <c r="L27">
        <v>0.19</v>
      </c>
      <c r="M27">
        <v>11.325621999999999</v>
      </c>
      <c r="N27">
        <v>14.690593</v>
      </c>
      <c r="O27">
        <v>8.2305510000000002</v>
      </c>
      <c r="P27">
        <v>7.44</v>
      </c>
      <c r="Q27" t="s">
        <v>22</v>
      </c>
      <c r="R27" t="s">
        <v>22</v>
      </c>
      <c r="S27">
        <v>543</v>
      </c>
      <c r="T27">
        <v>531</v>
      </c>
      <c r="U27">
        <v>4.79</v>
      </c>
      <c r="V27">
        <v>4</v>
      </c>
      <c r="W27">
        <v>2.59</v>
      </c>
      <c r="X27">
        <v>1536415572</v>
      </c>
    </row>
    <row r="28" spans="1:24" x14ac:dyDescent="0.25">
      <c r="A28" t="s">
        <v>49</v>
      </c>
      <c r="B28">
        <v>27</v>
      </c>
      <c r="C28">
        <v>3.66</v>
      </c>
      <c r="D28">
        <v>0</v>
      </c>
      <c r="E28">
        <v>4064591</v>
      </c>
      <c r="F28">
        <v>15091326.16</v>
      </c>
      <c r="G28">
        <v>2183183327.8200002</v>
      </c>
      <c r="H28">
        <v>2218973218.4400001</v>
      </c>
      <c r="I28">
        <v>0.56999999999999995</v>
      </c>
      <c r="J28">
        <v>2.2305899999999999</v>
      </c>
      <c r="K28">
        <v>0.38</v>
      </c>
      <c r="L28">
        <v>0.08</v>
      </c>
      <c r="M28">
        <v>-0.12145499999999999</v>
      </c>
      <c r="N28">
        <v>-7.5107419999999996</v>
      </c>
      <c r="O28">
        <v>1.1399079999999999</v>
      </c>
      <c r="P28">
        <v>0.57999999999999996</v>
      </c>
      <c r="Q28" t="s">
        <v>22</v>
      </c>
      <c r="R28" t="s">
        <v>22</v>
      </c>
      <c r="V28">
        <v>5</v>
      </c>
      <c r="W28">
        <v>6.43</v>
      </c>
      <c r="X28">
        <v>596498177</v>
      </c>
    </row>
    <row r="29" spans="1:24" x14ac:dyDescent="0.25">
      <c r="A29" t="s">
        <v>50</v>
      </c>
      <c r="B29">
        <v>28</v>
      </c>
      <c r="C29">
        <v>0.12</v>
      </c>
      <c r="D29">
        <v>9.09</v>
      </c>
      <c r="E29">
        <v>804958</v>
      </c>
      <c r="F29">
        <v>93898.72</v>
      </c>
      <c r="G29">
        <v>689185512.84000003</v>
      </c>
      <c r="H29">
        <v>631753386.76999998</v>
      </c>
      <c r="I29">
        <v>1.42</v>
      </c>
      <c r="J29">
        <v>0.245563</v>
      </c>
      <c r="K29">
        <v>-0.01</v>
      </c>
      <c r="L29">
        <v>-0.01</v>
      </c>
      <c r="M29">
        <v>-23.404427999999999</v>
      </c>
      <c r="N29">
        <v>-28.923179000000001</v>
      </c>
      <c r="O29">
        <v>-88.972033999999994</v>
      </c>
      <c r="P29">
        <v>1.3</v>
      </c>
      <c r="Q29" t="s">
        <v>22</v>
      </c>
      <c r="R29" t="s">
        <v>22</v>
      </c>
      <c r="W29">
        <v>0.08</v>
      </c>
      <c r="X29">
        <v>5743212607</v>
      </c>
    </row>
    <row r="30" spans="1:24" x14ac:dyDescent="0.25">
      <c r="A30" t="s">
        <v>51</v>
      </c>
      <c r="B30">
        <v>29</v>
      </c>
      <c r="C30">
        <v>0.76</v>
      </c>
      <c r="D30">
        <v>-3.8</v>
      </c>
      <c r="E30">
        <v>1956411</v>
      </c>
      <c r="F30">
        <v>1512599.7</v>
      </c>
      <c r="G30">
        <v>307040000</v>
      </c>
      <c r="H30">
        <v>4.1399999999999997</v>
      </c>
      <c r="I30">
        <v>0.44</v>
      </c>
      <c r="J30">
        <v>0.17745</v>
      </c>
      <c r="K30">
        <v>4.5999999999999999E-2</v>
      </c>
      <c r="L30">
        <v>0.04</v>
      </c>
      <c r="M30">
        <v>11.815903</v>
      </c>
      <c r="N30">
        <v>11.147302</v>
      </c>
      <c r="O30">
        <v>7.0535550000000002</v>
      </c>
      <c r="P30">
        <v>6.05</v>
      </c>
      <c r="Q30" t="s">
        <v>22</v>
      </c>
      <c r="R30" t="s">
        <v>22</v>
      </c>
      <c r="S30">
        <v>254</v>
      </c>
      <c r="T30">
        <v>145</v>
      </c>
      <c r="U30">
        <v>0.11</v>
      </c>
      <c r="V30">
        <v>5</v>
      </c>
      <c r="W30">
        <v>1.71</v>
      </c>
      <c r="X30">
        <v>404000000</v>
      </c>
    </row>
    <row r="31" spans="1:24" x14ac:dyDescent="0.25">
      <c r="A31" t="s">
        <v>52</v>
      </c>
      <c r="B31">
        <v>30</v>
      </c>
      <c r="C31">
        <v>0.97</v>
      </c>
      <c r="D31">
        <v>0</v>
      </c>
      <c r="E31">
        <v>3871803</v>
      </c>
      <c r="F31">
        <v>3751764.93</v>
      </c>
      <c r="G31">
        <v>1427740762.21</v>
      </c>
      <c r="H31">
        <v>10.28</v>
      </c>
      <c r="I31">
        <v>0.86</v>
      </c>
      <c r="J31">
        <v>0.44738800000000001</v>
      </c>
      <c r="K31">
        <v>6.5000000000000002E-2</v>
      </c>
      <c r="L31">
        <v>0.04</v>
      </c>
      <c r="M31">
        <v>8.656542</v>
      </c>
      <c r="N31">
        <v>8.3991399999999992</v>
      </c>
      <c r="O31">
        <v>6.8035480000000002</v>
      </c>
      <c r="P31">
        <v>6.7</v>
      </c>
      <c r="Q31" t="s">
        <v>22</v>
      </c>
      <c r="R31" t="s">
        <v>22</v>
      </c>
      <c r="S31">
        <v>612</v>
      </c>
      <c r="T31">
        <v>488</v>
      </c>
      <c r="U31">
        <v>0.38</v>
      </c>
      <c r="V31">
        <v>5</v>
      </c>
      <c r="W31">
        <v>1.1299999999999999</v>
      </c>
      <c r="X31">
        <v>1471897693</v>
      </c>
    </row>
    <row r="32" spans="1:24" x14ac:dyDescent="0.25">
      <c r="A32" t="s">
        <v>53</v>
      </c>
      <c r="B32">
        <v>31</v>
      </c>
      <c r="C32">
        <v>2025</v>
      </c>
      <c r="D32">
        <v>-50</v>
      </c>
      <c r="E32">
        <v>423786518</v>
      </c>
      <c r="F32">
        <v>5109.1522999999997</v>
      </c>
      <c r="G32">
        <v>41</v>
      </c>
      <c r="H32">
        <v>0</v>
      </c>
      <c r="I32">
        <v>0</v>
      </c>
      <c r="J32">
        <v>0</v>
      </c>
      <c r="K32">
        <v>-0.08</v>
      </c>
      <c r="L32">
        <v>-0.08</v>
      </c>
      <c r="M32">
        <v>-42.452015000000003</v>
      </c>
      <c r="N32">
        <v>-242.06662499999999</v>
      </c>
      <c r="O32">
        <v>-150.14008000000001</v>
      </c>
      <c r="P32">
        <v>0</v>
      </c>
      <c r="Q32" t="s">
        <v>22</v>
      </c>
      <c r="R32" t="s">
        <v>22</v>
      </c>
      <c r="W32">
        <v>-0.05</v>
      </c>
      <c r="X32">
        <v>4073299779</v>
      </c>
    </row>
    <row r="33" spans="1:24" x14ac:dyDescent="0.25">
      <c r="A33" t="s">
        <v>54</v>
      </c>
      <c r="B33">
        <v>32</v>
      </c>
      <c r="C33">
        <v>1.1200000000000001</v>
      </c>
      <c r="D33">
        <v>0.9</v>
      </c>
      <c r="E33">
        <v>2503894</v>
      </c>
      <c r="F33">
        <v>2857589.27</v>
      </c>
      <c r="G33">
        <v>672000000</v>
      </c>
      <c r="H33">
        <v>11.58</v>
      </c>
      <c r="I33">
        <v>0.73</v>
      </c>
      <c r="J33">
        <v>0.23381299999999999</v>
      </c>
      <c r="K33">
        <v>0.1</v>
      </c>
      <c r="L33">
        <v>0.03</v>
      </c>
      <c r="M33">
        <v>6.3425520000000004</v>
      </c>
      <c r="N33">
        <v>6.2389869999999998</v>
      </c>
      <c r="O33">
        <v>5.8756839999999997</v>
      </c>
      <c r="P33">
        <v>8.93</v>
      </c>
      <c r="Q33" t="s">
        <v>22</v>
      </c>
      <c r="R33" t="s">
        <v>22</v>
      </c>
      <c r="S33">
        <v>734</v>
      </c>
      <c r="T33">
        <v>624</v>
      </c>
      <c r="U33">
        <v>0.32</v>
      </c>
      <c r="V33">
        <v>5</v>
      </c>
      <c r="W33">
        <v>1.54</v>
      </c>
      <c r="X33">
        <v>600000000</v>
      </c>
    </row>
    <row r="34" spans="1:24" x14ac:dyDescent="0.25">
      <c r="A34" t="s">
        <v>55</v>
      </c>
      <c r="B34">
        <v>33</v>
      </c>
      <c r="C34">
        <v>0.24</v>
      </c>
      <c r="D34">
        <v>0</v>
      </c>
      <c r="E34">
        <v>3353900</v>
      </c>
      <c r="F34">
        <v>802077</v>
      </c>
      <c r="G34">
        <v>2230169793.1199999</v>
      </c>
      <c r="H34">
        <v>11.66</v>
      </c>
      <c r="I34">
        <v>0.38</v>
      </c>
      <c r="J34">
        <v>0.27379599999999998</v>
      </c>
      <c r="L34">
        <v>3.8134255094914682</v>
      </c>
      <c r="M34">
        <v>3.8134260000000002</v>
      </c>
      <c r="N34">
        <v>3.3467319999999998</v>
      </c>
      <c r="O34">
        <v>2.8565830000000001</v>
      </c>
      <c r="P34">
        <v>0.36</v>
      </c>
      <c r="Q34" t="s">
        <v>22</v>
      </c>
      <c r="R34" t="s">
        <v>22</v>
      </c>
      <c r="S34">
        <v>669</v>
      </c>
      <c r="T34">
        <v>559</v>
      </c>
      <c r="U34">
        <v>-0.01</v>
      </c>
      <c r="W34">
        <v>0.63</v>
      </c>
      <c r="X34">
        <v>9292374138</v>
      </c>
    </row>
    <row r="35" spans="1:24" x14ac:dyDescent="0.25">
      <c r="A35" t="s">
        <v>56</v>
      </c>
      <c r="B35">
        <v>34</v>
      </c>
      <c r="C35">
        <v>1.68</v>
      </c>
      <c r="D35">
        <v>0</v>
      </c>
      <c r="E35">
        <v>2962815</v>
      </c>
      <c r="F35">
        <v>5020616.6500000004</v>
      </c>
      <c r="G35">
        <v>1902142063.9200001</v>
      </c>
      <c r="H35">
        <v>96.39</v>
      </c>
      <c r="I35">
        <v>1.0900000000000001</v>
      </c>
      <c r="J35">
        <v>1.569655</v>
      </c>
      <c r="K35">
        <v>0.03</v>
      </c>
      <c r="L35">
        <v>0.03</v>
      </c>
      <c r="M35">
        <v>2.140368</v>
      </c>
      <c r="N35">
        <v>1.133767</v>
      </c>
      <c r="O35">
        <v>4.0391219999999999</v>
      </c>
      <c r="P35">
        <v>1.23</v>
      </c>
      <c r="Q35" t="s">
        <v>22</v>
      </c>
      <c r="R35" t="s">
        <v>22</v>
      </c>
      <c r="S35">
        <v>1326</v>
      </c>
      <c r="T35">
        <v>1287</v>
      </c>
      <c r="U35">
        <v>0.57999999999999996</v>
      </c>
      <c r="V35">
        <v>5</v>
      </c>
      <c r="W35">
        <v>1.54</v>
      </c>
      <c r="X35">
        <v>1132227419</v>
      </c>
    </row>
    <row r="36" spans="1:24" x14ac:dyDescent="0.25">
      <c r="A36" t="s">
        <v>57</v>
      </c>
      <c r="B36">
        <v>35</v>
      </c>
      <c r="C36">
        <v>252</v>
      </c>
      <c r="D36">
        <v>-0.4</v>
      </c>
      <c r="E36">
        <v>607</v>
      </c>
      <c r="F36">
        <v>152967</v>
      </c>
      <c r="G36">
        <v>10886396472</v>
      </c>
      <c r="H36">
        <v>10.14</v>
      </c>
      <c r="I36">
        <v>1.45</v>
      </c>
      <c r="J36">
        <v>0.18429499999999999</v>
      </c>
      <c r="K36">
        <v>16</v>
      </c>
      <c r="L36">
        <v>15.96</v>
      </c>
      <c r="M36">
        <v>15.420394</v>
      </c>
      <c r="N36">
        <v>14.659425000000001</v>
      </c>
      <c r="O36">
        <v>17.08277</v>
      </c>
      <c r="P36">
        <v>6.35</v>
      </c>
      <c r="Q36" t="s">
        <v>22</v>
      </c>
      <c r="R36" t="s">
        <v>22</v>
      </c>
      <c r="S36">
        <v>418</v>
      </c>
      <c r="T36">
        <v>323</v>
      </c>
      <c r="U36">
        <v>0.74</v>
      </c>
      <c r="V36">
        <v>4</v>
      </c>
      <c r="W36">
        <v>173.82</v>
      </c>
      <c r="X36">
        <v>43199986</v>
      </c>
    </row>
    <row r="37" spans="1:24" x14ac:dyDescent="0.25">
      <c r="A37" t="s">
        <v>58</v>
      </c>
      <c r="B37">
        <v>36</v>
      </c>
      <c r="C37">
        <v>3.84</v>
      </c>
      <c r="D37">
        <v>0</v>
      </c>
      <c r="E37">
        <v>181449</v>
      </c>
      <c r="F37">
        <v>693292.16</v>
      </c>
      <c r="G37">
        <v>1988800408.3199999</v>
      </c>
      <c r="H37">
        <v>12.56</v>
      </c>
      <c r="I37">
        <v>0.68</v>
      </c>
      <c r="J37">
        <v>0.408725</v>
      </c>
      <c r="K37">
        <v>0.2</v>
      </c>
      <c r="L37">
        <v>0.11</v>
      </c>
      <c r="M37">
        <v>6.2630340000000002</v>
      </c>
      <c r="N37">
        <v>5.4483309999999996</v>
      </c>
      <c r="O37">
        <v>4.3059539999999998</v>
      </c>
      <c r="P37">
        <v>7.81</v>
      </c>
      <c r="Q37" t="s">
        <v>22</v>
      </c>
      <c r="R37" t="s">
        <v>22</v>
      </c>
      <c r="S37">
        <v>689</v>
      </c>
      <c r="T37">
        <v>548</v>
      </c>
      <c r="U37">
        <v>0.28000000000000003</v>
      </c>
      <c r="V37">
        <v>5</v>
      </c>
      <c r="W37">
        <v>5.65</v>
      </c>
      <c r="X37">
        <v>517916773</v>
      </c>
    </row>
    <row r="38" spans="1:24" x14ac:dyDescent="0.25">
      <c r="A38" t="s">
        <v>59</v>
      </c>
      <c r="B38">
        <v>37</v>
      </c>
      <c r="C38">
        <v>0.84</v>
      </c>
      <c r="D38">
        <v>-3.45</v>
      </c>
      <c r="E38">
        <v>1407739</v>
      </c>
      <c r="F38">
        <v>1188648.43</v>
      </c>
      <c r="G38">
        <v>994662371.63999999</v>
      </c>
      <c r="H38">
        <v>935456278.09000003</v>
      </c>
      <c r="I38">
        <v>0.6</v>
      </c>
      <c r="J38">
        <v>1.4252210000000001</v>
      </c>
      <c r="K38">
        <v>1.5873000000000002E-2</v>
      </c>
      <c r="L38">
        <v>-0.03</v>
      </c>
      <c r="M38">
        <v>-5.2415000000000003E-2</v>
      </c>
      <c r="N38">
        <v>-6.0756160000000001</v>
      </c>
      <c r="O38">
        <v>-8.6154440000000001</v>
      </c>
      <c r="P38">
        <v>0.56000000000000005</v>
      </c>
      <c r="Q38" t="s">
        <v>22</v>
      </c>
      <c r="R38" t="s">
        <v>22</v>
      </c>
      <c r="V38">
        <v>3</v>
      </c>
      <c r="W38">
        <v>1.4</v>
      </c>
      <c r="X38">
        <v>1184121871</v>
      </c>
    </row>
    <row r="39" spans="1:24" x14ac:dyDescent="0.25">
      <c r="A39" t="s">
        <v>60</v>
      </c>
      <c r="B39">
        <v>38</v>
      </c>
      <c r="C39">
        <v>2.96</v>
      </c>
      <c r="D39">
        <v>-0.67</v>
      </c>
      <c r="E39">
        <v>772835</v>
      </c>
      <c r="F39">
        <v>2309876.34</v>
      </c>
      <c r="G39">
        <v>1243200000</v>
      </c>
      <c r="H39">
        <v>9.32</v>
      </c>
      <c r="I39">
        <v>2.0299999999999998</v>
      </c>
      <c r="J39">
        <v>0.24549699999999999</v>
      </c>
      <c r="K39">
        <v>0.1</v>
      </c>
      <c r="L39">
        <v>0.17</v>
      </c>
      <c r="M39">
        <v>17.014088000000001</v>
      </c>
      <c r="N39">
        <v>21.214297999999999</v>
      </c>
      <c r="O39">
        <v>28.798874000000001</v>
      </c>
      <c r="P39">
        <v>8.84</v>
      </c>
      <c r="Q39" t="s">
        <v>22</v>
      </c>
      <c r="R39" t="s">
        <v>22</v>
      </c>
      <c r="S39">
        <v>297</v>
      </c>
      <c r="T39">
        <v>275</v>
      </c>
      <c r="U39">
        <v>0.05</v>
      </c>
      <c r="W39">
        <v>1.46</v>
      </c>
      <c r="X39">
        <v>420000000</v>
      </c>
    </row>
    <row r="40" spans="1:24" x14ac:dyDescent="0.25">
      <c r="A40" t="s">
        <v>61</v>
      </c>
      <c r="B40">
        <v>39</v>
      </c>
      <c r="C40">
        <v>2026</v>
      </c>
      <c r="D40">
        <v>2.04</v>
      </c>
      <c r="E40">
        <v>5</v>
      </c>
      <c r="F40">
        <v>9.5</v>
      </c>
      <c r="G40">
        <v>2036494443.5999999</v>
      </c>
      <c r="H40">
        <v>2036494443.5999999</v>
      </c>
      <c r="I40">
        <v>0.46</v>
      </c>
      <c r="J40">
        <v>0.265239</v>
      </c>
      <c r="K40">
        <v>0.06</v>
      </c>
      <c r="L40">
        <v>-0.05</v>
      </c>
      <c r="M40">
        <v>-1.2125969999999999</v>
      </c>
      <c r="N40">
        <v>-1.7631859999999999</v>
      </c>
      <c r="O40">
        <v>-3.1359029999999999</v>
      </c>
      <c r="P40">
        <v>0.46</v>
      </c>
      <c r="Q40" t="s">
        <v>22</v>
      </c>
      <c r="R40" t="s">
        <v>22</v>
      </c>
      <c r="V40">
        <v>5</v>
      </c>
      <c r="W40">
        <v>4.41</v>
      </c>
      <c r="X40">
        <v>998281590</v>
      </c>
    </row>
    <row r="41" spans="1:24" x14ac:dyDescent="0.25">
      <c r="A41" t="s">
        <v>62</v>
      </c>
      <c r="B41">
        <v>40</v>
      </c>
      <c r="C41">
        <v>33.5</v>
      </c>
      <c r="D41">
        <v>10.74</v>
      </c>
      <c r="E41">
        <v>40319160</v>
      </c>
      <c r="F41">
        <v>1345326711.5</v>
      </c>
      <c r="G41">
        <v>38525000000</v>
      </c>
      <c r="H41">
        <v>7.49</v>
      </c>
      <c r="I41">
        <v>1.49</v>
      </c>
      <c r="J41">
        <v>1.266</v>
      </c>
      <c r="K41">
        <v>0.6</v>
      </c>
      <c r="L41">
        <v>2.58</v>
      </c>
      <c r="M41">
        <v>10.405620000000001</v>
      </c>
      <c r="N41">
        <v>21.462084999999998</v>
      </c>
      <c r="O41">
        <v>39.919186000000003</v>
      </c>
      <c r="P41">
        <v>3.28</v>
      </c>
      <c r="Q41" t="s">
        <v>22</v>
      </c>
      <c r="R41" t="s">
        <v>22</v>
      </c>
      <c r="S41">
        <v>321</v>
      </c>
      <c r="T41">
        <v>401</v>
      </c>
      <c r="U41">
        <v>0.33</v>
      </c>
      <c r="V41">
        <v>5</v>
      </c>
      <c r="W41">
        <v>22.5</v>
      </c>
      <c r="X41">
        <v>1150000000</v>
      </c>
    </row>
    <row r="42" spans="1:24" x14ac:dyDescent="0.25">
      <c r="A42" t="s">
        <v>63</v>
      </c>
      <c r="B42">
        <v>41</v>
      </c>
      <c r="C42">
        <v>2.2999999999999998</v>
      </c>
      <c r="D42">
        <v>0.88</v>
      </c>
      <c r="E42">
        <v>81914</v>
      </c>
      <c r="F42">
        <v>189704.48</v>
      </c>
      <c r="G42">
        <v>2451566009.5</v>
      </c>
      <c r="H42">
        <v>3.33</v>
      </c>
      <c r="I42">
        <v>0.43</v>
      </c>
      <c r="J42">
        <v>1.1314310000000001</v>
      </c>
      <c r="K42">
        <v>0.05</v>
      </c>
      <c r="L42">
        <v>0.34</v>
      </c>
      <c r="M42">
        <v>9.0490259999999996</v>
      </c>
      <c r="N42">
        <v>13.847670000000001</v>
      </c>
      <c r="O42">
        <v>20.949895999999999</v>
      </c>
      <c r="P42">
        <v>0.42</v>
      </c>
      <c r="Q42" t="s">
        <v>22</v>
      </c>
      <c r="R42" t="s">
        <v>22</v>
      </c>
      <c r="S42">
        <v>185</v>
      </c>
      <c r="T42">
        <v>214</v>
      </c>
      <c r="U42">
        <v>0.03</v>
      </c>
      <c r="V42">
        <v>5</v>
      </c>
      <c r="W42">
        <v>5.39</v>
      </c>
      <c r="X42">
        <v>1065898265</v>
      </c>
    </row>
    <row r="43" spans="1:24" x14ac:dyDescent="0.25">
      <c r="A43" t="s">
        <v>64</v>
      </c>
      <c r="B43">
        <v>42</v>
      </c>
      <c r="C43">
        <v>2.46</v>
      </c>
      <c r="D43">
        <v>-0.81</v>
      </c>
      <c r="E43">
        <v>19602</v>
      </c>
      <c r="F43">
        <v>47804.84</v>
      </c>
      <c r="G43">
        <v>1181036841.4200001</v>
      </c>
      <c r="H43">
        <v>12.68</v>
      </c>
      <c r="I43">
        <v>0.35</v>
      </c>
      <c r="J43">
        <v>0.474634</v>
      </c>
      <c r="K43">
        <v>0.08</v>
      </c>
      <c r="L43">
        <v>0.25</v>
      </c>
      <c r="M43">
        <v>2.9932759999999998</v>
      </c>
      <c r="N43">
        <v>2.79664</v>
      </c>
      <c r="O43">
        <v>4.7989040000000003</v>
      </c>
      <c r="P43">
        <v>3.25</v>
      </c>
      <c r="Q43" t="s">
        <v>22</v>
      </c>
      <c r="R43" t="s">
        <v>22</v>
      </c>
      <c r="S43">
        <v>1346</v>
      </c>
      <c r="T43">
        <v>1335</v>
      </c>
      <c r="U43">
        <v>-0.31</v>
      </c>
      <c r="V43">
        <v>4</v>
      </c>
      <c r="W43">
        <v>6.99</v>
      </c>
      <c r="X43">
        <v>480096277</v>
      </c>
    </row>
    <row r="44" spans="1:24" x14ac:dyDescent="0.25">
      <c r="A44" t="s">
        <v>65</v>
      </c>
      <c r="B44">
        <v>43</v>
      </c>
      <c r="C44">
        <v>0.4</v>
      </c>
      <c r="D44">
        <v>-2.44</v>
      </c>
      <c r="E44">
        <v>331900</v>
      </c>
      <c r="F44">
        <v>131033</v>
      </c>
      <c r="G44">
        <v>236284000</v>
      </c>
      <c r="H44">
        <v>236284000</v>
      </c>
      <c r="I44">
        <v>0.37</v>
      </c>
      <c r="J44">
        <v>1.199257</v>
      </c>
      <c r="K44">
        <v>0.05</v>
      </c>
      <c r="L44">
        <v>-0.16</v>
      </c>
      <c r="M44">
        <v>-10.348411</v>
      </c>
      <c r="N44">
        <v>-23.061273</v>
      </c>
      <c r="O44">
        <v>-41.180162000000003</v>
      </c>
      <c r="P44">
        <v>0.37</v>
      </c>
      <c r="Q44" t="s">
        <v>22</v>
      </c>
      <c r="R44" t="s">
        <v>22</v>
      </c>
      <c r="V44">
        <v>3</v>
      </c>
      <c r="W44">
        <v>1.0900000000000001</v>
      </c>
      <c r="X44">
        <v>590710000</v>
      </c>
    </row>
    <row r="45" spans="1:24" x14ac:dyDescent="0.25">
      <c r="A45" t="s">
        <v>66</v>
      </c>
      <c r="B45">
        <v>44</v>
      </c>
      <c r="C45">
        <v>0.32</v>
      </c>
      <c r="D45">
        <v>0</v>
      </c>
      <c r="E45">
        <v>977516</v>
      </c>
      <c r="F45">
        <v>311941.21999999997</v>
      </c>
      <c r="G45">
        <v>1333201650.24</v>
      </c>
      <c r="H45">
        <v>1291539098.6700001</v>
      </c>
      <c r="I45">
        <v>0.12</v>
      </c>
      <c r="J45">
        <v>1.2469790000000001</v>
      </c>
      <c r="K45">
        <v>-0.1</v>
      </c>
      <c r="L45">
        <v>-0.1</v>
      </c>
      <c r="M45">
        <v>2.2223649999999999</v>
      </c>
      <c r="N45">
        <v>-2.5595970000000001</v>
      </c>
      <c r="O45">
        <v>-10.376499000000001</v>
      </c>
      <c r="P45">
        <v>0.12</v>
      </c>
      <c r="Q45" t="s">
        <v>22</v>
      </c>
      <c r="R45" t="s">
        <v>22</v>
      </c>
      <c r="S45">
        <v>730</v>
      </c>
      <c r="T45">
        <v>598</v>
      </c>
      <c r="U45">
        <v>-0.5</v>
      </c>
      <c r="V45">
        <v>4</v>
      </c>
      <c r="W45">
        <v>2.62</v>
      </c>
      <c r="X45">
        <v>4166255157</v>
      </c>
    </row>
    <row r="46" spans="1:24" x14ac:dyDescent="0.25">
      <c r="A46" t="s">
        <v>67</v>
      </c>
      <c r="B46">
        <v>45</v>
      </c>
      <c r="C46">
        <v>3.6</v>
      </c>
      <c r="D46">
        <v>2.27</v>
      </c>
      <c r="E46">
        <v>714800</v>
      </c>
      <c r="F46">
        <v>2575438</v>
      </c>
      <c r="G46">
        <v>6652800000</v>
      </c>
      <c r="H46">
        <v>9.86</v>
      </c>
      <c r="I46">
        <v>0.79</v>
      </c>
      <c r="J46">
        <v>0.220834</v>
      </c>
      <c r="K46">
        <v>0.05</v>
      </c>
      <c r="L46">
        <v>0.2</v>
      </c>
      <c r="M46">
        <v>9.2546029999999995</v>
      </c>
      <c r="N46">
        <v>8.2167820000000003</v>
      </c>
      <c r="O46">
        <v>9.8053310000000007</v>
      </c>
      <c r="P46">
        <v>5.56</v>
      </c>
      <c r="Q46" t="s">
        <v>22</v>
      </c>
      <c r="R46" t="s">
        <v>22</v>
      </c>
      <c r="S46">
        <v>588</v>
      </c>
      <c r="T46">
        <v>439</v>
      </c>
      <c r="U46">
        <v>-0.64</v>
      </c>
      <c r="V46">
        <v>3</v>
      </c>
      <c r="W46">
        <v>4.53</v>
      </c>
      <c r="X46" s="8">
        <v>1848000000</v>
      </c>
    </row>
    <row r="47" spans="1:24" x14ac:dyDescent="0.25">
      <c r="A47" t="s">
        <v>68</v>
      </c>
      <c r="B47">
        <v>46</v>
      </c>
      <c r="C47">
        <v>65</v>
      </c>
      <c r="D47">
        <v>-1.89</v>
      </c>
      <c r="E47" s="8">
        <v>24619021</v>
      </c>
      <c r="F47" s="8">
        <v>1613601292.25</v>
      </c>
      <c r="G47">
        <v>928570500000</v>
      </c>
      <c r="H47">
        <v>49.72</v>
      </c>
      <c r="I47">
        <v>6.92</v>
      </c>
      <c r="J47">
        <v>0.51793999999999996</v>
      </c>
      <c r="K47">
        <v>0.81</v>
      </c>
      <c r="L47">
        <v>1.04</v>
      </c>
      <c r="M47">
        <v>12.635168</v>
      </c>
      <c r="N47">
        <v>14.303940000000001</v>
      </c>
      <c r="O47">
        <v>29.486359</v>
      </c>
      <c r="P47">
        <v>1.25</v>
      </c>
      <c r="Q47" t="s">
        <v>22</v>
      </c>
      <c r="R47" t="s">
        <v>22</v>
      </c>
      <c r="S47">
        <v>813</v>
      </c>
      <c r="T47">
        <v>764</v>
      </c>
      <c r="U47">
        <v>-2.02</v>
      </c>
      <c r="V47">
        <v>5</v>
      </c>
      <c r="W47">
        <v>9.39</v>
      </c>
      <c r="X47" s="8">
        <v>14285700000</v>
      </c>
    </row>
    <row r="48" spans="1:24" x14ac:dyDescent="0.25">
      <c r="A48" t="s">
        <v>69</v>
      </c>
      <c r="B48">
        <v>47</v>
      </c>
      <c r="C48">
        <v>8.25</v>
      </c>
      <c r="D48">
        <v>0</v>
      </c>
      <c r="E48">
        <v>6494113</v>
      </c>
      <c r="F48">
        <v>53599440.950000003</v>
      </c>
      <c r="G48">
        <v>25953670833.75</v>
      </c>
      <c r="H48">
        <v>5.88</v>
      </c>
      <c r="I48">
        <v>0.56000000000000005</v>
      </c>
      <c r="J48">
        <v>0.89804399999999995</v>
      </c>
      <c r="K48">
        <v>0.52</v>
      </c>
      <c r="L48">
        <v>0.63</v>
      </c>
      <c r="M48">
        <v>6.9638689999999999</v>
      </c>
      <c r="N48">
        <v>9.8022469999999995</v>
      </c>
      <c r="O48">
        <v>9.6344890000000003</v>
      </c>
      <c r="P48">
        <v>6.3</v>
      </c>
      <c r="Q48" t="s">
        <v>22</v>
      </c>
      <c r="R48" t="s">
        <v>22</v>
      </c>
      <c r="S48">
        <v>364</v>
      </c>
      <c r="T48">
        <v>375</v>
      </c>
      <c r="U48">
        <v>18.260000000000002</v>
      </c>
      <c r="V48">
        <v>5</v>
      </c>
      <c r="W48">
        <v>14.75</v>
      </c>
      <c r="X48" s="8">
        <v>3145899495</v>
      </c>
    </row>
    <row r="49" spans="1:24" x14ac:dyDescent="0.25">
      <c r="A49" t="s">
        <v>70</v>
      </c>
      <c r="B49">
        <v>48</v>
      </c>
      <c r="C49">
        <v>2.54</v>
      </c>
      <c r="D49">
        <v>0</v>
      </c>
      <c r="E49">
        <v>5605</v>
      </c>
      <c r="F49">
        <v>14128.66</v>
      </c>
      <c r="G49">
        <v>1524000000</v>
      </c>
      <c r="H49">
        <v>26.36</v>
      </c>
      <c r="I49">
        <v>2.86</v>
      </c>
      <c r="J49">
        <v>0.107046</v>
      </c>
      <c r="K49">
        <v>9.0999999999999998E-2</v>
      </c>
      <c r="L49">
        <v>0.05</v>
      </c>
      <c r="M49">
        <v>12.429067999999999</v>
      </c>
      <c r="N49">
        <v>10.947322</v>
      </c>
      <c r="O49">
        <v>29.869924000000001</v>
      </c>
      <c r="P49">
        <v>3.58</v>
      </c>
      <c r="Q49" t="s">
        <v>22</v>
      </c>
      <c r="R49" t="s">
        <v>22</v>
      </c>
      <c r="S49">
        <v>855</v>
      </c>
      <c r="T49">
        <v>718</v>
      </c>
      <c r="U49">
        <v>36.86</v>
      </c>
      <c r="V49">
        <v>4</v>
      </c>
      <c r="W49">
        <v>0.89</v>
      </c>
      <c r="X49" s="8">
        <v>600000000</v>
      </c>
    </row>
    <row r="50" spans="1:24" x14ac:dyDescent="0.25">
      <c r="A50" t="s">
        <v>71</v>
      </c>
      <c r="B50">
        <v>49</v>
      </c>
      <c r="C50">
        <v>1.17</v>
      </c>
      <c r="D50">
        <v>-2.5</v>
      </c>
      <c r="E50">
        <v>313500</v>
      </c>
      <c r="F50">
        <v>385605</v>
      </c>
      <c r="G50">
        <v>811799830.25999999</v>
      </c>
      <c r="H50">
        <v>791999834.39999998</v>
      </c>
      <c r="I50">
        <v>0.74</v>
      </c>
      <c r="J50">
        <v>1.466189</v>
      </c>
      <c r="K50">
        <v>0.06</v>
      </c>
      <c r="L50">
        <v>-0.18</v>
      </c>
      <c r="M50">
        <v>-15.629621</v>
      </c>
      <c r="N50">
        <v>-37.373882000000002</v>
      </c>
      <c r="O50">
        <v>-28.065045000000001</v>
      </c>
      <c r="P50">
        <v>0.72</v>
      </c>
      <c r="Q50" t="s">
        <v>22</v>
      </c>
      <c r="R50" t="s">
        <v>22</v>
      </c>
      <c r="V50">
        <v>4</v>
      </c>
      <c r="W50">
        <v>1.67</v>
      </c>
      <c r="X50" s="8">
        <v>659999862</v>
      </c>
    </row>
    <row r="51" spans="1:24" x14ac:dyDescent="0.25">
      <c r="A51" t="s">
        <v>72</v>
      </c>
      <c r="B51">
        <v>50</v>
      </c>
      <c r="C51">
        <v>1.76</v>
      </c>
      <c r="D51">
        <v>0</v>
      </c>
      <c r="E51">
        <v>734150</v>
      </c>
      <c r="F51">
        <v>1293588.5</v>
      </c>
      <c r="G51">
        <v>598400000</v>
      </c>
      <c r="H51">
        <v>14.21</v>
      </c>
      <c r="I51">
        <v>1.28</v>
      </c>
      <c r="J51">
        <v>0.35277900000000001</v>
      </c>
      <c r="K51">
        <v>0.05</v>
      </c>
      <c r="L51">
        <v>6.8195252335075045</v>
      </c>
      <c r="M51">
        <v>6.8195249999999996</v>
      </c>
      <c r="N51">
        <v>8.7072009999999995</v>
      </c>
      <c r="O51">
        <v>-8.8938000000000003E-2</v>
      </c>
      <c r="P51">
        <v>12.5</v>
      </c>
      <c r="Q51" t="s">
        <v>22</v>
      </c>
      <c r="R51" t="s">
        <v>22</v>
      </c>
      <c r="S51">
        <v>45</v>
      </c>
      <c r="T51">
        <v>30</v>
      </c>
      <c r="U51">
        <v>0.01</v>
      </c>
      <c r="W51">
        <v>1.37</v>
      </c>
      <c r="X51" s="8">
        <v>340000000</v>
      </c>
    </row>
    <row r="52" spans="1:24" x14ac:dyDescent="0.25">
      <c r="A52" t="s">
        <v>73</v>
      </c>
      <c r="B52">
        <v>51</v>
      </c>
      <c r="C52">
        <v>3.1</v>
      </c>
      <c r="D52">
        <v>-0.64</v>
      </c>
      <c r="E52">
        <v>231655</v>
      </c>
      <c r="F52">
        <v>716780.54</v>
      </c>
      <c r="G52">
        <v>868000000</v>
      </c>
      <c r="H52">
        <v>7.53</v>
      </c>
      <c r="I52">
        <v>1.94</v>
      </c>
      <c r="J52">
        <v>1.2900370000000001</v>
      </c>
      <c r="K52">
        <v>0.23</v>
      </c>
      <c r="L52">
        <v>0.24</v>
      </c>
      <c r="M52">
        <v>14.899381</v>
      </c>
      <c r="N52">
        <v>27.279167999999999</v>
      </c>
      <c r="O52">
        <v>11.717853</v>
      </c>
      <c r="P52">
        <v>7.42</v>
      </c>
      <c r="Q52" t="s">
        <v>22</v>
      </c>
      <c r="R52" t="s">
        <v>22</v>
      </c>
      <c r="S52">
        <v>145</v>
      </c>
      <c r="T52">
        <v>172</v>
      </c>
      <c r="U52">
        <v>0.38</v>
      </c>
      <c r="W52">
        <v>1.6</v>
      </c>
      <c r="X52" s="8">
        <v>280000000</v>
      </c>
    </row>
    <row r="53" spans="1:24" x14ac:dyDescent="0.25">
      <c r="A53" t="s">
        <v>74</v>
      </c>
      <c r="B53">
        <v>52</v>
      </c>
      <c r="C53">
        <v>2.4</v>
      </c>
      <c r="D53">
        <v>0.84</v>
      </c>
      <c r="E53">
        <v>719710</v>
      </c>
      <c r="F53">
        <v>1703947.4</v>
      </c>
      <c r="G53">
        <v>2299868148</v>
      </c>
      <c r="H53">
        <v>1974053493.7</v>
      </c>
      <c r="I53">
        <v>1.04</v>
      </c>
      <c r="J53">
        <v>0.19984499999999999</v>
      </c>
      <c r="K53">
        <v>0.22</v>
      </c>
      <c r="L53">
        <v>7.0000000000000007E-2</v>
      </c>
      <c r="M53">
        <v>-7.6084189999999996</v>
      </c>
      <c r="N53">
        <v>-8.2747030000000006</v>
      </c>
      <c r="O53">
        <v>6.9619929999999997</v>
      </c>
      <c r="P53">
        <v>0.89</v>
      </c>
      <c r="Q53" t="s">
        <v>22</v>
      </c>
      <c r="R53" t="s">
        <v>22</v>
      </c>
      <c r="V53">
        <v>3</v>
      </c>
      <c r="W53">
        <v>2.3199999999999998</v>
      </c>
      <c r="X53" s="8">
        <v>958278395</v>
      </c>
    </row>
    <row r="54" spans="1:24" x14ac:dyDescent="0.25">
      <c r="A54" t="s">
        <v>75</v>
      </c>
      <c r="B54">
        <v>53</v>
      </c>
      <c r="C54">
        <v>0.1</v>
      </c>
      <c r="D54">
        <v>0</v>
      </c>
      <c r="E54">
        <v>4249110</v>
      </c>
      <c r="F54">
        <v>424908</v>
      </c>
      <c r="G54">
        <v>571245718.70000005</v>
      </c>
      <c r="H54">
        <v>571245718.70000005</v>
      </c>
      <c r="I54">
        <v>0.14000000000000001</v>
      </c>
      <c r="J54">
        <v>0.61443499999999995</v>
      </c>
      <c r="K54">
        <v>0.01</v>
      </c>
      <c r="L54">
        <v>0.01</v>
      </c>
      <c r="M54">
        <v>-6.0557299999999996</v>
      </c>
      <c r="N54">
        <v>-13.304874</v>
      </c>
      <c r="O54">
        <v>6.2153470000000004</v>
      </c>
      <c r="P54">
        <v>0.14000000000000001</v>
      </c>
      <c r="Q54" t="s">
        <v>22</v>
      </c>
      <c r="R54" t="s">
        <v>22</v>
      </c>
      <c r="W54">
        <v>0.71</v>
      </c>
      <c r="X54" s="8">
        <v>5712457187</v>
      </c>
    </row>
    <row r="55" spans="1:24" x14ac:dyDescent="0.25">
      <c r="A55" t="s">
        <v>76</v>
      </c>
      <c r="B55">
        <v>54</v>
      </c>
      <c r="C55">
        <v>0.47</v>
      </c>
      <c r="D55">
        <v>-2.08</v>
      </c>
      <c r="E55">
        <v>164019</v>
      </c>
      <c r="F55">
        <v>77347.929999999993</v>
      </c>
      <c r="G55">
        <v>282000000</v>
      </c>
      <c r="H55">
        <v>288000000</v>
      </c>
      <c r="I55">
        <v>1.02</v>
      </c>
      <c r="J55">
        <v>1.855588</v>
      </c>
      <c r="K55">
        <v>-0.04</v>
      </c>
      <c r="L55">
        <v>-0.04</v>
      </c>
      <c r="M55">
        <v>-2.4987249999999999</v>
      </c>
      <c r="N55">
        <v>-13.672439000000001</v>
      </c>
      <c r="O55">
        <v>-185.024689</v>
      </c>
      <c r="P55">
        <v>1.04</v>
      </c>
      <c r="Q55" t="s">
        <v>22</v>
      </c>
      <c r="R55" t="s">
        <v>22</v>
      </c>
      <c r="V55">
        <v>3</v>
      </c>
      <c r="W55">
        <v>0.46</v>
      </c>
      <c r="X55" s="8">
        <v>600000000</v>
      </c>
    </row>
    <row r="56" spans="1:24" x14ac:dyDescent="0.25">
      <c r="A56" t="s">
        <v>77</v>
      </c>
      <c r="B56">
        <v>55</v>
      </c>
      <c r="C56">
        <v>0.45</v>
      </c>
      <c r="D56">
        <v>2.27</v>
      </c>
      <c r="E56">
        <v>6219135</v>
      </c>
      <c r="F56">
        <v>2902083.76</v>
      </c>
      <c r="G56">
        <v>209700000</v>
      </c>
      <c r="H56">
        <v>21.86</v>
      </c>
      <c r="I56">
        <v>0.93</v>
      </c>
      <c r="J56">
        <v>0.28350900000000001</v>
      </c>
      <c r="K56">
        <v>0.02</v>
      </c>
      <c r="L56">
        <v>0.01</v>
      </c>
      <c r="M56">
        <v>3.8330669999999998</v>
      </c>
      <c r="N56">
        <v>4.2729470000000003</v>
      </c>
      <c r="O56">
        <v>2.981563</v>
      </c>
      <c r="P56">
        <v>4.4400000000000004</v>
      </c>
      <c r="Q56" t="s">
        <v>22</v>
      </c>
      <c r="R56" t="s">
        <v>22</v>
      </c>
      <c r="S56">
        <v>1111</v>
      </c>
      <c r="T56">
        <v>1083</v>
      </c>
      <c r="U56">
        <v>0.64</v>
      </c>
      <c r="V56">
        <v>5</v>
      </c>
      <c r="W56">
        <v>0.48</v>
      </c>
      <c r="X56" s="8">
        <v>466000000</v>
      </c>
    </row>
    <row r="57" spans="1:24" x14ac:dyDescent="0.25">
      <c r="A57" t="s">
        <v>78</v>
      </c>
      <c r="B57">
        <v>56</v>
      </c>
      <c r="C57">
        <v>5.7</v>
      </c>
      <c r="D57">
        <v>0</v>
      </c>
      <c r="E57">
        <v>33616</v>
      </c>
      <c r="F57">
        <v>191590.45</v>
      </c>
      <c r="G57">
        <v>1464312352.8</v>
      </c>
      <c r="H57">
        <v>9.06</v>
      </c>
      <c r="I57">
        <v>1.0900000000000001</v>
      </c>
      <c r="J57">
        <v>0.35508800000000001</v>
      </c>
      <c r="K57">
        <v>0.1</v>
      </c>
      <c r="L57">
        <v>0.38</v>
      </c>
      <c r="M57">
        <v>12.116803000000001</v>
      </c>
      <c r="N57">
        <v>12.299837999999999</v>
      </c>
      <c r="O57">
        <v>14.768858</v>
      </c>
      <c r="P57">
        <v>7.02</v>
      </c>
      <c r="Q57" t="s">
        <v>22</v>
      </c>
      <c r="R57" t="s">
        <v>22</v>
      </c>
      <c r="S57">
        <v>422</v>
      </c>
      <c r="T57">
        <v>333</v>
      </c>
      <c r="U57">
        <v>2.71</v>
      </c>
      <c r="V57">
        <v>3</v>
      </c>
      <c r="W57">
        <v>5.22</v>
      </c>
      <c r="X57" s="8">
        <v>256896904</v>
      </c>
    </row>
    <row r="58" spans="1:24" x14ac:dyDescent="0.25">
      <c r="A58" t="s">
        <v>79</v>
      </c>
      <c r="B58">
        <v>57</v>
      </c>
      <c r="C58">
        <v>2.2999999999999998</v>
      </c>
      <c r="D58">
        <v>1.77</v>
      </c>
      <c r="E58">
        <v>384300</v>
      </c>
      <c r="F58">
        <v>878024</v>
      </c>
      <c r="G58">
        <v>1148267561.8</v>
      </c>
      <c r="H58">
        <v>9.2200000000000006</v>
      </c>
      <c r="I58">
        <v>0.84</v>
      </c>
      <c r="J58">
        <v>0.234457</v>
      </c>
      <c r="K58">
        <v>0.08</v>
      </c>
      <c r="L58">
        <v>0.09</v>
      </c>
      <c r="M58">
        <v>8.694426</v>
      </c>
      <c r="N58">
        <v>9.2433130000000006</v>
      </c>
      <c r="O58">
        <v>7.8673219999999997</v>
      </c>
      <c r="P58">
        <v>8.6999999999999993</v>
      </c>
      <c r="Q58" t="s">
        <v>22</v>
      </c>
      <c r="R58" t="s">
        <v>22</v>
      </c>
      <c r="S58">
        <v>474</v>
      </c>
      <c r="T58">
        <v>376</v>
      </c>
      <c r="U58">
        <v>-0.36</v>
      </c>
      <c r="W58">
        <v>2.73</v>
      </c>
      <c r="X58" s="8">
        <v>499246766</v>
      </c>
    </row>
    <row r="59" spans="1:24" x14ac:dyDescent="0.25">
      <c r="A59" t="s">
        <v>80</v>
      </c>
      <c r="B59">
        <v>58</v>
      </c>
      <c r="C59">
        <v>2.12</v>
      </c>
      <c r="D59">
        <v>0</v>
      </c>
      <c r="E59">
        <v>109900</v>
      </c>
      <c r="F59">
        <v>231148</v>
      </c>
      <c r="G59">
        <v>1539119940.6400001</v>
      </c>
      <c r="H59">
        <v>25.64</v>
      </c>
      <c r="I59">
        <v>1.72</v>
      </c>
      <c r="J59">
        <v>6.9748450000000002</v>
      </c>
      <c r="K59">
        <v>0.04</v>
      </c>
      <c r="L59">
        <v>0.04</v>
      </c>
      <c r="M59">
        <v>5.1608790000000004</v>
      </c>
      <c r="N59">
        <v>6.9300519999999999</v>
      </c>
      <c r="O59">
        <v>1.139521</v>
      </c>
      <c r="P59">
        <v>1.81</v>
      </c>
      <c r="Q59" t="s">
        <v>22</v>
      </c>
      <c r="R59" t="s">
        <v>22</v>
      </c>
      <c r="S59">
        <v>1180</v>
      </c>
      <c r="T59">
        <v>1324</v>
      </c>
      <c r="U59">
        <v>-0.19</v>
      </c>
      <c r="W59">
        <v>1.23</v>
      </c>
      <c r="X59" s="8">
        <v>725999972</v>
      </c>
    </row>
    <row r="60" spans="1:24" x14ac:dyDescent="0.25">
      <c r="A60" t="s">
        <v>81</v>
      </c>
      <c r="B60">
        <v>59</v>
      </c>
      <c r="C60">
        <v>6.2</v>
      </c>
      <c r="D60">
        <v>-2.36</v>
      </c>
      <c r="E60">
        <v>1717600</v>
      </c>
      <c r="F60">
        <v>10798175</v>
      </c>
      <c r="G60">
        <v>3383019460</v>
      </c>
      <c r="H60">
        <v>8.51</v>
      </c>
      <c r="I60">
        <v>1.6</v>
      </c>
      <c r="J60">
        <v>1.491603</v>
      </c>
      <c r="K60">
        <v>0.35</v>
      </c>
      <c r="L60">
        <v>0.44</v>
      </c>
      <c r="M60">
        <v>11.87921</v>
      </c>
      <c r="N60">
        <v>19.554407000000001</v>
      </c>
      <c r="O60">
        <v>7.9386669999999997</v>
      </c>
      <c r="P60">
        <v>5.56</v>
      </c>
      <c r="Q60" t="s">
        <v>22</v>
      </c>
      <c r="R60" t="s">
        <v>22</v>
      </c>
      <c r="S60">
        <v>471</v>
      </c>
      <c r="T60">
        <v>480</v>
      </c>
      <c r="U60">
        <v>0.24</v>
      </c>
      <c r="W60">
        <v>3.87</v>
      </c>
      <c r="X60" s="8">
        <v>545648300</v>
      </c>
    </row>
    <row r="61" spans="1:24" x14ac:dyDescent="0.25">
      <c r="A61" t="s">
        <v>82</v>
      </c>
      <c r="B61">
        <v>60</v>
      </c>
      <c r="C61">
        <v>5.4</v>
      </c>
      <c r="D61">
        <v>0.93</v>
      </c>
      <c r="E61">
        <v>100</v>
      </c>
      <c r="F61">
        <v>540</v>
      </c>
      <c r="G61">
        <v>1728000000</v>
      </c>
      <c r="H61">
        <v>1728000000</v>
      </c>
      <c r="I61">
        <v>0.3</v>
      </c>
      <c r="J61">
        <v>0.71444300000000005</v>
      </c>
      <c r="K61">
        <v>0.05</v>
      </c>
      <c r="L61">
        <v>-0.02</v>
      </c>
      <c r="M61">
        <v>1.461352</v>
      </c>
      <c r="N61">
        <v>-0.16102</v>
      </c>
      <c r="O61">
        <v>-1.21227</v>
      </c>
      <c r="P61">
        <v>2.48</v>
      </c>
      <c r="Q61" t="s">
        <v>22</v>
      </c>
      <c r="R61" t="s">
        <v>22</v>
      </c>
      <c r="V61">
        <v>3</v>
      </c>
      <c r="W61">
        <v>17.989999999999998</v>
      </c>
      <c r="X61" s="8">
        <v>320000000</v>
      </c>
    </row>
    <row r="62" spans="1:24" x14ac:dyDescent="0.25">
      <c r="A62" t="s">
        <v>83</v>
      </c>
      <c r="B62">
        <v>61</v>
      </c>
      <c r="C62">
        <v>7.25</v>
      </c>
      <c r="D62">
        <v>0.69</v>
      </c>
      <c r="E62">
        <v>176204</v>
      </c>
      <c r="F62">
        <v>1274559</v>
      </c>
      <c r="G62">
        <v>5902134802.75</v>
      </c>
      <c r="H62">
        <v>10.07</v>
      </c>
      <c r="I62">
        <v>0.92</v>
      </c>
      <c r="J62">
        <v>0.15862299999999999</v>
      </c>
      <c r="K62">
        <v>0.19800000000000001</v>
      </c>
      <c r="L62">
        <v>0.33</v>
      </c>
      <c r="M62">
        <v>9.3587819999999997</v>
      </c>
      <c r="N62">
        <v>9.1458860000000008</v>
      </c>
      <c r="O62">
        <v>7.3991559999999996</v>
      </c>
      <c r="P62">
        <v>9.31</v>
      </c>
      <c r="Q62" t="s">
        <v>22</v>
      </c>
      <c r="R62" t="s">
        <v>22</v>
      </c>
      <c r="S62">
        <v>571</v>
      </c>
      <c r="T62">
        <v>452</v>
      </c>
      <c r="U62">
        <v>0.48</v>
      </c>
      <c r="V62">
        <v>5</v>
      </c>
      <c r="W62">
        <v>7.87</v>
      </c>
      <c r="X62" s="8">
        <v>814087559</v>
      </c>
    </row>
    <row r="63" spans="1:24" x14ac:dyDescent="0.25">
      <c r="A63" t="s">
        <v>84</v>
      </c>
      <c r="B63">
        <v>62</v>
      </c>
      <c r="C63">
        <v>1.51</v>
      </c>
      <c r="D63">
        <v>0.67</v>
      </c>
      <c r="E63">
        <v>663900</v>
      </c>
      <c r="F63">
        <v>1000412.2</v>
      </c>
      <c r="G63">
        <v>390019541.37</v>
      </c>
      <c r="H63">
        <v>9.41</v>
      </c>
      <c r="I63">
        <v>0.86</v>
      </c>
      <c r="J63">
        <v>0.79304600000000003</v>
      </c>
      <c r="K63">
        <v>0.12</v>
      </c>
      <c r="L63">
        <v>7.0000000000000007E-2</v>
      </c>
      <c r="M63">
        <v>6.5180740000000004</v>
      </c>
      <c r="N63">
        <v>9.2129940000000001</v>
      </c>
      <c r="O63">
        <v>4.4123429999999999</v>
      </c>
      <c r="P63">
        <v>7.95</v>
      </c>
      <c r="Q63" t="s">
        <v>22</v>
      </c>
      <c r="R63" t="s">
        <v>22</v>
      </c>
      <c r="S63">
        <v>500</v>
      </c>
      <c r="T63">
        <v>524</v>
      </c>
      <c r="U63">
        <v>0.18</v>
      </c>
      <c r="V63">
        <v>5</v>
      </c>
      <c r="W63">
        <v>1.75</v>
      </c>
      <c r="X63" s="8">
        <v>258291087</v>
      </c>
    </row>
    <row r="64" spans="1:24" x14ac:dyDescent="0.25">
      <c r="A64" t="s">
        <v>85</v>
      </c>
      <c r="B64">
        <v>63</v>
      </c>
      <c r="C64">
        <v>11.2</v>
      </c>
      <c r="D64">
        <v>-1.75</v>
      </c>
      <c r="E64">
        <v>390801</v>
      </c>
      <c r="F64">
        <v>4424261.5</v>
      </c>
      <c r="G64">
        <v>7882462336</v>
      </c>
      <c r="H64">
        <v>11.8</v>
      </c>
      <c r="I64">
        <v>0.66</v>
      </c>
      <c r="J64">
        <v>3.8902990000000002</v>
      </c>
      <c r="K64">
        <v>0.4</v>
      </c>
      <c r="L64">
        <v>0.56999999999999995</v>
      </c>
      <c r="M64">
        <v>4.0232219999999996</v>
      </c>
      <c r="N64">
        <v>5.6609990000000003</v>
      </c>
      <c r="O64">
        <v>16.12546</v>
      </c>
      <c r="P64">
        <v>3.57</v>
      </c>
      <c r="Q64" t="s">
        <v>22</v>
      </c>
      <c r="R64" t="s">
        <v>22</v>
      </c>
      <c r="S64">
        <v>920</v>
      </c>
      <c r="T64">
        <v>1103</v>
      </c>
      <c r="U64">
        <v>-8.8000000000000007</v>
      </c>
      <c r="V64">
        <v>5</v>
      </c>
      <c r="W64">
        <v>17.04</v>
      </c>
      <c r="X64" s="8">
        <v>703791280</v>
      </c>
    </row>
    <row r="65" spans="1:24" x14ac:dyDescent="0.25">
      <c r="A65" t="s">
        <v>86</v>
      </c>
      <c r="B65">
        <v>64</v>
      </c>
      <c r="C65">
        <v>0.96</v>
      </c>
      <c r="D65">
        <v>1.05</v>
      </c>
      <c r="E65">
        <v>54311</v>
      </c>
      <c r="F65">
        <v>52083.42</v>
      </c>
      <c r="G65">
        <v>179711954.88</v>
      </c>
      <c r="H65">
        <v>229.21</v>
      </c>
      <c r="I65">
        <v>0.62</v>
      </c>
      <c r="J65">
        <v>0.76130299999999995</v>
      </c>
      <c r="K65">
        <v>2.6700000000000002E-2</v>
      </c>
      <c r="L65">
        <v>3.3047457500046864</v>
      </c>
      <c r="M65">
        <v>3.3047460000000002</v>
      </c>
      <c r="N65">
        <v>0.26945000000000002</v>
      </c>
      <c r="O65">
        <v>-0.37939600000000001</v>
      </c>
      <c r="P65">
        <v>0.61</v>
      </c>
      <c r="Q65" t="s">
        <v>22</v>
      </c>
      <c r="R65" t="s">
        <v>22</v>
      </c>
      <c r="S65">
        <v>1346</v>
      </c>
      <c r="T65">
        <v>1198</v>
      </c>
      <c r="U65">
        <v>-0.92</v>
      </c>
      <c r="V65">
        <v>3</v>
      </c>
      <c r="W65">
        <v>1.56</v>
      </c>
      <c r="X65" s="8">
        <v>187199953</v>
      </c>
    </row>
    <row r="66" spans="1:24" x14ac:dyDescent="0.25">
      <c r="A66" t="s">
        <v>87</v>
      </c>
      <c r="B66">
        <v>65</v>
      </c>
      <c r="C66">
        <v>2.44</v>
      </c>
      <c r="D66">
        <v>-4.6900000000000004</v>
      </c>
      <c r="E66">
        <v>2856407</v>
      </c>
      <c r="F66">
        <v>6954467.0800000001</v>
      </c>
      <c r="G66">
        <v>4957925655.3599997</v>
      </c>
      <c r="H66">
        <v>10.6</v>
      </c>
      <c r="I66">
        <v>1.01</v>
      </c>
      <c r="J66">
        <v>1.8263590000000001</v>
      </c>
      <c r="K66">
        <v>0.11</v>
      </c>
      <c r="L66">
        <v>0.16</v>
      </c>
      <c r="M66">
        <v>4.9365709999999998</v>
      </c>
      <c r="N66">
        <v>9.6867560000000008</v>
      </c>
      <c r="O66">
        <v>27.196688000000002</v>
      </c>
      <c r="P66">
        <v>3.69</v>
      </c>
      <c r="Q66" t="s">
        <v>22</v>
      </c>
      <c r="R66" t="s">
        <v>22</v>
      </c>
      <c r="S66">
        <v>975</v>
      </c>
      <c r="T66">
        <v>1109</v>
      </c>
      <c r="U66">
        <v>-0.55000000000000004</v>
      </c>
      <c r="V66">
        <v>5</v>
      </c>
      <c r="W66">
        <v>2.41</v>
      </c>
      <c r="X66" s="8">
        <v>2031936744</v>
      </c>
    </row>
    <row r="67" spans="1:24" x14ac:dyDescent="0.25">
      <c r="A67" t="s">
        <v>88</v>
      </c>
      <c r="B67">
        <v>66</v>
      </c>
      <c r="C67">
        <v>4.46</v>
      </c>
      <c r="D67">
        <v>0</v>
      </c>
      <c r="E67">
        <v>154800</v>
      </c>
      <c r="F67">
        <v>690792</v>
      </c>
      <c r="G67">
        <v>7233821804.3999996</v>
      </c>
      <c r="H67">
        <v>7428453781.1999998</v>
      </c>
      <c r="I67">
        <v>8.27</v>
      </c>
      <c r="J67">
        <v>6.8625000000000005E-2</v>
      </c>
      <c r="K67">
        <v>-0.05</v>
      </c>
      <c r="L67">
        <v>-0.05</v>
      </c>
      <c r="M67">
        <v>-12.095561999999999</v>
      </c>
      <c r="N67">
        <v>-13.080667</v>
      </c>
      <c r="O67">
        <v>-132.47297699999999</v>
      </c>
      <c r="P67">
        <v>8.5</v>
      </c>
      <c r="Q67" t="s">
        <v>22</v>
      </c>
      <c r="R67" t="s">
        <v>22</v>
      </c>
      <c r="V67">
        <v>3</v>
      </c>
      <c r="W67">
        <v>0.54</v>
      </c>
      <c r="X67" s="8">
        <v>1621933140</v>
      </c>
    </row>
    <row r="68" spans="1:24" x14ac:dyDescent="0.25">
      <c r="A68" t="s">
        <v>89</v>
      </c>
      <c r="B68">
        <v>67</v>
      </c>
      <c r="C68">
        <v>7.9</v>
      </c>
      <c r="D68">
        <v>-0.63</v>
      </c>
      <c r="E68">
        <v>41530</v>
      </c>
      <c r="F68">
        <v>328540</v>
      </c>
      <c r="G68">
        <v>7107981945</v>
      </c>
      <c r="H68">
        <v>4.83</v>
      </c>
      <c r="I68">
        <v>0.77</v>
      </c>
      <c r="J68">
        <v>3.4953430000000001</v>
      </c>
      <c r="K68">
        <v>0.5</v>
      </c>
      <c r="L68">
        <v>0.88</v>
      </c>
      <c r="M68">
        <v>6.1991149999999999</v>
      </c>
      <c r="N68">
        <v>16.805741000000001</v>
      </c>
      <c r="O68">
        <v>15.259986</v>
      </c>
      <c r="P68">
        <v>6.33</v>
      </c>
      <c r="Q68" t="s">
        <v>22</v>
      </c>
      <c r="R68" t="s">
        <v>22</v>
      </c>
      <c r="S68">
        <v>164</v>
      </c>
      <c r="T68">
        <v>400</v>
      </c>
      <c r="U68">
        <v>0.87</v>
      </c>
      <c r="V68">
        <v>5</v>
      </c>
      <c r="W68">
        <v>10.32</v>
      </c>
      <c r="X68" s="8">
        <v>899744550</v>
      </c>
    </row>
    <row r="69" spans="1:24" x14ac:dyDescent="0.25">
      <c r="A69" t="s">
        <v>90</v>
      </c>
      <c r="B69">
        <v>68</v>
      </c>
      <c r="C69">
        <v>1.8</v>
      </c>
      <c r="D69">
        <v>-0.55000000000000004</v>
      </c>
      <c r="E69">
        <v>1334400</v>
      </c>
      <c r="F69">
        <v>2399</v>
      </c>
      <c r="G69">
        <v>2539</v>
      </c>
      <c r="H69">
        <v>9.19</v>
      </c>
      <c r="I69">
        <v>0.88</v>
      </c>
      <c r="J69">
        <v>2.23</v>
      </c>
      <c r="K69">
        <v>0.05</v>
      </c>
      <c r="L69">
        <v>0.2</v>
      </c>
      <c r="M69">
        <v>4.8600000000000003</v>
      </c>
      <c r="N69">
        <v>12.36</v>
      </c>
      <c r="O69">
        <v>1.89</v>
      </c>
      <c r="P69">
        <v>8.33</v>
      </c>
      <c r="Q69" t="s">
        <v>22</v>
      </c>
      <c r="R69" t="s">
        <v>22</v>
      </c>
      <c r="S69">
        <v>408</v>
      </c>
      <c r="T69">
        <v>650</v>
      </c>
      <c r="U69">
        <v>1.65</v>
      </c>
    </row>
    <row r="70" spans="1:24" x14ac:dyDescent="0.25">
      <c r="A70" t="s">
        <v>91</v>
      </c>
      <c r="B70">
        <v>69</v>
      </c>
      <c r="C70">
        <v>0.83</v>
      </c>
      <c r="D70">
        <v>2.4700000000000002</v>
      </c>
      <c r="E70">
        <v>4805500</v>
      </c>
      <c r="F70">
        <v>3964104</v>
      </c>
      <c r="G70">
        <v>566317348.13999999</v>
      </c>
      <c r="H70">
        <v>12.72</v>
      </c>
      <c r="I70">
        <v>0.98</v>
      </c>
      <c r="J70">
        <v>1.272796</v>
      </c>
      <c r="K70">
        <v>0.04</v>
      </c>
      <c r="L70">
        <v>0.03</v>
      </c>
      <c r="M70">
        <v>6.00786</v>
      </c>
      <c r="N70">
        <v>7.8391539999999997</v>
      </c>
      <c r="O70">
        <v>4.2939579999999999</v>
      </c>
      <c r="P70">
        <v>4.82</v>
      </c>
      <c r="Q70" t="s">
        <v>22</v>
      </c>
      <c r="R70" t="s">
        <v>22</v>
      </c>
      <c r="S70">
        <v>557</v>
      </c>
      <c r="T70">
        <v>573</v>
      </c>
      <c r="U70">
        <v>0.56000000000000005</v>
      </c>
      <c r="V70">
        <v>4</v>
      </c>
      <c r="W70">
        <v>0.84</v>
      </c>
      <c r="X70">
        <v>682310058</v>
      </c>
    </row>
    <row r="71" spans="1:24" x14ac:dyDescent="0.25">
      <c r="A71" t="s">
        <v>92</v>
      </c>
      <c r="B71">
        <v>70</v>
      </c>
      <c r="C71">
        <v>4.34</v>
      </c>
      <c r="D71">
        <v>0</v>
      </c>
      <c r="E71">
        <v>268321</v>
      </c>
      <c r="F71">
        <v>1162801.1399999999</v>
      </c>
      <c r="G71">
        <v>3539806254.7399998</v>
      </c>
      <c r="H71">
        <v>20.12</v>
      </c>
      <c r="I71">
        <v>3.84</v>
      </c>
      <c r="J71">
        <v>0.48976999999999998</v>
      </c>
      <c r="K71">
        <v>0.25</v>
      </c>
      <c r="L71">
        <v>0.11</v>
      </c>
      <c r="M71">
        <v>16.816061999999999</v>
      </c>
      <c r="N71">
        <v>18.763311999999999</v>
      </c>
      <c r="O71">
        <v>10.906247</v>
      </c>
      <c r="P71">
        <v>5.76</v>
      </c>
      <c r="Q71" t="s">
        <v>22</v>
      </c>
      <c r="R71" t="s">
        <v>22</v>
      </c>
      <c r="S71">
        <v>655</v>
      </c>
      <c r="T71">
        <v>594</v>
      </c>
      <c r="U71">
        <v>0.03</v>
      </c>
      <c r="W71">
        <v>1.1299999999999999</v>
      </c>
      <c r="X71">
        <v>815623561</v>
      </c>
    </row>
    <row r="72" spans="1:24" x14ac:dyDescent="0.25">
      <c r="A72" t="s">
        <v>93</v>
      </c>
      <c r="B72">
        <v>71</v>
      </c>
      <c r="C72">
        <v>4.1399999999999997</v>
      </c>
      <c r="D72">
        <v>0</v>
      </c>
      <c r="E72">
        <v>108105</v>
      </c>
      <c r="F72">
        <v>449872.8</v>
      </c>
      <c r="G72">
        <v>2277000000</v>
      </c>
      <c r="H72">
        <v>15.55</v>
      </c>
      <c r="I72">
        <v>5.25</v>
      </c>
      <c r="J72">
        <v>3.0132409999999998</v>
      </c>
      <c r="K72">
        <v>7.2999999999999995E-2</v>
      </c>
      <c r="L72">
        <v>0.08</v>
      </c>
      <c r="M72">
        <v>11.867113</v>
      </c>
      <c r="N72">
        <v>31.77356</v>
      </c>
      <c r="O72">
        <v>10.941623</v>
      </c>
      <c r="P72">
        <v>8.82</v>
      </c>
      <c r="Q72" t="s">
        <v>22</v>
      </c>
      <c r="R72" t="s">
        <v>22</v>
      </c>
      <c r="S72">
        <v>497</v>
      </c>
      <c r="T72">
        <v>592</v>
      </c>
      <c r="U72">
        <v>-24.23</v>
      </c>
      <c r="V72">
        <v>5</v>
      </c>
      <c r="W72">
        <v>0.79</v>
      </c>
      <c r="X72">
        <v>550000000</v>
      </c>
    </row>
    <row r="73" spans="1:24" x14ac:dyDescent="0.25">
      <c r="A73" t="s">
        <v>94</v>
      </c>
      <c r="B73">
        <v>72</v>
      </c>
      <c r="C73">
        <v>14.3</v>
      </c>
      <c r="D73">
        <v>-1.38</v>
      </c>
      <c r="E73">
        <v>2301655</v>
      </c>
      <c r="F73">
        <v>33119449.699999999</v>
      </c>
      <c r="G73">
        <v>19129068530</v>
      </c>
      <c r="H73">
        <v>11.75</v>
      </c>
      <c r="I73">
        <v>2.23</v>
      </c>
      <c r="J73">
        <v>2.3596780000000002</v>
      </c>
      <c r="K73">
        <v>0.56000000000000005</v>
      </c>
      <c r="L73">
        <v>0.69</v>
      </c>
      <c r="M73">
        <v>11.33555</v>
      </c>
      <c r="N73">
        <v>21.476434000000001</v>
      </c>
      <c r="O73">
        <v>3.1225860000000001</v>
      </c>
      <c r="P73">
        <v>3.91</v>
      </c>
      <c r="Q73" t="s">
        <v>22</v>
      </c>
      <c r="R73" t="s">
        <v>22</v>
      </c>
      <c r="S73">
        <v>355</v>
      </c>
      <c r="T73">
        <v>385</v>
      </c>
      <c r="U73">
        <v>0.4</v>
      </c>
      <c r="V73">
        <v>5</v>
      </c>
      <c r="W73">
        <v>6.4</v>
      </c>
      <c r="X73">
        <v>1337697100</v>
      </c>
    </row>
    <row r="74" spans="1:24" x14ac:dyDescent="0.25">
      <c r="A74" t="s">
        <v>95</v>
      </c>
      <c r="B74">
        <v>73</v>
      </c>
      <c r="C74">
        <v>3.04</v>
      </c>
      <c r="D74">
        <v>1.33</v>
      </c>
      <c r="E74">
        <v>33620835</v>
      </c>
      <c r="F74">
        <v>102104977.81999999</v>
      </c>
      <c r="G74">
        <v>97360694976</v>
      </c>
      <c r="H74">
        <v>15.05</v>
      </c>
      <c r="I74">
        <v>1.01</v>
      </c>
      <c r="J74">
        <v>1.157815</v>
      </c>
      <c r="K74">
        <v>0.08</v>
      </c>
      <c r="L74">
        <v>0.11</v>
      </c>
      <c r="M74">
        <v>4.8451789999999999</v>
      </c>
      <c r="N74">
        <v>6.8469600000000002</v>
      </c>
      <c r="O74">
        <v>37.509400999999997</v>
      </c>
      <c r="P74">
        <v>2.63</v>
      </c>
      <c r="Q74" t="s">
        <v>22</v>
      </c>
      <c r="R74" t="s">
        <v>22</v>
      </c>
      <c r="S74">
        <v>870</v>
      </c>
      <c r="T74">
        <v>889</v>
      </c>
      <c r="U74">
        <v>0.14000000000000001</v>
      </c>
      <c r="V74">
        <v>5</v>
      </c>
      <c r="W74">
        <v>3.01</v>
      </c>
      <c r="X74">
        <v>32026544400</v>
      </c>
    </row>
    <row r="75" spans="1:24" x14ac:dyDescent="0.25">
      <c r="A75" t="s">
        <v>96</v>
      </c>
      <c r="B75">
        <v>74</v>
      </c>
      <c r="C75">
        <v>44.5</v>
      </c>
      <c r="D75">
        <v>0</v>
      </c>
      <c r="E75">
        <v>2814629</v>
      </c>
      <c r="F75">
        <v>126656526.75</v>
      </c>
      <c r="G75">
        <v>17322378429.5</v>
      </c>
      <c r="H75">
        <v>5.91</v>
      </c>
      <c r="I75">
        <v>1.18</v>
      </c>
      <c r="J75">
        <v>0.60935700000000004</v>
      </c>
      <c r="K75">
        <v>0.9</v>
      </c>
      <c r="L75">
        <v>4.71</v>
      </c>
      <c r="M75">
        <v>13.160192</v>
      </c>
      <c r="N75">
        <v>20.905473000000001</v>
      </c>
      <c r="O75">
        <v>32.760531999999998</v>
      </c>
      <c r="P75">
        <v>5.21</v>
      </c>
      <c r="Q75" t="s">
        <v>22</v>
      </c>
      <c r="R75" t="s">
        <v>22</v>
      </c>
      <c r="S75">
        <v>152</v>
      </c>
      <c r="T75">
        <v>189</v>
      </c>
      <c r="U75">
        <v>0.11</v>
      </c>
      <c r="V75">
        <v>3</v>
      </c>
      <c r="W75">
        <v>37.64</v>
      </c>
      <c r="X75">
        <v>389266931</v>
      </c>
    </row>
    <row r="76" spans="1:24" x14ac:dyDescent="0.25">
      <c r="A76" t="s">
        <v>97</v>
      </c>
      <c r="B76">
        <v>75</v>
      </c>
      <c r="C76">
        <v>0.03</v>
      </c>
      <c r="D76">
        <v>0</v>
      </c>
      <c r="E76">
        <v>1319024</v>
      </c>
      <c r="F76">
        <v>39657.72</v>
      </c>
      <c r="G76">
        <v>242220273.15000001</v>
      </c>
      <c r="H76">
        <v>242220273.15000001</v>
      </c>
      <c r="I76">
        <v>0.08</v>
      </c>
      <c r="J76">
        <v>0.507189</v>
      </c>
      <c r="L76">
        <v>-8.8054674413043941</v>
      </c>
      <c r="M76">
        <v>-8.8054670000000002</v>
      </c>
      <c r="N76">
        <v>-11.730098</v>
      </c>
      <c r="O76">
        <v>-33.021982000000001</v>
      </c>
      <c r="P76">
        <v>0.08</v>
      </c>
      <c r="Q76" t="s">
        <v>22</v>
      </c>
      <c r="R76" t="s">
        <v>22</v>
      </c>
      <c r="V76">
        <v>5</v>
      </c>
      <c r="W76">
        <v>0.38</v>
      </c>
      <c r="X76">
        <v>8074009105</v>
      </c>
    </row>
    <row r="77" spans="1:24" x14ac:dyDescent="0.25">
      <c r="A77" t="s">
        <v>98</v>
      </c>
      <c r="B77">
        <v>76</v>
      </c>
      <c r="C77">
        <v>0.26</v>
      </c>
      <c r="D77">
        <v>-3.7</v>
      </c>
      <c r="E77">
        <v>6050</v>
      </c>
      <c r="F77">
        <v>1529.5</v>
      </c>
      <c r="G77">
        <v>261632850.96000001</v>
      </c>
      <c r="H77">
        <v>261632850.96000001</v>
      </c>
      <c r="I77">
        <v>4.8099999999999996</v>
      </c>
      <c r="J77">
        <v>0.14252000000000001</v>
      </c>
      <c r="K77">
        <v>-0.03</v>
      </c>
      <c r="L77">
        <v>-0.03</v>
      </c>
      <c r="M77">
        <v>-59.503484</v>
      </c>
      <c r="N77">
        <v>-67.419544999999999</v>
      </c>
      <c r="O77">
        <v>-449.753061</v>
      </c>
      <c r="P77">
        <v>4.8099999999999996</v>
      </c>
      <c r="Q77" t="s">
        <v>22</v>
      </c>
      <c r="R77" t="s">
        <v>22</v>
      </c>
      <c r="W77">
        <v>0.05</v>
      </c>
      <c r="X77">
        <v>1006280196</v>
      </c>
    </row>
    <row r="78" spans="1:24" x14ac:dyDescent="0.25">
      <c r="A78" t="s">
        <v>99</v>
      </c>
      <c r="B78">
        <v>77</v>
      </c>
      <c r="C78">
        <v>19.399999999999999</v>
      </c>
      <c r="D78">
        <v>-1.02</v>
      </c>
      <c r="E78">
        <v>5104184</v>
      </c>
      <c r="F78">
        <v>99468920</v>
      </c>
      <c r="G78">
        <v>40740000000</v>
      </c>
      <c r="H78">
        <v>10.33</v>
      </c>
      <c r="I78">
        <v>2.82</v>
      </c>
      <c r="J78">
        <v>2.6046879999999999</v>
      </c>
      <c r="K78">
        <v>0.7</v>
      </c>
      <c r="L78">
        <v>1.17</v>
      </c>
      <c r="M78">
        <v>12.712834000000001</v>
      </c>
      <c r="N78">
        <v>27.448404</v>
      </c>
      <c r="O78">
        <v>17.525501999999999</v>
      </c>
      <c r="P78">
        <v>6.22</v>
      </c>
      <c r="Q78" t="s">
        <v>22</v>
      </c>
      <c r="R78" t="s">
        <v>22</v>
      </c>
      <c r="S78">
        <v>298</v>
      </c>
      <c r="T78">
        <v>368</v>
      </c>
      <c r="U78">
        <v>-0.13</v>
      </c>
      <c r="V78">
        <v>4</v>
      </c>
      <c r="W78">
        <v>6.88</v>
      </c>
      <c r="X78">
        <v>2100000000</v>
      </c>
    </row>
    <row r="79" spans="1:24" x14ac:dyDescent="0.25">
      <c r="A79" t="s">
        <v>100</v>
      </c>
      <c r="B79">
        <v>78</v>
      </c>
      <c r="C79">
        <v>10.6</v>
      </c>
      <c r="D79">
        <v>-1.85</v>
      </c>
      <c r="E79">
        <v>132748</v>
      </c>
      <c r="F79">
        <v>1405528.5</v>
      </c>
      <c r="G79">
        <v>6757459221.8000002</v>
      </c>
      <c r="H79">
        <v>30.04</v>
      </c>
      <c r="I79">
        <v>1.26</v>
      </c>
      <c r="J79">
        <v>2.4311050000000001</v>
      </c>
      <c r="K79">
        <v>0.13</v>
      </c>
      <c r="L79">
        <v>0.28999999999999998</v>
      </c>
      <c r="M79">
        <v>4.0509870000000001</v>
      </c>
      <c r="N79">
        <v>4.177155</v>
      </c>
      <c r="O79">
        <v>10.109845</v>
      </c>
      <c r="P79">
        <v>3.11</v>
      </c>
      <c r="Q79" t="s">
        <v>22</v>
      </c>
      <c r="R79" t="s">
        <v>22</v>
      </c>
      <c r="S79">
        <v>1174</v>
      </c>
      <c r="T79">
        <v>1111</v>
      </c>
      <c r="U79">
        <v>-0.71</v>
      </c>
      <c r="V79">
        <v>5</v>
      </c>
      <c r="W79">
        <v>8.42</v>
      </c>
      <c r="X79">
        <v>637496153</v>
      </c>
    </row>
    <row r="80" spans="1:24" x14ac:dyDescent="0.25">
      <c r="A80" t="s">
        <v>101</v>
      </c>
      <c r="B80">
        <v>79</v>
      </c>
      <c r="C80">
        <v>6.45</v>
      </c>
      <c r="D80">
        <v>0</v>
      </c>
      <c r="E80">
        <v>7666510</v>
      </c>
      <c r="F80">
        <v>49423442.399999999</v>
      </c>
      <c r="G80">
        <v>20846672835</v>
      </c>
      <c r="H80">
        <v>27.71</v>
      </c>
      <c r="I80">
        <v>0.48</v>
      </c>
      <c r="J80">
        <v>2.093442</v>
      </c>
      <c r="K80">
        <v>0.5</v>
      </c>
      <c r="L80">
        <v>0.14000000000000001</v>
      </c>
      <c r="M80">
        <v>2.80288</v>
      </c>
      <c r="N80">
        <v>1.705749</v>
      </c>
      <c r="O80">
        <v>9.7048780000000008</v>
      </c>
      <c r="P80">
        <v>7.75</v>
      </c>
      <c r="Q80" t="s">
        <v>22</v>
      </c>
      <c r="R80" t="s">
        <v>22</v>
      </c>
      <c r="S80">
        <v>892</v>
      </c>
      <c r="T80">
        <v>1005</v>
      </c>
      <c r="U80">
        <v>-2.25</v>
      </c>
      <c r="V80">
        <v>5</v>
      </c>
      <c r="W80">
        <v>13.49</v>
      </c>
      <c r="X80">
        <v>3232042300</v>
      </c>
    </row>
    <row r="81" spans="1:24" x14ac:dyDescent="0.25">
      <c r="A81" t="s">
        <v>102</v>
      </c>
      <c r="B81">
        <v>80</v>
      </c>
      <c r="C81">
        <v>14.6</v>
      </c>
      <c r="D81">
        <v>0</v>
      </c>
      <c r="E81">
        <v>3880524</v>
      </c>
      <c r="F81">
        <v>56665961</v>
      </c>
      <c r="G81">
        <v>59124480805.800003</v>
      </c>
      <c r="H81">
        <v>58719518608.5</v>
      </c>
      <c r="I81">
        <v>0.47</v>
      </c>
      <c r="J81">
        <v>1.8106739999999999</v>
      </c>
      <c r="K81">
        <v>0.27</v>
      </c>
      <c r="L81">
        <v>0.27</v>
      </c>
      <c r="M81">
        <v>3.8610929999999999</v>
      </c>
      <c r="N81">
        <v>-8.9160000000000003E-2</v>
      </c>
      <c r="O81">
        <v>4.6436960000000003</v>
      </c>
      <c r="P81">
        <v>0.47</v>
      </c>
      <c r="Q81" t="s">
        <v>22</v>
      </c>
      <c r="R81" t="s">
        <v>22</v>
      </c>
      <c r="U81">
        <v>0.88</v>
      </c>
      <c r="V81">
        <v>5</v>
      </c>
      <c r="W81">
        <v>30.85</v>
      </c>
      <c r="X81">
        <v>4049621973</v>
      </c>
    </row>
    <row r="82" spans="1:24" x14ac:dyDescent="0.25">
      <c r="A82" t="s">
        <v>894</v>
      </c>
      <c r="B82">
        <v>81</v>
      </c>
      <c r="C82">
        <v>0</v>
      </c>
      <c r="D82">
        <v>0</v>
      </c>
      <c r="E82">
        <v>0</v>
      </c>
      <c r="F82">
        <v>0</v>
      </c>
      <c r="G82">
        <v>0</v>
      </c>
      <c r="L82">
        <v>0</v>
      </c>
      <c r="Q82" t="s">
        <v>22</v>
      </c>
      <c r="R82" t="s">
        <v>22</v>
      </c>
      <c r="V82">
        <v>5</v>
      </c>
    </row>
    <row r="83" spans="1:24" x14ac:dyDescent="0.25">
      <c r="A83" t="s">
        <v>103</v>
      </c>
      <c r="B83">
        <v>82</v>
      </c>
      <c r="C83">
        <v>40.75</v>
      </c>
      <c r="D83">
        <v>0</v>
      </c>
      <c r="E83">
        <v>1467297</v>
      </c>
      <c r="F83">
        <v>59702710.75</v>
      </c>
      <c r="G83">
        <v>299747292249.75</v>
      </c>
      <c r="H83">
        <v>9.1300000000000008</v>
      </c>
      <c r="I83">
        <v>0.71</v>
      </c>
      <c r="J83">
        <v>4.7669300000000003</v>
      </c>
      <c r="K83">
        <v>0.9</v>
      </c>
      <c r="L83">
        <v>2.2999999999999998</v>
      </c>
      <c r="M83">
        <v>2.9947119999999998</v>
      </c>
      <c r="N83">
        <v>7.9349290000000003</v>
      </c>
      <c r="O83">
        <v>18.638093999999999</v>
      </c>
      <c r="P83">
        <v>3.19</v>
      </c>
      <c r="Q83" t="s">
        <v>22</v>
      </c>
      <c r="R83" t="s">
        <v>22</v>
      </c>
      <c r="S83">
        <v>555</v>
      </c>
      <c r="T83">
        <v>857</v>
      </c>
      <c r="U83">
        <v>-7.53</v>
      </c>
      <c r="V83">
        <v>5</v>
      </c>
      <c r="W83">
        <v>57.56</v>
      </c>
      <c r="X83">
        <v>7355761773</v>
      </c>
    </row>
    <row r="84" spans="1:24" x14ac:dyDescent="0.25">
      <c r="A84" t="s">
        <v>104</v>
      </c>
      <c r="B84">
        <v>83</v>
      </c>
      <c r="C84">
        <v>6.1</v>
      </c>
      <c r="D84">
        <v>0</v>
      </c>
      <c r="E84">
        <v>618127</v>
      </c>
      <c r="F84">
        <v>3764844.2</v>
      </c>
      <c r="G84">
        <v>8820600000</v>
      </c>
      <c r="H84">
        <v>9.35</v>
      </c>
      <c r="I84">
        <v>0.89</v>
      </c>
      <c r="J84">
        <v>0.37762600000000002</v>
      </c>
      <c r="K84">
        <v>0.15</v>
      </c>
      <c r="L84">
        <v>0.52</v>
      </c>
      <c r="M84">
        <v>7.9484640000000004</v>
      </c>
      <c r="N84">
        <v>9.9442199999999996</v>
      </c>
      <c r="O84">
        <v>6.5965610000000003</v>
      </c>
      <c r="P84">
        <v>2.46</v>
      </c>
      <c r="Q84" t="s">
        <v>22</v>
      </c>
      <c r="R84" t="s">
        <v>22</v>
      </c>
      <c r="S84">
        <v>470</v>
      </c>
      <c r="T84">
        <v>435</v>
      </c>
      <c r="U84">
        <v>0.02</v>
      </c>
      <c r="V84">
        <v>5</v>
      </c>
      <c r="W84">
        <v>6.82</v>
      </c>
      <c r="X84">
        <v>1446000000</v>
      </c>
    </row>
    <row r="85" spans="1:24" x14ac:dyDescent="0.25">
      <c r="A85" t="s">
        <v>105</v>
      </c>
      <c r="B85">
        <v>84</v>
      </c>
      <c r="C85">
        <v>20.8</v>
      </c>
      <c r="D85">
        <v>-1.42</v>
      </c>
      <c r="E85">
        <v>1465590</v>
      </c>
      <c r="F85">
        <v>30696219</v>
      </c>
      <c r="G85">
        <v>4160321859.1999998</v>
      </c>
      <c r="H85">
        <v>11.65</v>
      </c>
      <c r="I85">
        <v>1.89</v>
      </c>
      <c r="J85">
        <v>0.19893</v>
      </c>
      <c r="K85">
        <v>0.48</v>
      </c>
      <c r="L85">
        <v>0.81</v>
      </c>
      <c r="M85">
        <v>15.713055000000001</v>
      </c>
      <c r="N85">
        <v>17.189388999999998</v>
      </c>
      <c r="O85">
        <v>21.590502000000001</v>
      </c>
      <c r="P85">
        <v>2.31</v>
      </c>
      <c r="Q85" t="s">
        <v>22</v>
      </c>
      <c r="R85" t="s">
        <v>22</v>
      </c>
      <c r="S85">
        <v>451</v>
      </c>
      <c r="T85">
        <v>396</v>
      </c>
      <c r="U85">
        <v>0.2</v>
      </c>
      <c r="V85">
        <v>4</v>
      </c>
      <c r="W85">
        <v>11.01</v>
      </c>
      <c r="X85">
        <v>200015474</v>
      </c>
    </row>
    <row r="86" spans="1:24" x14ac:dyDescent="0.25">
      <c r="A86" t="s">
        <v>106</v>
      </c>
      <c r="B86">
        <v>85</v>
      </c>
      <c r="C86">
        <v>190.5</v>
      </c>
      <c r="D86">
        <v>-1.04</v>
      </c>
      <c r="E86">
        <v>12189195</v>
      </c>
      <c r="F86">
        <v>2331855585</v>
      </c>
      <c r="G86">
        <v>363634571307</v>
      </c>
      <c r="H86">
        <v>8.19</v>
      </c>
      <c r="I86">
        <v>0.63</v>
      </c>
      <c r="J86">
        <v>7.0533000000000001</v>
      </c>
      <c r="K86">
        <v>8</v>
      </c>
      <c r="L86">
        <v>10.74</v>
      </c>
      <c r="M86">
        <v>2.4542359999999999</v>
      </c>
      <c r="N86">
        <v>7.2950340000000002</v>
      </c>
      <c r="O86">
        <v>18.605720000000002</v>
      </c>
      <c r="P86">
        <v>5.25</v>
      </c>
      <c r="Q86" t="s">
        <v>22</v>
      </c>
      <c r="R86" t="s">
        <v>22</v>
      </c>
      <c r="S86">
        <v>523</v>
      </c>
      <c r="T86">
        <v>837</v>
      </c>
      <c r="U86">
        <v>0.52</v>
      </c>
      <c r="V86">
        <v>5</v>
      </c>
      <c r="W86">
        <v>302.76</v>
      </c>
      <c r="X86">
        <v>1908842894</v>
      </c>
    </row>
    <row r="87" spans="1:24" x14ac:dyDescent="0.25">
      <c r="A87" t="s">
        <v>107</v>
      </c>
      <c r="B87">
        <v>86</v>
      </c>
      <c r="C87">
        <v>0.48</v>
      </c>
      <c r="D87">
        <v>-4</v>
      </c>
      <c r="E87">
        <v>244502</v>
      </c>
      <c r="F87">
        <v>118812.02</v>
      </c>
      <c r="G87">
        <v>279174402.24000001</v>
      </c>
      <c r="H87">
        <v>296622802.38</v>
      </c>
      <c r="I87">
        <v>0.49</v>
      </c>
      <c r="J87">
        <v>2.9315120000000001</v>
      </c>
      <c r="K87">
        <v>5.1999999999999998E-2</v>
      </c>
      <c r="L87">
        <v>-0.11</v>
      </c>
      <c r="M87">
        <v>-2.7834819999999998</v>
      </c>
      <c r="N87">
        <v>-22.874766000000001</v>
      </c>
      <c r="O87">
        <v>-38.089691999999999</v>
      </c>
      <c r="P87">
        <v>0.52</v>
      </c>
      <c r="Q87" t="s">
        <v>22</v>
      </c>
      <c r="R87" t="s">
        <v>22</v>
      </c>
      <c r="V87">
        <v>4</v>
      </c>
      <c r="W87">
        <v>0.97</v>
      </c>
      <c r="X87">
        <v>581613338</v>
      </c>
    </row>
    <row r="88" spans="1:24" x14ac:dyDescent="0.25">
      <c r="A88" t="s">
        <v>108</v>
      </c>
      <c r="B88">
        <v>87</v>
      </c>
      <c r="C88">
        <v>11.1</v>
      </c>
      <c r="D88">
        <v>-2.63</v>
      </c>
      <c r="E88">
        <v>6066301</v>
      </c>
      <c r="F88">
        <v>67325877.900000006</v>
      </c>
      <c r="G88">
        <v>27680602622.400002</v>
      </c>
      <c r="H88">
        <v>22.74</v>
      </c>
      <c r="I88">
        <v>2.12</v>
      </c>
      <c r="J88">
        <v>0.23822099999999999</v>
      </c>
      <c r="K88">
        <v>0.35</v>
      </c>
      <c r="L88">
        <v>0.24</v>
      </c>
      <c r="M88">
        <v>9.9675639999999994</v>
      </c>
      <c r="N88">
        <v>9.3533500000000007</v>
      </c>
      <c r="O88">
        <v>11.032413999999999</v>
      </c>
      <c r="P88">
        <v>4.05</v>
      </c>
      <c r="Q88" t="s">
        <v>22</v>
      </c>
      <c r="R88" t="s">
        <v>22</v>
      </c>
      <c r="S88">
        <v>865</v>
      </c>
      <c r="T88">
        <v>727</v>
      </c>
      <c r="U88">
        <v>-0.75</v>
      </c>
      <c r="V88">
        <v>5</v>
      </c>
      <c r="W88">
        <v>5.24</v>
      </c>
      <c r="X88">
        <v>2493747984</v>
      </c>
    </row>
    <row r="89" spans="1:24" x14ac:dyDescent="0.25">
      <c r="A89" t="s">
        <v>109</v>
      </c>
      <c r="B89">
        <v>88</v>
      </c>
      <c r="C89">
        <v>54</v>
      </c>
      <c r="D89">
        <v>-1.37</v>
      </c>
      <c r="E89">
        <v>20305549</v>
      </c>
      <c r="F89">
        <v>1094032498.5</v>
      </c>
      <c r="G89">
        <v>79522594938</v>
      </c>
      <c r="H89">
        <v>3.64</v>
      </c>
      <c r="I89">
        <v>0.95</v>
      </c>
      <c r="J89">
        <v>2.6523530000000002</v>
      </c>
      <c r="K89">
        <v>1.05</v>
      </c>
      <c r="L89">
        <v>12.51</v>
      </c>
      <c r="M89">
        <v>11.738598</v>
      </c>
      <c r="N89">
        <v>30.936361999999999</v>
      </c>
      <c r="O89">
        <v>6.2021230000000003</v>
      </c>
      <c r="P89">
        <v>1.96</v>
      </c>
      <c r="Q89" t="s">
        <v>22</v>
      </c>
      <c r="R89" t="s">
        <v>22</v>
      </c>
      <c r="S89">
        <v>46</v>
      </c>
      <c r="T89">
        <v>143</v>
      </c>
      <c r="U89">
        <v>0.71</v>
      </c>
      <c r="V89">
        <v>4</v>
      </c>
      <c r="W89">
        <v>56.97</v>
      </c>
      <c r="X89">
        <v>1472640647</v>
      </c>
    </row>
    <row r="90" spans="1:24" x14ac:dyDescent="0.25">
      <c r="A90" t="s">
        <v>110</v>
      </c>
      <c r="B90">
        <v>89</v>
      </c>
      <c r="C90">
        <v>7.15</v>
      </c>
      <c r="D90">
        <v>-1.38</v>
      </c>
      <c r="E90">
        <v>5254670</v>
      </c>
      <c r="F90">
        <v>37742064.75</v>
      </c>
      <c r="G90">
        <v>21419679273.849998</v>
      </c>
      <c r="H90">
        <v>9.6</v>
      </c>
      <c r="I90">
        <v>0.74</v>
      </c>
      <c r="J90">
        <v>0.90380000000000005</v>
      </c>
      <c r="K90">
        <v>0.25</v>
      </c>
      <c r="L90">
        <v>0.28999999999999998</v>
      </c>
      <c r="M90">
        <v>7.0987580000000001</v>
      </c>
      <c r="N90">
        <v>7.8114619999999997</v>
      </c>
      <c r="O90">
        <v>43.899298000000002</v>
      </c>
      <c r="P90">
        <v>4.9000000000000004</v>
      </c>
      <c r="Q90" t="s">
        <v>22</v>
      </c>
      <c r="R90" t="s">
        <v>22</v>
      </c>
      <c r="S90">
        <v>585</v>
      </c>
      <c r="T90">
        <v>510</v>
      </c>
      <c r="U90">
        <v>-2.4700000000000002</v>
      </c>
      <c r="V90">
        <v>5</v>
      </c>
      <c r="W90">
        <v>9.67</v>
      </c>
      <c r="X90">
        <v>2995759339</v>
      </c>
    </row>
    <row r="91" spans="1:24" x14ac:dyDescent="0.25">
      <c r="A91" t="s">
        <v>111</v>
      </c>
      <c r="B91">
        <v>90</v>
      </c>
      <c r="C91">
        <v>50</v>
      </c>
      <c r="D91">
        <v>0.5</v>
      </c>
      <c r="E91">
        <v>1600</v>
      </c>
      <c r="F91">
        <v>79375</v>
      </c>
      <c r="G91">
        <v>14925000000</v>
      </c>
      <c r="H91">
        <v>6.52</v>
      </c>
      <c r="I91">
        <v>0.41</v>
      </c>
      <c r="J91">
        <v>0.119757</v>
      </c>
      <c r="K91">
        <v>1</v>
      </c>
      <c r="L91">
        <v>2.0099999999999998</v>
      </c>
      <c r="M91">
        <v>6.92265</v>
      </c>
      <c r="N91">
        <v>6.5073850000000002</v>
      </c>
      <c r="O91">
        <v>23.117556</v>
      </c>
      <c r="P91">
        <v>2.0099999999999998</v>
      </c>
      <c r="Q91" t="s">
        <v>22</v>
      </c>
      <c r="R91" t="s">
        <v>22</v>
      </c>
      <c r="S91">
        <v>639</v>
      </c>
      <c r="T91">
        <v>529</v>
      </c>
      <c r="U91">
        <v>0.12</v>
      </c>
      <c r="W91">
        <v>121.55</v>
      </c>
      <c r="X91">
        <v>300000000</v>
      </c>
    </row>
    <row r="92" spans="1:24" x14ac:dyDescent="0.25">
      <c r="A92" t="s">
        <v>112</v>
      </c>
      <c r="B92">
        <v>91</v>
      </c>
      <c r="C92">
        <v>19.600000000000001</v>
      </c>
      <c r="D92">
        <v>-0.51</v>
      </c>
      <c r="E92">
        <v>57560739</v>
      </c>
      <c r="F92">
        <v>1133571956.7</v>
      </c>
      <c r="G92">
        <v>311483237142</v>
      </c>
      <c r="H92">
        <v>20.329999999999998</v>
      </c>
      <c r="I92">
        <v>3.02</v>
      </c>
      <c r="J92">
        <v>0.46912500000000001</v>
      </c>
      <c r="K92">
        <v>0.65</v>
      </c>
      <c r="L92">
        <v>0.46</v>
      </c>
      <c r="M92">
        <v>12.770004999999999</v>
      </c>
      <c r="N92">
        <v>14.959514</v>
      </c>
      <c r="O92">
        <v>13.460514</v>
      </c>
      <c r="P92">
        <v>5.0999999999999996</v>
      </c>
      <c r="Q92" t="s">
        <v>22</v>
      </c>
      <c r="R92" t="s">
        <v>22</v>
      </c>
      <c r="S92">
        <v>703</v>
      </c>
      <c r="T92">
        <v>657</v>
      </c>
      <c r="U92">
        <v>0.97</v>
      </c>
      <c r="V92">
        <v>5</v>
      </c>
      <c r="W92">
        <v>6.5</v>
      </c>
      <c r="X92">
        <v>15892001895</v>
      </c>
    </row>
    <row r="93" spans="1:24" x14ac:dyDescent="0.25">
      <c r="A93" t="s">
        <v>113</v>
      </c>
      <c r="B93">
        <v>92</v>
      </c>
      <c r="C93">
        <v>5.6</v>
      </c>
      <c r="D93">
        <v>0.9</v>
      </c>
      <c r="E93">
        <v>133786</v>
      </c>
      <c r="F93">
        <v>748897.85</v>
      </c>
      <c r="G93">
        <v>1482371144.8</v>
      </c>
      <c r="H93">
        <v>1548548428.05</v>
      </c>
      <c r="I93">
        <v>0.54</v>
      </c>
      <c r="J93">
        <v>0.39227899999999999</v>
      </c>
      <c r="K93">
        <v>0.04</v>
      </c>
      <c r="L93">
        <v>-0.37</v>
      </c>
      <c r="M93">
        <v>-0.76027400000000001</v>
      </c>
      <c r="N93">
        <v>-2.4189059999999998</v>
      </c>
      <c r="O93">
        <v>-8.1191329999999997</v>
      </c>
      <c r="P93">
        <v>0.71</v>
      </c>
      <c r="Q93" t="s">
        <v>22</v>
      </c>
      <c r="R93" t="s">
        <v>22</v>
      </c>
      <c r="V93">
        <v>4</v>
      </c>
      <c r="W93">
        <v>10.37</v>
      </c>
      <c r="X93">
        <v>264709133</v>
      </c>
    </row>
    <row r="94" spans="1:24" x14ac:dyDescent="0.25">
      <c r="A94" t="s">
        <v>114</v>
      </c>
      <c r="B94">
        <v>93</v>
      </c>
      <c r="C94">
        <v>0.35</v>
      </c>
      <c r="D94">
        <v>0</v>
      </c>
      <c r="E94">
        <v>895600</v>
      </c>
      <c r="F94">
        <v>308192</v>
      </c>
      <c r="G94">
        <v>1047967737.25</v>
      </c>
      <c r="H94">
        <v>1047967737.25</v>
      </c>
      <c r="I94">
        <v>2.29</v>
      </c>
      <c r="J94">
        <v>0.24046899999999999</v>
      </c>
      <c r="K94">
        <v>-0.01</v>
      </c>
      <c r="L94">
        <v>-0.01</v>
      </c>
      <c r="M94">
        <v>-6.9846440000000003</v>
      </c>
      <c r="N94">
        <v>-9.0622050000000005</v>
      </c>
      <c r="O94">
        <v>-26.779038</v>
      </c>
      <c r="P94">
        <v>2.29</v>
      </c>
      <c r="Q94" t="s">
        <v>22</v>
      </c>
      <c r="R94" t="s">
        <v>22</v>
      </c>
      <c r="W94">
        <v>0.15</v>
      </c>
      <c r="X94">
        <v>2994193535</v>
      </c>
    </row>
    <row r="95" spans="1:24" x14ac:dyDescent="0.25">
      <c r="A95" t="s">
        <v>115</v>
      </c>
      <c r="B95">
        <v>94</v>
      </c>
      <c r="C95">
        <v>2</v>
      </c>
      <c r="D95">
        <v>-0.99</v>
      </c>
      <c r="E95">
        <v>365244</v>
      </c>
      <c r="F95">
        <v>727467.42</v>
      </c>
      <c r="G95">
        <v>4000000000</v>
      </c>
      <c r="H95">
        <v>25.33</v>
      </c>
      <c r="I95">
        <v>0.66</v>
      </c>
      <c r="J95">
        <v>0.32271899999999998</v>
      </c>
      <c r="K95">
        <v>0.04</v>
      </c>
      <c r="L95">
        <v>0.01</v>
      </c>
      <c r="M95">
        <v>3.8959999999999999</v>
      </c>
      <c r="N95">
        <v>2.61252</v>
      </c>
      <c r="O95">
        <v>0.92669299999999999</v>
      </c>
      <c r="P95">
        <v>5</v>
      </c>
      <c r="Q95" t="s">
        <v>22</v>
      </c>
      <c r="R95" t="s">
        <v>22</v>
      </c>
      <c r="S95">
        <v>1151</v>
      </c>
      <c r="T95">
        <v>1070</v>
      </c>
      <c r="U95">
        <v>-3.32</v>
      </c>
      <c r="V95">
        <v>5</v>
      </c>
      <c r="W95">
        <v>3.02</v>
      </c>
      <c r="X95">
        <v>2000000000</v>
      </c>
    </row>
    <row r="96" spans="1:24" x14ac:dyDescent="0.25">
      <c r="A96" t="s">
        <v>116</v>
      </c>
      <c r="B96">
        <v>95</v>
      </c>
      <c r="C96">
        <v>7.05</v>
      </c>
      <c r="D96">
        <v>-0.7</v>
      </c>
      <c r="E96">
        <v>16367172</v>
      </c>
      <c r="F96">
        <v>115474404.3</v>
      </c>
      <c r="G96">
        <v>107759250000</v>
      </c>
      <c r="H96">
        <v>27.76</v>
      </c>
      <c r="I96">
        <v>2.84</v>
      </c>
      <c r="J96">
        <v>3.6947130000000001</v>
      </c>
      <c r="K96">
        <v>0.15</v>
      </c>
      <c r="L96">
        <v>0.13</v>
      </c>
      <c r="M96">
        <v>4.2931140000000001</v>
      </c>
      <c r="N96">
        <v>10.580429000000001</v>
      </c>
      <c r="O96">
        <v>21.852616999999999</v>
      </c>
      <c r="P96">
        <v>2.13</v>
      </c>
      <c r="Q96" t="s">
        <v>22</v>
      </c>
      <c r="R96" t="s">
        <v>22</v>
      </c>
      <c r="S96">
        <v>887</v>
      </c>
      <c r="T96">
        <v>1086</v>
      </c>
      <c r="U96">
        <v>0.59</v>
      </c>
      <c r="V96">
        <v>5</v>
      </c>
      <c r="W96">
        <v>2.48</v>
      </c>
      <c r="X96">
        <v>15285000000</v>
      </c>
    </row>
    <row r="97" spans="1:24" x14ac:dyDescent="0.25">
      <c r="A97" t="s">
        <v>117</v>
      </c>
      <c r="B97">
        <v>96</v>
      </c>
      <c r="C97">
        <v>8.1</v>
      </c>
      <c r="D97">
        <v>0.62</v>
      </c>
      <c r="E97">
        <v>3900</v>
      </c>
      <c r="F97">
        <v>31250</v>
      </c>
      <c r="G97">
        <v>2349556713</v>
      </c>
      <c r="H97">
        <v>22.87</v>
      </c>
      <c r="I97">
        <v>0.35</v>
      </c>
      <c r="J97">
        <v>0.944102</v>
      </c>
      <c r="K97">
        <v>0.23</v>
      </c>
      <c r="L97">
        <v>0.23</v>
      </c>
      <c r="M97">
        <v>3.8191130000000002</v>
      </c>
      <c r="N97">
        <v>1.5627759999999999</v>
      </c>
      <c r="O97">
        <v>3.4603820000000001</v>
      </c>
      <c r="P97">
        <v>0.35</v>
      </c>
      <c r="Q97" t="s">
        <v>22</v>
      </c>
      <c r="R97" t="s">
        <v>22</v>
      </c>
      <c r="S97">
        <v>1306</v>
      </c>
      <c r="T97">
        <v>1178</v>
      </c>
      <c r="U97">
        <v>-0.32</v>
      </c>
      <c r="V97">
        <v>5</v>
      </c>
      <c r="W97">
        <v>23.02</v>
      </c>
      <c r="X97">
        <v>290068730</v>
      </c>
    </row>
    <row r="98" spans="1:24" x14ac:dyDescent="0.25">
      <c r="A98" t="s">
        <v>118</v>
      </c>
      <c r="B98">
        <v>97</v>
      </c>
      <c r="C98">
        <v>6.9</v>
      </c>
      <c r="D98">
        <v>-0.72</v>
      </c>
      <c r="E98">
        <v>5500</v>
      </c>
      <c r="F98">
        <v>38470</v>
      </c>
      <c r="G98">
        <v>4791663600</v>
      </c>
      <c r="H98">
        <v>78.760000000000005</v>
      </c>
      <c r="I98">
        <v>0.87</v>
      </c>
      <c r="J98">
        <v>1.809501</v>
      </c>
      <c r="K98">
        <v>0.04</v>
      </c>
      <c r="L98">
        <v>0.17</v>
      </c>
      <c r="M98">
        <v>0.98563400000000001</v>
      </c>
      <c r="N98">
        <v>1.100095</v>
      </c>
      <c r="O98">
        <v>1.774575</v>
      </c>
      <c r="P98">
        <v>2.21</v>
      </c>
      <c r="Q98" t="s">
        <v>22</v>
      </c>
      <c r="R98" t="s">
        <v>22</v>
      </c>
      <c r="S98">
        <v>1319</v>
      </c>
      <c r="T98">
        <v>1348</v>
      </c>
      <c r="U98">
        <v>-2.37</v>
      </c>
      <c r="V98">
        <v>5</v>
      </c>
      <c r="W98">
        <v>7.92</v>
      </c>
      <c r="X98">
        <v>694444000</v>
      </c>
    </row>
    <row r="99" spans="1:24" x14ac:dyDescent="0.25">
      <c r="A99" t="s">
        <v>119</v>
      </c>
      <c r="B99">
        <v>98</v>
      </c>
      <c r="C99">
        <v>20.8</v>
      </c>
      <c r="D99">
        <v>-0.95</v>
      </c>
      <c r="E99">
        <v>35736853</v>
      </c>
      <c r="F99">
        <v>750405245.5</v>
      </c>
      <c r="G99">
        <v>54223520000</v>
      </c>
      <c r="H99">
        <v>22.48</v>
      </c>
      <c r="I99">
        <v>1.56</v>
      </c>
      <c r="J99">
        <v>2.9273280000000002</v>
      </c>
      <c r="K99">
        <v>0.18</v>
      </c>
      <c r="L99">
        <v>0.36</v>
      </c>
      <c r="M99">
        <v>5.3231630000000001</v>
      </c>
      <c r="N99">
        <v>6.9232899999999997</v>
      </c>
      <c r="O99">
        <v>7.4011480000000001</v>
      </c>
      <c r="P99">
        <v>1.98</v>
      </c>
      <c r="Q99" t="s">
        <v>22</v>
      </c>
      <c r="R99" t="s">
        <v>22</v>
      </c>
      <c r="S99">
        <v>1110</v>
      </c>
      <c r="T99">
        <v>1044</v>
      </c>
      <c r="U99">
        <v>-0.25</v>
      </c>
      <c r="V99">
        <v>5</v>
      </c>
      <c r="W99">
        <v>13.35</v>
      </c>
      <c r="X99">
        <v>2606900000</v>
      </c>
    </row>
    <row r="100" spans="1:24" x14ac:dyDescent="0.25">
      <c r="A100" t="s">
        <v>120</v>
      </c>
      <c r="B100">
        <v>99</v>
      </c>
      <c r="C100">
        <v>0.38</v>
      </c>
      <c r="D100">
        <v>2.7</v>
      </c>
      <c r="E100">
        <v>358400</v>
      </c>
      <c r="F100">
        <v>137793</v>
      </c>
      <c r="G100">
        <v>138137563.52000001</v>
      </c>
      <c r="H100">
        <v>134502364.47999999</v>
      </c>
      <c r="I100">
        <v>0.45</v>
      </c>
      <c r="J100">
        <v>1.0015179999999999</v>
      </c>
      <c r="K100">
        <v>-0.04</v>
      </c>
      <c r="L100">
        <v>-0.04</v>
      </c>
      <c r="M100">
        <v>0.45816899999999999</v>
      </c>
      <c r="N100">
        <v>-4.027393</v>
      </c>
      <c r="O100">
        <v>-5.1970970000000003</v>
      </c>
      <c r="P100">
        <v>0.44</v>
      </c>
      <c r="Q100" t="s">
        <v>22</v>
      </c>
      <c r="R100" t="s">
        <v>22</v>
      </c>
      <c r="W100">
        <v>0.84</v>
      </c>
      <c r="X100">
        <v>363519904</v>
      </c>
    </row>
    <row r="101" spans="1:24" x14ac:dyDescent="0.25">
      <c r="A101" t="s">
        <v>121</v>
      </c>
      <c r="B101">
        <v>100</v>
      </c>
      <c r="C101">
        <v>200</v>
      </c>
      <c r="D101">
        <v>-2.44</v>
      </c>
      <c r="E101">
        <v>3513306</v>
      </c>
      <c r="F101">
        <v>708178333</v>
      </c>
      <c r="G101">
        <v>158993318400</v>
      </c>
      <c r="H101">
        <v>20.94</v>
      </c>
      <c r="I101">
        <v>5.81</v>
      </c>
      <c r="J101">
        <v>0.19656000000000001</v>
      </c>
      <c r="K101">
        <v>9</v>
      </c>
      <c r="L101">
        <v>4.63</v>
      </c>
      <c r="M101">
        <v>28.150777000000001</v>
      </c>
      <c r="N101">
        <v>27.127690999999999</v>
      </c>
      <c r="O101">
        <v>29.372385999999999</v>
      </c>
      <c r="P101">
        <v>5.5</v>
      </c>
      <c r="Q101" t="s">
        <v>22</v>
      </c>
      <c r="R101" t="s">
        <v>22</v>
      </c>
      <c r="S101">
        <v>594</v>
      </c>
      <c r="T101">
        <v>552</v>
      </c>
      <c r="U101">
        <v>0.22</v>
      </c>
      <c r="V101">
        <v>5</v>
      </c>
      <c r="W101">
        <v>34.4</v>
      </c>
      <c r="X101">
        <v>794966592</v>
      </c>
    </row>
    <row r="102" spans="1:24" x14ac:dyDescent="0.25">
      <c r="A102" t="s">
        <v>122</v>
      </c>
      <c r="B102">
        <v>101</v>
      </c>
      <c r="C102">
        <v>0.33</v>
      </c>
      <c r="D102">
        <v>-2.94</v>
      </c>
      <c r="E102">
        <v>659700</v>
      </c>
      <c r="F102">
        <v>217668</v>
      </c>
      <c r="G102">
        <v>1164530004</v>
      </c>
      <c r="H102">
        <v>12.17</v>
      </c>
      <c r="I102">
        <v>0.63</v>
      </c>
      <c r="J102">
        <v>0.52049100000000004</v>
      </c>
      <c r="K102">
        <v>0.01</v>
      </c>
      <c r="L102">
        <v>0.01</v>
      </c>
      <c r="M102">
        <v>4.7196800000000003</v>
      </c>
      <c r="N102">
        <v>5.2747999999999999</v>
      </c>
      <c r="O102">
        <v>2.4811869999999998</v>
      </c>
      <c r="P102">
        <v>3.03</v>
      </c>
      <c r="Q102" t="s">
        <v>22</v>
      </c>
      <c r="R102" t="s">
        <v>22</v>
      </c>
      <c r="S102">
        <v>874</v>
      </c>
      <c r="T102">
        <v>838</v>
      </c>
      <c r="U102">
        <v>-0.27</v>
      </c>
      <c r="V102">
        <v>4</v>
      </c>
      <c r="W102">
        <v>0.52</v>
      </c>
      <c r="X102">
        <v>3528878800</v>
      </c>
    </row>
    <row r="103" spans="1:24" x14ac:dyDescent="0.25">
      <c r="A103" t="s">
        <v>123</v>
      </c>
      <c r="B103">
        <v>102</v>
      </c>
      <c r="C103">
        <v>0.28000000000000003</v>
      </c>
      <c r="D103">
        <v>0</v>
      </c>
      <c r="E103">
        <v>3382600</v>
      </c>
      <c r="F103">
        <v>946967</v>
      </c>
      <c r="G103">
        <v>854941416.55999994</v>
      </c>
      <c r="H103">
        <v>4.6399999999999997</v>
      </c>
      <c r="I103">
        <v>0.7</v>
      </c>
      <c r="J103">
        <v>1.0825709999999999</v>
      </c>
      <c r="K103">
        <v>0.03</v>
      </c>
      <c r="L103">
        <v>0.03</v>
      </c>
      <c r="M103">
        <v>10.258782</v>
      </c>
      <c r="N103">
        <v>16.447216000000001</v>
      </c>
      <c r="O103">
        <v>3.8325719999999999</v>
      </c>
      <c r="P103">
        <v>0.68</v>
      </c>
      <c r="Q103" t="s">
        <v>22</v>
      </c>
      <c r="R103" t="s">
        <v>22</v>
      </c>
      <c r="S103">
        <v>668</v>
      </c>
      <c r="T103">
        <v>698</v>
      </c>
      <c r="U103">
        <v>-0.11</v>
      </c>
      <c r="V103">
        <v>3</v>
      </c>
      <c r="W103">
        <v>0.38</v>
      </c>
      <c r="X103">
        <v>3053362202</v>
      </c>
    </row>
    <row r="104" spans="1:24" x14ac:dyDescent="0.25">
      <c r="A104" t="s">
        <v>124</v>
      </c>
      <c r="B104">
        <v>103</v>
      </c>
      <c r="C104">
        <v>2.2000000000000002</v>
      </c>
      <c r="D104">
        <v>0</v>
      </c>
      <c r="E104">
        <v>67646</v>
      </c>
      <c r="F104">
        <v>147637.20000000001</v>
      </c>
      <c r="G104">
        <v>690800000</v>
      </c>
      <c r="H104">
        <v>20.350000000000001</v>
      </c>
      <c r="I104">
        <v>0.87</v>
      </c>
      <c r="J104">
        <v>0.52488299999999999</v>
      </c>
      <c r="K104">
        <v>0.23</v>
      </c>
      <c r="L104">
        <v>0.1</v>
      </c>
      <c r="M104">
        <v>3.8736929999999998</v>
      </c>
      <c r="N104">
        <v>4.2346640000000004</v>
      </c>
      <c r="O104">
        <v>3.0794830000000002</v>
      </c>
      <c r="P104">
        <v>5.45</v>
      </c>
      <c r="Q104" t="s">
        <v>22</v>
      </c>
      <c r="R104" t="s">
        <v>22</v>
      </c>
      <c r="S104">
        <v>1053</v>
      </c>
      <c r="T104">
        <v>1015</v>
      </c>
      <c r="U104">
        <v>-1.66</v>
      </c>
      <c r="V104">
        <v>3</v>
      </c>
      <c r="W104">
        <v>2.52</v>
      </c>
      <c r="X104">
        <v>314000000</v>
      </c>
    </row>
    <row r="105" spans="1:24" x14ac:dyDescent="0.25">
      <c r="A105" t="s">
        <v>125</v>
      </c>
      <c r="B105">
        <v>104</v>
      </c>
      <c r="C105">
        <v>5.95</v>
      </c>
      <c r="D105">
        <v>0.85</v>
      </c>
      <c r="E105">
        <v>199881</v>
      </c>
      <c r="F105">
        <v>1190122</v>
      </c>
      <c r="G105">
        <v>3574373184.5500002</v>
      </c>
      <c r="H105">
        <v>8.17</v>
      </c>
      <c r="I105">
        <v>4.13</v>
      </c>
      <c r="J105">
        <v>0.99148499999999995</v>
      </c>
      <c r="K105">
        <v>0.5</v>
      </c>
      <c r="L105">
        <v>0.31</v>
      </c>
      <c r="M105">
        <v>29.653904000000001</v>
      </c>
      <c r="N105">
        <v>55.020854999999997</v>
      </c>
      <c r="O105">
        <v>17.755099000000001</v>
      </c>
      <c r="P105">
        <v>8.4</v>
      </c>
      <c r="Q105" t="s">
        <v>22</v>
      </c>
      <c r="R105" t="s">
        <v>22</v>
      </c>
      <c r="S105">
        <v>169</v>
      </c>
      <c r="T105">
        <v>164</v>
      </c>
      <c r="U105">
        <v>1.1000000000000001</v>
      </c>
      <c r="V105">
        <v>5</v>
      </c>
      <c r="W105">
        <v>1.44</v>
      </c>
      <c r="X105">
        <v>600734989</v>
      </c>
    </row>
    <row r="106" spans="1:24" x14ac:dyDescent="0.25">
      <c r="A106" t="s">
        <v>126</v>
      </c>
      <c r="B106">
        <v>105</v>
      </c>
      <c r="C106">
        <v>16</v>
      </c>
      <c r="D106">
        <v>-0.62</v>
      </c>
      <c r="E106">
        <v>5705564</v>
      </c>
      <c r="F106">
        <v>91038232</v>
      </c>
      <c r="G106">
        <v>64124747184</v>
      </c>
      <c r="H106">
        <v>10.93</v>
      </c>
      <c r="I106">
        <v>0.55000000000000004</v>
      </c>
      <c r="J106">
        <v>1.863497</v>
      </c>
      <c r="K106">
        <v>0.17</v>
      </c>
      <c r="L106">
        <v>0.98</v>
      </c>
      <c r="M106">
        <v>4.2094300000000002</v>
      </c>
      <c r="N106">
        <v>4.9625950000000003</v>
      </c>
      <c r="O106">
        <v>4.9341249999999999</v>
      </c>
      <c r="P106">
        <v>3.19</v>
      </c>
      <c r="Q106" t="s">
        <v>22</v>
      </c>
      <c r="R106" t="s">
        <v>22</v>
      </c>
      <c r="S106">
        <v>1049</v>
      </c>
      <c r="T106">
        <v>1003</v>
      </c>
      <c r="U106">
        <v>3.28</v>
      </c>
      <c r="V106">
        <v>5</v>
      </c>
      <c r="W106">
        <v>29.25</v>
      </c>
      <c r="X106">
        <v>4007796699</v>
      </c>
    </row>
    <row r="107" spans="1:24" x14ac:dyDescent="0.25">
      <c r="A107" t="s">
        <v>127</v>
      </c>
      <c r="B107">
        <v>106</v>
      </c>
      <c r="C107">
        <v>3.56</v>
      </c>
      <c r="D107">
        <v>-1.1100000000000001</v>
      </c>
      <c r="E107">
        <v>8910</v>
      </c>
      <c r="F107">
        <v>31854</v>
      </c>
      <c r="G107">
        <v>1423724100</v>
      </c>
      <c r="H107">
        <v>278.39999999999998</v>
      </c>
      <c r="I107">
        <v>0.45</v>
      </c>
      <c r="J107">
        <v>8.9649000000000006E-2</v>
      </c>
      <c r="K107">
        <v>1.7100000000000001E-2</v>
      </c>
      <c r="L107">
        <v>0.18</v>
      </c>
      <c r="M107">
        <v>5.5981999999999997E-2</v>
      </c>
      <c r="N107">
        <v>0.16166</v>
      </c>
      <c r="O107">
        <v>13.409698000000001</v>
      </c>
      <c r="P107">
        <v>1.94</v>
      </c>
      <c r="Q107" t="s">
        <v>22</v>
      </c>
      <c r="R107" t="s">
        <v>22</v>
      </c>
      <c r="V107">
        <v>3</v>
      </c>
      <c r="W107">
        <v>7.88</v>
      </c>
      <c r="X107">
        <v>399922500</v>
      </c>
    </row>
    <row r="108" spans="1:24" x14ac:dyDescent="0.25">
      <c r="A108" t="s">
        <v>128</v>
      </c>
      <c r="B108">
        <v>107</v>
      </c>
      <c r="C108">
        <v>0.67</v>
      </c>
      <c r="D108">
        <v>-8.2200000000000006</v>
      </c>
      <c r="E108">
        <v>1614300</v>
      </c>
      <c r="F108">
        <v>1104380</v>
      </c>
      <c r="G108">
        <v>140700000</v>
      </c>
      <c r="H108">
        <v>174300000</v>
      </c>
      <c r="I108">
        <v>1</v>
      </c>
      <c r="J108">
        <v>0.51424099999999995</v>
      </c>
      <c r="K108">
        <v>0.06</v>
      </c>
      <c r="L108">
        <v>-0.19</v>
      </c>
      <c r="M108">
        <v>-23.131488000000001</v>
      </c>
      <c r="N108">
        <v>-36.600267000000002</v>
      </c>
      <c r="O108">
        <v>-12.103</v>
      </c>
      <c r="P108">
        <v>8.9600000000000009</v>
      </c>
      <c r="Q108" t="s">
        <v>22</v>
      </c>
      <c r="R108" t="s">
        <v>22</v>
      </c>
      <c r="W108">
        <v>0.67</v>
      </c>
      <c r="X108">
        <v>210000000</v>
      </c>
    </row>
    <row r="109" spans="1:24" x14ac:dyDescent="0.25">
      <c r="A109" t="s">
        <v>129</v>
      </c>
      <c r="B109">
        <v>108</v>
      </c>
      <c r="C109">
        <v>1.1399999999999999</v>
      </c>
      <c r="D109">
        <v>0</v>
      </c>
      <c r="E109">
        <v>48710</v>
      </c>
      <c r="F109">
        <v>55570.400000000001</v>
      </c>
      <c r="G109">
        <v>1226880120.48</v>
      </c>
      <c r="H109">
        <v>9.84</v>
      </c>
      <c r="I109">
        <v>0.8</v>
      </c>
      <c r="J109">
        <v>0.213922</v>
      </c>
      <c r="K109">
        <v>0.1</v>
      </c>
      <c r="L109">
        <v>0.04</v>
      </c>
      <c r="M109">
        <v>8.3986490000000007</v>
      </c>
      <c r="N109">
        <v>8.1591199999999997</v>
      </c>
      <c r="O109">
        <v>16.386849000000002</v>
      </c>
      <c r="P109">
        <v>8.77</v>
      </c>
      <c r="Q109" t="s">
        <v>22</v>
      </c>
      <c r="R109" t="s">
        <v>22</v>
      </c>
      <c r="S109">
        <v>606</v>
      </c>
      <c r="T109">
        <v>498</v>
      </c>
      <c r="U109">
        <v>0.05</v>
      </c>
      <c r="W109">
        <v>1.43</v>
      </c>
      <c r="X109">
        <v>1076210632</v>
      </c>
    </row>
    <row r="110" spans="1:24" x14ac:dyDescent="0.25">
      <c r="A110" t="s">
        <v>130</v>
      </c>
      <c r="B110">
        <v>109</v>
      </c>
      <c r="C110">
        <v>2.3199999999999998</v>
      </c>
      <c r="D110">
        <v>0</v>
      </c>
      <c r="E110">
        <v>855359</v>
      </c>
      <c r="F110">
        <v>1975086.17</v>
      </c>
      <c r="G110">
        <v>1392000000</v>
      </c>
      <c r="H110">
        <v>14.64</v>
      </c>
      <c r="I110">
        <v>2.39</v>
      </c>
      <c r="J110">
        <v>0.26491799999999999</v>
      </c>
      <c r="K110">
        <v>0.05</v>
      </c>
      <c r="L110">
        <v>0.1</v>
      </c>
      <c r="M110">
        <v>15.761823</v>
      </c>
      <c r="N110">
        <v>17.233694</v>
      </c>
      <c r="O110">
        <v>20.054041999999999</v>
      </c>
      <c r="P110">
        <v>2.16</v>
      </c>
      <c r="Q110" t="s">
        <v>22</v>
      </c>
      <c r="R110" t="s">
        <v>22</v>
      </c>
      <c r="S110">
        <v>736</v>
      </c>
      <c r="T110">
        <v>661</v>
      </c>
      <c r="U110">
        <v>0.8</v>
      </c>
      <c r="W110">
        <v>0.97</v>
      </c>
      <c r="X110">
        <v>600000000</v>
      </c>
    </row>
    <row r="111" spans="1:24" x14ac:dyDescent="0.25">
      <c r="A111" t="s">
        <v>131</v>
      </c>
      <c r="B111">
        <v>110</v>
      </c>
      <c r="C111">
        <v>390</v>
      </c>
      <c r="D111">
        <v>0.26</v>
      </c>
      <c r="E111">
        <v>5523</v>
      </c>
      <c r="F111">
        <v>2149773</v>
      </c>
      <c r="G111">
        <v>40577225520</v>
      </c>
      <c r="H111">
        <v>10.34</v>
      </c>
      <c r="I111">
        <v>1.23</v>
      </c>
      <c r="J111">
        <v>0.99752799999999997</v>
      </c>
      <c r="K111">
        <v>4.5</v>
      </c>
      <c r="L111">
        <v>22.81</v>
      </c>
      <c r="M111">
        <v>7.8112259999999996</v>
      </c>
      <c r="N111">
        <v>13.285057</v>
      </c>
      <c r="O111">
        <v>14.053849</v>
      </c>
      <c r="P111">
        <v>4.49</v>
      </c>
      <c r="Q111" t="s">
        <v>22</v>
      </c>
      <c r="R111" t="s">
        <v>22</v>
      </c>
      <c r="S111">
        <v>432</v>
      </c>
      <c r="T111">
        <v>585</v>
      </c>
      <c r="U111">
        <v>5.32</v>
      </c>
      <c r="V111">
        <v>5</v>
      </c>
      <c r="W111">
        <v>316.22000000000003</v>
      </c>
      <c r="X111">
        <v>104044168</v>
      </c>
    </row>
    <row r="112" spans="1:24" x14ac:dyDescent="0.25">
      <c r="A112" t="s">
        <v>132</v>
      </c>
      <c r="B112">
        <v>111</v>
      </c>
      <c r="C112">
        <v>25</v>
      </c>
      <c r="D112">
        <v>0</v>
      </c>
      <c r="E112">
        <v>339215</v>
      </c>
      <c r="F112">
        <v>8501614.4000000004</v>
      </c>
      <c r="G112">
        <v>42689150000</v>
      </c>
      <c r="H112">
        <v>5.89</v>
      </c>
      <c r="I112">
        <v>0.76</v>
      </c>
      <c r="J112">
        <v>4.5182500000000001</v>
      </c>
      <c r="K112">
        <v>0.41</v>
      </c>
      <c r="L112">
        <v>2.11</v>
      </c>
      <c r="M112">
        <v>2.7410709999999998</v>
      </c>
      <c r="N112">
        <v>13.714221999999999</v>
      </c>
      <c r="O112">
        <v>30.931235999999998</v>
      </c>
      <c r="P112">
        <v>3.44</v>
      </c>
      <c r="Q112" t="s">
        <v>22</v>
      </c>
      <c r="R112" t="s">
        <v>22</v>
      </c>
      <c r="S112">
        <v>237</v>
      </c>
      <c r="T112">
        <v>670</v>
      </c>
      <c r="U112">
        <v>0.21</v>
      </c>
      <c r="V112">
        <v>5</v>
      </c>
      <c r="W112">
        <v>32.89</v>
      </c>
      <c r="X112">
        <v>1707566000</v>
      </c>
    </row>
    <row r="113" spans="1:24" x14ac:dyDescent="0.25">
      <c r="A113" t="s">
        <v>133</v>
      </c>
      <c r="B113">
        <v>112</v>
      </c>
      <c r="C113">
        <v>0.57999999999999996</v>
      </c>
      <c r="D113">
        <v>0</v>
      </c>
      <c r="E113">
        <v>12738042</v>
      </c>
      <c r="F113">
        <v>7383666.0800000001</v>
      </c>
      <c r="G113">
        <v>10064522589.32</v>
      </c>
      <c r="H113">
        <v>13.29</v>
      </c>
      <c r="I113">
        <v>0.2</v>
      </c>
      <c r="J113">
        <v>0.21579400000000001</v>
      </c>
      <c r="K113">
        <v>1.2500000000000001E-2</v>
      </c>
      <c r="L113">
        <v>0.01</v>
      </c>
      <c r="M113">
        <v>2.9839340000000001</v>
      </c>
      <c r="N113">
        <v>1.5382579999999999</v>
      </c>
      <c r="O113">
        <v>28.136426</v>
      </c>
      <c r="P113">
        <v>2.16</v>
      </c>
      <c r="Q113" t="s">
        <v>22</v>
      </c>
      <c r="R113" t="s">
        <v>22</v>
      </c>
      <c r="S113">
        <v>1074</v>
      </c>
      <c r="T113">
        <v>1010</v>
      </c>
      <c r="U113">
        <v>-0.4</v>
      </c>
      <c r="V113">
        <v>3</v>
      </c>
      <c r="W113">
        <v>2.86</v>
      </c>
      <c r="X113">
        <v>17352625154</v>
      </c>
    </row>
    <row r="114" spans="1:24" x14ac:dyDescent="0.25">
      <c r="A114" t="s">
        <v>134</v>
      </c>
      <c r="B114">
        <v>113</v>
      </c>
      <c r="C114">
        <v>3.86</v>
      </c>
      <c r="D114">
        <v>-0.52</v>
      </c>
      <c r="E114">
        <v>635050</v>
      </c>
      <c r="F114">
        <v>2440495.64</v>
      </c>
      <c r="G114">
        <v>2316000000</v>
      </c>
      <c r="H114">
        <v>16.95</v>
      </c>
      <c r="I114">
        <v>1.39</v>
      </c>
      <c r="J114">
        <v>0.54944400000000004</v>
      </c>
      <c r="K114">
        <v>0.05</v>
      </c>
      <c r="L114">
        <v>0.1</v>
      </c>
      <c r="M114">
        <v>7.329402</v>
      </c>
      <c r="N114">
        <v>8.1100779999999997</v>
      </c>
      <c r="O114">
        <v>7.3554579999999996</v>
      </c>
      <c r="P114">
        <v>6.48</v>
      </c>
      <c r="Q114" t="s">
        <v>22</v>
      </c>
      <c r="R114" t="s">
        <v>22</v>
      </c>
      <c r="S114">
        <v>870</v>
      </c>
      <c r="T114">
        <v>798</v>
      </c>
      <c r="U114">
        <v>1.6</v>
      </c>
      <c r="V114">
        <v>5</v>
      </c>
      <c r="W114">
        <v>2.77</v>
      </c>
      <c r="X114">
        <v>600000000</v>
      </c>
    </row>
    <row r="115" spans="1:24" x14ac:dyDescent="0.25">
      <c r="A115" t="s">
        <v>135</v>
      </c>
      <c r="B115">
        <v>114</v>
      </c>
      <c r="C115">
        <v>0.26</v>
      </c>
      <c r="D115">
        <v>0</v>
      </c>
      <c r="E115">
        <v>104200</v>
      </c>
      <c r="F115">
        <v>26192</v>
      </c>
      <c r="G115">
        <v>208000000</v>
      </c>
      <c r="H115">
        <v>200000000</v>
      </c>
      <c r="I115">
        <v>0.18</v>
      </c>
      <c r="J115">
        <v>0.84072100000000005</v>
      </c>
      <c r="K115">
        <v>0.05</v>
      </c>
      <c r="L115">
        <v>-0.01</v>
      </c>
      <c r="M115">
        <v>0.60206400000000004</v>
      </c>
      <c r="N115">
        <v>-0.61820799999999998</v>
      </c>
      <c r="O115">
        <v>-4.5959789999999998</v>
      </c>
      <c r="P115">
        <v>0.17</v>
      </c>
      <c r="Q115" t="s">
        <v>22</v>
      </c>
      <c r="R115" t="s">
        <v>22</v>
      </c>
      <c r="W115">
        <v>1.47</v>
      </c>
      <c r="X115">
        <v>800000000</v>
      </c>
    </row>
    <row r="116" spans="1:24" x14ac:dyDescent="0.25">
      <c r="A116" t="s">
        <v>136</v>
      </c>
      <c r="B116">
        <v>115</v>
      </c>
      <c r="C116">
        <v>2026</v>
      </c>
      <c r="D116">
        <v>0</v>
      </c>
      <c r="E116">
        <v>0</v>
      </c>
      <c r="F116">
        <v>0</v>
      </c>
      <c r="G116">
        <v>0</v>
      </c>
      <c r="H116">
        <v>0</v>
      </c>
      <c r="I116">
        <v>0.28072508019943571</v>
      </c>
      <c r="J116">
        <v>0.280725</v>
      </c>
      <c r="K116">
        <v>0.25</v>
      </c>
      <c r="L116">
        <v>-0.24617129972867674</v>
      </c>
      <c r="M116">
        <v>-0.246171</v>
      </c>
      <c r="N116">
        <v>-0.91458200000000001</v>
      </c>
      <c r="O116">
        <v>41.778722999999999</v>
      </c>
      <c r="P116">
        <v>0</v>
      </c>
      <c r="Q116" t="s">
        <v>22</v>
      </c>
      <c r="R116" t="s">
        <v>22</v>
      </c>
      <c r="W116">
        <v>0.02</v>
      </c>
      <c r="X116">
        <v>32230527817</v>
      </c>
    </row>
    <row r="117" spans="1:24" x14ac:dyDescent="0.25">
      <c r="A117" t="s">
        <v>137</v>
      </c>
      <c r="B117">
        <v>116</v>
      </c>
      <c r="C117">
        <v>1.32</v>
      </c>
      <c r="D117">
        <v>0.76</v>
      </c>
      <c r="E117">
        <v>2231600</v>
      </c>
      <c r="F117">
        <v>2926621</v>
      </c>
      <c r="G117">
        <v>926816136.84000003</v>
      </c>
      <c r="H117">
        <v>11.55</v>
      </c>
      <c r="I117">
        <v>0.94</v>
      </c>
      <c r="J117">
        <v>1.031074</v>
      </c>
      <c r="K117">
        <v>0.05</v>
      </c>
      <c r="L117">
        <v>0.1</v>
      </c>
      <c r="M117">
        <v>5.8693650000000002</v>
      </c>
      <c r="N117">
        <v>8.3192170000000001</v>
      </c>
      <c r="O117">
        <v>6.1373800000000003</v>
      </c>
      <c r="P117">
        <v>8.01</v>
      </c>
      <c r="Q117" t="s">
        <v>22</v>
      </c>
      <c r="R117" t="s">
        <v>22</v>
      </c>
      <c r="S117">
        <v>929</v>
      </c>
      <c r="T117">
        <v>942</v>
      </c>
      <c r="U117">
        <v>1.26</v>
      </c>
      <c r="W117">
        <v>1.41</v>
      </c>
      <c r="X117">
        <v>702133437</v>
      </c>
    </row>
    <row r="118" spans="1:24" x14ac:dyDescent="0.25">
      <c r="A118" t="s">
        <v>138</v>
      </c>
      <c r="B118">
        <v>117</v>
      </c>
      <c r="C118">
        <v>5.0999999999999996</v>
      </c>
      <c r="D118">
        <v>-0.97</v>
      </c>
      <c r="E118">
        <v>192254</v>
      </c>
      <c r="F118">
        <v>980428.1</v>
      </c>
      <c r="G118">
        <v>4184578050</v>
      </c>
      <c r="H118">
        <v>13.78</v>
      </c>
      <c r="I118">
        <v>3.74</v>
      </c>
      <c r="J118">
        <v>0.395978</v>
      </c>
      <c r="K118">
        <v>0.16</v>
      </c>
      <c r="L118">
        <v>0.2</v>
      </c>
      <c r="M118">
        <v>22.905723999999999</v>
      </c>
      <c r="N118">
        <v>27.890715</v>
      </c>
      <c r="O118">
        <v>37.628830000000001</v>
      </c>
      <c r="P118">
        <v>6.37</v>
      </c>
      <c r="Q118" t="s">
        <v>22</v>
      </c>
      <c r="R118" t="s">
        <v>22</v>
      </c>
      <c r="S118">
        <v>459</v>
      </c>
      <c r="T118">
        <v>436</v>
      </c>
      <c r="U118">
        <v>2.34</v>
      </c>
      <c r="V118">
        <v>5</v>
      </c>
      <c r="W118">
        <v>1.36</v>
      </c>
      <c r="X118">
        <v>820505500</v>
      </c>
    </row>
    <row r="119" spans="1:24" x14ac:dyDescent="0.25">
      <c r="A119" t="s">
        <v>139</v>
      </c>
      <c r="B119">
        <v>118</v>
      </c>
      <c r="C119">
        <v>12</v>
      </c>
      <c r="D119">
        <v>0</v>
      </c>
      <c r="E119">
        <v>0</v>
      </c>
      <c r="F119">
        <v>0</v>
      </c>
      <c r="G119">
        <v>36573</v>
      </c>
      <c r="H119">
        <v>4.3499999999999996</v>
      </c>
      <c r="I119">
        <v>0.65</v>
      </c>
      <c r="K119">
        <v>0.35</v>
      </c>
      <c r="L119">
        <v>2.74</v>
      </c>
      <c r="P119">
        <v>5.04</v>
      </c>
      <c r="Q119" t="s">
        <v>22</v>
      </c>
      <c r="R119" t="s">
        <v>22</v>
      </c>
      <c r="U119">
        <v>0.21</v>
      </c>
      <c r="V119">
        <v>5</v>
      </c>
    </row>
    <row r="120" spans="1:24" x14ac:dyDescent="0.25">
      <c r="A120" t="s">
        <v>140</v>
      </c>
      <c r="B120">
        <v>119</v>
      </c>
      <c r="C120">
        <v>0.61</v>
      </c>
      <c r="D120">
        <v>-1.61</v>
      </c>
      <c r="E120">
        <v>94724</v>
      </c>
      <c r="F120">
        <v>57521.26</v>
      </c>
      <c r="G120">
        <v>244000000</v>
      </c>
      <c r="H120">
        <v>27.86</v>
      </c>
      <c r="I120">
        <v>0.85</v>
      </c>
      <c r="J120">
        <v>0.57049300000000003</v>
      </c>
      <c r="K120">
        <v>1.2500000000000001E-2</v>
      </c>
      <c r="L120">
        <v>0.02</v>
      </c>
      <c r="M120">
        <v>2.9209480000000001</v>
      </c>
      <c r="N120">
        <v>3.0566179999999998</v>
      </c>
      <c r="O120">
        <v>2.374107</v>
      </c>
      <c r="P120">
        <v>2.0499999999999998</v>
      </c>
      <c r="Q120" t="s">
        <v>22</v>
      </c>
      <c r="R120" t="s">
        <v>22</v>
      </c>
      <c r="S120">
        <v>1191</v>
      </c>
      <c r="T120">
        <v>1173</v>
      </c>
      <c r="U120">
        <v>-0.54</v>
      </c>
      <c r="V120">
        <v>4</v>
      </c>
      <c r="W120">
        <v>0.72</v>
      </c>
      <c r="X120">
        <v>400000000</v>
      </c>
    </row>
    <row r="121" spans="1:24" x14ac:dyDescent="0.25">
      <c r="A121" t="s">
        <v>141</v>
      </c>
      <c r="B121">
        <v>120</v>
      </c>
      <c r="C121">
        <v>1.94</v>
      </c>
      <c r="D121">
        <v>-0.51</v>
      </c>
      <c r="E121">
        <v>71901</v>
      </c>
      <c r="F121">
        <v>140117.95000000001</v>
      </c>
      <c r="G121">
        <v>1772086322.52</v>
      </c>
      <c r="H121">
        <v>9.7799999999999994</v>
      </c>
      <c r="I121">
        <v>0.35</v>
      </c>
      <c r="J121">
        <v>0.90632299999999999</v>
      </c>
      <c r="K121">
        <v>0.02</v>
      </c>
      <c r="L121">
        <v>0.11</v>
      </c>
      <c r="M121">
        <v>4.6245050000000001</v>
      </c>
      <c r="N121">
        <v>3.666693</v>
      </c>
      <c r="O121">
        <v>2.810127</v>
      </c>
      <c r="P121">
        <v>1.03</v>
      </c>
      <c r="Q121" t="s">
        <v>22</v>
      </c>
      <c r="R121" t="s">
        <v>22</v>
      </c>
      <c r="S121">
        <v>796</v>
      </c>
      <c r="T121">
        <v>697</v>
      </c>
      <c r="U121">
        <v>-0.05</v>
      </c>
      <c r="V121">
        <v>4</v>
      </c>
      <c r="W121">
        <v>5.49</v>
      </c>
      <c r="X121">
        <v>913446558</v>
      </c>
    </row>
    <row r="122" spans="1:24" x14ac:dyDescent="0.25">
      <c r="A122" t="s">
        <v>142</v>
      </c>
      <c r="B122">
        <v>121</v>
      </c>
      <c r="C122">
        <v>1.25</v>
      </c>
      <c r="D122">
        <v>0</v>
      </c>
      <c r="E122">
        <v>80041</v>
      </c>
      <c r="F122">
        <v>100412.41</v>
      </c>
      <c r="G122">
        <v>1816513748.75</v>
      </c>
      <c r="H122">
        <v>1903706408.6900001</v>
      </c>
      <c r="I122">
        <v>0.27</v>
      </c>
      <c r="J122">
        <v>1.790308</v>
      </c>
      <c r="K122">
        <v>2.5000000000000001E-2</v>
      </c>
      <c r="L122">
        <v>-0.04</v>
      </c>
      <c r="M122">
        <v>0.73284199999999999</v>
      </c>
      <c r="N122">
        <v>-0.19195599999999999</v>
      </c>
      <c r="O122">
        <v>-8.6939650000000004</v>
      </c>
      <c r="P122">
        <v>2.8</v>
      </c>
      <c r="Q122" t="s">
        <v>22</v>
      </c>
      <c r="R122" t="s">
        <v>22</v>
      </c>
      <c r="S122">
        <v>1142</v>
      </c>
      <c r="T122">
        <v>1165</v>
      </c>
      <c r="U122">
        <v>-7.63</v>
      </c>
      <c r="V122">
        <v>5</v>
      </c>
      <c r="W122">
        <v>4.6500000000000004</v>
      </c>
      <c r="X122">
        <v>1453210999</v>
      </c>
    </row>
    <row r="123" spans="1:24" x14ac:dyDescent="0.25">
      <c r="A123" t="s">
        <v>143</v>
      </c>
      <c r="B123">
        <v>122</v>
      </c>
      <c r="C123">
        <v>1.19</v>
      </c>
      <c r="D123">
        <v>0</v>
      </c>
      <c r="E123">
        <v>50</v>
      </c>
      <c r="F123">
        <v>44.7</v>
      </c>
      <c r="G123">
        <v>1219750215.3900001</v>
      </c>
      <c r="H123">
        <v>1230000217.2</v>
      </c>
      <c r="I123">
        <v>0.99</v>
      </c>
      <c r="J123">
        <v>4.9440999999999999E-2</v>
      </c>
      <c r="K123">
        <v>0.01</v>
      </c>
      <c r="L123">
        <v>-0.01</v>
      </c>
      <c r="M123">
        <v>-0.50299700000000003</v>
      </c>
      <c r="N123">
        <v>-0.81154000000000004</v>
      </c>
      <c r="O123">
        <v>-13.576914</v>
      </c>
      <c r="P123">
        <v>1</v>
      </c>
      <c r="Q123" t="s">
        <v>22</v>
      </c>
      <c r="R123" t="s">
        <v>22</v>
      </c>
      <c r="W123">
        <v>1.21</v>
      </c>
      <c r="X123">
        <v>1025000181</v>
      </c>
    </row>
    <row r="124" spans="1:24" x14ac:dyDescent="0.25">
      <c r="A124" t="s">
        <v>144</v>
      </c>
      <c r="B124">
        <v>123</v>
      </c>
      <c r="C124">
        <v>3.7</v>
      </c>
      <c r="D124">
        <v>1.65</v>
      </c>
      <c r="E124">
        <v>20800</v>
      </c>
      <c r="F124">
        <v>76338</v>
      </c>
      <c r="G124">
        <v>3004771502.1999998</v>
      </c>
      <c r="H124">
        <v>37.28</v>
      </c>
      <c r="I124">
        <v>0.78</v>
      </c>
      <c r="J124">
        <v>1.286438</v>
      </c>
      <c r="K124">
        <v>0.16500000000000001</v>
      </c>
      <c r="L124">
        <v>0.28999999999999998</v>
      </c>
      <c r="M124">
        <v>2.6703929999999998</v>
      </c>
      <c r="N124">
        <v>2.07274</v>
      </c>
      <c r="O124">
        <v>7.2488299999999999</v>
      </c>
      <c r="P124">
        <v>4.46</v>
      </c>
      <c r="Q124" t="s">
        <v>22</v>
      </c>
      <c r="R124" t="s">
        <v>22</v>
      </c>
      <c r="S124">
        <v>1248</v>
      </c>
      <c r="T124">
        <v>1218</v>
      </c>
      <c r="U124">
        <v>0.31</v>
      </c>
      <c r="V124">
        <v>5</v>
      </c>
      <c r="W124">
        <v>4.75</v>
      </c>
      <c r="X124">
        <v>812100406</v>
      </c>
    </row>
    <row r="125" spans="1:24" x14ac:dyDescent="0.25">
      <c r="A125" t="s">
        <v>145</v>
      </c>
      <c r="B125">
        <v>124</v>
      </c>
      <c r="C125">
        <v>0.69</v>
      </c>
      <c r="D125">
        <v>2.99</v>
      </c>
      <c r="E125">
        <v>304101</v>
      </c>
      <c r="F125">
        <v>210835.71</v>
      </c>
      <c r="G125">
        <v>773610750</v>
      </c>
      <c r="H125">
        <v>717552000</v>
      </c>
      <c r="I125">
        <v>0.49</v>
      </c>
      <c r="J125">
        <v>1.2795000000000001E-2</v>
      </c>
      <c r="K125">
        <v>0.02</v>
      </c>
      <c r="L125">
        <v>-0.01</v>
      </c>
      <c r="M125">
        <v>-3.6780940000000002</v>
      </c>
      <c r="N125">
        <v>-3.8408319999999998</v>
      </c>
      <c r="O125">
        <v>-3.6452770000000001</v>
      </c>
      <c r="P125">
        <v>0.45</v>
      </c>
      <c r="Q125" t="s">
        <v>22</v>
      </c>
      <c r="R125" t="s">
        <v>22</v>
      </c>
      <c r="V125">
        <v>4</v>
      </c>
      <c r="W125">
        <v>1.42</v>
      </c>
      <c r="X125">
        <v>1121175000</v>
      </c>
    </row>
    <row r="126" spans="1:24" x14ac:dyDescent="0.25">
      <c r="A126" t="s">
        <v>146</v>
      </c>
      <c r="B126">
        <v>125</v>
      </c>
      <c r="C126">
        <v>0.66</v>
      </c>
      <c r="D126">
        <v>3.13</v>
      </c>
      <c r="E126">
        <v>6901</v>
      </c>
      <c r="F126">
        <v>4530.68</v>
      </c>
      <c r="G126">
        <v>140613409.19999999</v>
      </c>
      <c r="H126">
        <v>149135434</v>
      </c>
      <c r="I126">
        <v>0.5</v>
      </c>
      <c r="J126">
        <v>2.4833159999999999</v>
      </c>
      <c r="K126">
        <v>-0.06</v>
      </c>
      <c r="L126">
        <v>-0.06</v>
      </c>
      <c r="M126">
        <v>1.336544</v>
      </c>
      <c r="N126">
        <v>-6.6373569999999997</v>
      </c>
      <c r="O126">
        <v>-6.873062</v>
      </c>
      <c r="P126">
        <v>0.53</v>
      </c>
      <c r="Q126" t="s">
        <v>22</v>
      </c>
      <c r="R126" t="s">
        <v>22</v>
      </c>
      <c r="W126">
        <v>1.32</v>
      </c>
      <c r="X126">
        <v>213050620</v>
      </c>
    </row>
    <row r="127" spans="1:24" x14ac:dyDescent="0.25">
      <c r="A127" t="s">
        <v>147</v>
      </c>
      <c r="B127">
        <v>126</v>
      </c>
      <c r="C127">
        <v>0.34</v>
      </c>
      <c r="D127">
        <v>17.239999999999998</v>
      </c>
      <c r="E127">
        <v>124136968</v>
      </c>
      <c r="F127">
        <v>39406682.039999999</v>
      </c>
      <c r="G127">
        <v>3672279068.2600002</v>
      </c>
      <c r="H127">
        <v>1620123118.3499999</v>
      </c>
      <c r="I127">
        <v>1.43</v>
      </c>
      <c r="J127">
        <v>0.333395</v>
      </c>
      <c r="K127">
        <v>0.01</v>
      </c>
      <c r="L127">
        <v>0.01</v>
      </c>
      <c r="M127">
        <v>-9.6986329999999992</v>
      </c>
      <c r="N127">
        <v>-11.565341</v>
      </c>
      <c r="O127">
        <v>8.9469580000000004</v>
      </c>
      <c r="P127">
        <v>2.94</v>
      </c>
      <c r="Q127" t="s">
        <v>22</v>
      </c>
      <c r="R127" t="s">
        <v>22</v>
      </c>
      <c r="V127">
        <v>4</v>
      </c>
      <c r="W127">
        <v>0.24</v>
      </c>
      <c r="X127">
        <v>10800820789</v>
      </c>
    </row>
    <row r="128" spans="1:24" x14ac:dyDescent="0.25">
      <c r="A128" t="s">
        <v>148</v>
      </c>
      <c r="B128">
        <v>127</v>
      </c>
      <c r="C128">
        <v>21.5</v>
      </c>
      <c r="D128">
        <v>0.47</v>
      </c>
      <c r="E128">
        <v>2570934</v>
      </c>
      <c r="F128">
        <v>54951163</v>
      </c>
      <c r="G128">
        <v>41598200000</v>
      </c>
      <c r="H128">
        <v>10.8</v>
      </c>
      <c r="I128">
        <v>1.34</v>
      </c>
      <c r="J128">
        <v>1.2704979999999999</v>
      </c>
      <c r="K128">
        <v>1.5</v>
      </c>
      <c r="L128">
        <v>0.84</v>
      </c>
      <c r="M128">
        <v>8.1010390000000001</v>
      </c>
      <c r="N128">
        <v>12.402298999999999</v>
      </c>
      <c r="O128">
        <v>2.7757960000000002</v>
      </c>
      <c r="P128">
        <v>6.98</v>
      </c>
      <c r="Q128" t="s">
        <v>22</v>
      </c>
      <c r="R128" t="s">
        <v>22</v>
      </c>
      <c r="S128">
        <v>484</v>
      </c>
      <c r="T128">
        <v>523</v>
      </c>
      <c r="U128">
        <v>-0.14000000000000001</v>
      </c>
      <c r="V128">
        <v>5</v>
      </c>
      <c r="W128">
        <v>16.100000000000001</v>
      </c>
      <c r="X128">
        <v>1934800000</v>
      </c>
    </row>
    <row r="129" spans="1:24" x14ac:dyDescent="0.25">
      <c r="A129" t="s">
        <v>149</v>
      </c>
      <c r="B129">
        <v>128</v>
      </c>
      <c r="C129">
        <v>14.3</v>
      </c>
      <c r="D129">
        <v>1.42</v>
      </c>
      <c r="E129">
        <v>400</v>
      </c>
      <c r="F129">
        <v>5710</v>
      </c>
      <c r="G129">
        <v>171600000</v>
      </c>
      <c r="H129">
        <v>5.6</v>
      </c>
      <c r="I129">
        <v>0.35</v>
      </c>
      <c r="J129">
        <v>0.12013799999999999</v>
      </c>
      <c r="K129">
        <v>1.5</v>
      </c>
      <c r="L129">
        <v>-0.28000000000000003</v>
      </c>
      <c r="M129">
        <v>6.912261</v>
      </c>
      <c r="N129">
        <v>6.2900359999999997</v>
      </c>
      <c r="O129">
        <v>-2.6837680000000002</v>
      </c>
      <c r="P129">
        <v>10.49</v>
      </c>
      <c r="Q129" t="s">
        <v>22</v>
      </c>
      <c r="R129" t="s">
        <v>22</v>
      </c>
      <c r="S129">
        <v>524</v>
      </c>
      <c r="T129">
        <v>364</v>
      </c>
      <c r="U129">
        <v>0.22</v>
      </c>
      <c r="W129">
        <v>40.729999999999997</v>
      </c>
      <c r="X129">
        <v>12000000</v>
      </c>
    </row>
    <row r="130" spans="1:24" x14ac:dyDescent="0.25">
      <c r="A130" t="s">
        <v>150</v>
      </c>
      <c r="B130">
        <v>129</v>
      </c>
      <c r="C130">
        <v>2.08</v>
      </c>
      <c r="D130">
        <v>0</v>
      </c>
      <c r="E130">
        <v>20050945</v>
      </c>
      <c r="F130">
        <v>41691458.159999996</v>
      </c>
      <c r="G130">
        <v>33475111529.599998</v>
      </c>
      <c r="H130">
        <v>33796987602</v>
      </c>
      <c r="I130">
        <v>0.57999999999999996</v>
      </c>
      <c r="J130">
        <v>2.2144300000000001</v>
      </c>
      <c r="K130">
        <v>0.16</v>
      </c>
      <c r="L130">
        <v>-0.02</v>
      </c>
      <c r="M130">
        <v>2.2331050000000001</v>
      </c>
      <c r="N130">
        <v>-2.2857080000000001</v>
      </c>
      <c r="O130">
        <v>-6.6178739999999996</v>
      </c>
      <c r="P130">
        <v>0.57999999999999996</v>
      </c>
      <c r="Q130" t="s">
        <v>22</v>
      </c>
      <c r="R130" t="s">
        <v>22</v>
      </c>
      <c r="V130">
        <v>5</v>
      </c>
      <c r="W130">
        <v>3.62</v>
      </c>
      <c r="X130">
        <v>16093803620</v>
      </c>
    </row>
    <row r="131" spans="1:24" x14ac:dyDescent="0.25">
      <c r="A131" t="s">
        <v>151</v>
      </c>
      <c r="B131">
        <v>130</v>
      </c>
      <c r="C131">
        <v>0.09</v>
      </c>
      <c r="D131">
        <v>0</v>
      </c>
      <c r="E131">
        <v>306200</v>
      </c>
      <c r="F131">
        <v>27556</v>
      </c>
      <c r="G131">
        <v>68040000</v>
      </c>
      <c r="H131">
        <v>60480000</v>
      </c>
      <c r="I131">
        <v>2.02</v>
      </c>
      <c r="J131">
        <v>12.690796000000001</v>
      </c>
      <c r="K131">
        <v>0.02</v>
      </c>
      <c r="L131">
        <v>-0.15</v>
      </c>
      <c r="M131">
        <v>-27.998615000000001</v>
      </c>
      <c r="N131">
        <v>-133.769642</v>
      </c>
      <c r="O131">
        <v>-218.67842999999999</v>
      </c>
      <c r="P131">
        <v>1.79</v>
      </c>
      <c r="Q131" t="s">
        <v>22</v>
      </c>
      <c r="R131" t="s">
        <v>22</v>
      </c>
      <c r="V131">
        <v>4</v>
      </c>
      <c r="W131">
        <v>0.04</v>
      </c>
      <c r="X131">
        <v>756000000</v>
      </c>
    </row>
    <row r="132" spans="1:24" x14ac:dyDescent="0.25">
      <c r="A132" t="s">
        <v>152</v>
      </c>
      <c r="B132">
        <v>131</v>
      </c>
      <c r="C132">
        <v>12.3</v>
      </c>
      <c r="D132">
        <v>0</v>
      </c>
      <c r="E132">
        <v>6601</v>
      </c>
      <c r="F132">
        <v>81182.3</v>
      </c>
      <c r="G132">
        <v>697608423.60000002</v>
      </c>
      <c r="H132">
        <v>5.86</v>
      </c>
      <c r="I132">
        <v>0.55000000000000004</v>
      </c>
      <c r="J132">
        <v>0.463895</v>
      </c>
      <c r="K132">
        <v>0.2</v>
      </c>
      <c r="L132">
        <v>1.8</v>
      </c>
      <c r="M132">
        <v>8.4784799999999994</v>
      </c>
      <c r="N132">
        <v>9.9099520000000005</v>
      </c>
      <c r="O132">
        <v>13.508815999999999</v>
      </c>
      <c r="P132">
        <v>1.48</v>
      </c>
      <c r="Q132" t="s">
        <v>22</v>
      </c>
      <c r="R132" t="s">
        <v>22</v>
      </c>
      <c r="S132">
        <v>544</v>
      </c>
      <c r="T132">
        <v>612</v>
      </c>
      <c r="U132">
        <v>0.53</v>
      </c>
      <c r="W132">
        <v>22.42</v>
      </c>
      <c r="X132">
        <v>56716132</v>
      </c>
    </row>
    <row r="133" spans="1:24" x14ac:dyDescent="0.25">
      <c r="A133" t="s">
        <v>153</v>
      </c>
      <c r="B133">
        <v>132</v>
      </c>
      <c r="C133">
        <v>1.6</v>
      </c>
      <c r="D133">
        <v>-0.62</v>
      </c>
      <c r="E133">
        <v>278800</v>
      </c>
      <c r="F133">
        <v>447488</v>
      </c>
      <c r="G133">
        <v>720000000</v>
      </c>
      <c r="H133">
        <v>13.46</v>
      </c>
      <c r="I133">
        <v>0.93</v>
      </c>
      <c r="J133">
        <v>0.2303</v>
      </c>
      <c r="K133">
        <v>0.03</v>
      </c>
      <c r="L133">
        <v>0.05</v>
      </c>
      <c r="M133">
        <v>7.2630509999999999</v>
      </c>
      <c r="N133">
        <v>6.9944280000000001</v>
      </c>
      <c r="O133">
        <v>8.1244619999999994</v>
      </c>
      <c r="P133">
        <v>5.0599999999999996</v>
      </c>
      <c r="Q133" t="s">
        <v>22</v>
      </c>
      <c r="R133" t="s">
        <v>22</v>
      </c>
      <c r="S133">
        <v>747</v>
      </c>
      <c r="T133">
        <v>623</v>
      </c>
      <c r="U133">
        <v>1.63</v>
      </c>
      <c r="V133">
        <v>4</v>
      </c>
      <c r="W133">
        <v>1.72</v>
      </c>
      <c r="X133">
        <v>450000000</v>
      </c>
    </row>
    <row r="134" spans="1:24" x14ac:dyDescent="0.25">
      <c r="A134" t="s">
        <v>154</v>
      </c>
      <c r="B134">
        <v>133</v>
      </c>
      <c r="C134">
        <v>0.23</v>
      </c>
      <c r="D134">
        <v>-4.17</v>
      </c>
      <c r="E134">
        <v>79634084</v>
      </c>
      <c r="F134">
        <v>18413357.859999999</v>
      </c>
      <c r="G134">
        <v>1467677893.5899999</v>
      </c>
      <c r="H134">
        <v>3.16</v>
      </c>
      <c r="I134">
        <v>0.31</v>
      </c>
      <c r="J134">
        <v>0.29283100000000001</v>
      </c>
      <c r="K134">
        <v>7.4999999999999997E-3</v>
      </c>
      <c r="L134">
        <v>0.01</v>
      </c>
      <c r="M134">
        <v>10.264443</v>
      </c>
      <c r="N134">
        <v>10.384128</v>
      </c>
      <c r="O134">
        <v>7.6256110000000001</v>
      </c>
      <c r="P134">
        <v>3.26</v>
      </c>
      <c r="Q134" t="s">
        <v>22</v>
      </c>
      <c r="R134" t="s">
        <v>22</v>
      </c>
      <c r="S134">
        <v>274</v>
      </c>
      <c r="T134">
        <v>178</v>
      </c>
      <c r="U134">
        <v>0.05</v>
      </c>
      <c r="V134">
        <v>5</v>
      </c>
      <c r="W134">
        <v>0.74</v>
      </c>
      <c r="X134">
        <v>6381208233</v>
      </c>
    </row>
    <row r="135" spans="1:24" x14ac:dyDescent="0.25">
      <c r="A135" t="s">
        <v>155</v>
      </c>
      <c r="B135">
        <v>134</v>
      </c>
      <c r="C135">
        <v>0.44</v>
      </c>
      <c r="D135">
        <v>0</v>
      </c>
      <c r="E135">
        <v>390801</v>
      </c>
      <c r="F135">
        <v>168887.44</v>
      </c>
      <c r="G135">
        <v>2292676687.8400002</v>
      </c>
      <c r="H135">
        <v>2240570399.48</v>
      </c>
      <c r="I135">
        <v>0.47</v>
      </c>
      <c r="J135">
        <v>0.118393</v>
      </c>
      <c r="L135">
        <v>-35.977327618535185</v>
      </c>
      <c r="M135">
        <v>-35.977328</v>
      </c>
      <c r="N135">
        <v>-41.041635999999997</v>
      </c>
      <c r="O135">
        <v>6.0138030000000002</v>
      </c>
      <c r="P135">
        <v>0.46</v>
      </c>
      <c r="Q135" t="s">
        <v>22</v>
      </c>
      <c r="R135" t="s">
        <v>22</v>
      </c>
      <c r="V135">
        <v>4</v>
      </c>
      <c r="W135">
        <v>0.93</v>
      </c>
      <c r="X135">
        <v>5210628836</v>
      </c>
    </row>
    <row r="136" spans="1:24" x14ac:dyDescent="0.25">
      <c r="A136" t="s">
        <v>156</v>
      </c>
      <c r="B136">
        <v>135</v>
      </c>
      <c r="C136">
        <v>2.36</v>
      </c>
      <c r="D136">
        <v>0</v>
      </c>
      <c r="E136">
        <v>520800</v>
      </c>
      <c r="F136">
        <v>1245874</v>
      </c>
      <c r="G136">
        <v>717159046.72000003</v>
      </c>
      <c r="H136">
        <v>705003808.63999999</v>
      </c>
      <c r="I136">
        <v>1.22</v>
      </c>
      <c r="J136">
        <v>3.3540740000000002</v>
      </c>
      <c r="K136">
        <v>0.2114</v>
      </c>
      <c r="L136">
        <v>0.28000000000000003</v>
      </c>
      <c r="M136">
        <v>27.416142000000001</v>
      </c>
      <c r="N136">
        <v>-42.436928000000002</v>
      </c>
      <c r="O136">
        <v>4.5872679999999999</v>
      </c>
      <c r="P136">
        <v>1.2</v>
      </c>
      <c r="Q136" t="s">
        <v>22</v>
      </c>
      <c r="R136" t="s">
        <v>22</v>
      </c>
      <c r="V136">
        <v>3</v>
      </c>
      <c r="W136">
        <v>1.93</v>
      </c>
      <c r="X136">
        <v>303880952</v>
      </c>
    </row>
    <row r="137" spans="1:24" x14ac:dyDescent="0.25">
      <c r="A137" t="s">
        <v>157</v>
      </c>
      <c r="B137">
        <v>136</v>
      </c>
      <c r="C137">
        <v>56</v>
      </c>
      <c r="D137">
        <v>-2.1800000000000002</v>
      </c>
      <c r="E137">
        <v>6169752</v>
      </c>
      <c r="F137">
        <v>346678383.75</v>
      </c>
      <c r="G137">
        <v>56000000000</v>
      </c>
      <c r="H137">
        <v>26.59</v>
      </c>
      <c r="I137">
        <v>3.76</v>
      </c>
      <c r="J137">
        <v>0.36482100000000001</v>
      </c>
      <c r="K137">
        <v>1</v>
      </c>
      <c r="L137">
        <v>1.35</v>
      </c>
      <c r="M137">
        <v>14.772341000000001</v>
      </c>
      <c r="N137">
        <v>14.534865</v>
      </c>
      <c r="O137">
        <v>11.692266</v>
      </c>
      <c r="P137">
        <v>2.3199999999999998</v>
      </c>
      <c r="Q137" t="s">
        <v>22</v>
      </c>
      <c r="R137" t="s">
        <v>22</v>
      </c>
      <c r="S137">
        <v>724</v>
      </c>
      <c r="T137">
        <v>653</v>
      </c>
      <c r="U137">
        <v>-13.21</v>
      </c>
      <c r="V137">
        <v>5</v>
      </c>
      <c r="W137">
        <v>14.89</v>
      </c>
      <c r="X137">
        <v>1000000000</v>
      </c>
    </row>
    <row r="138" spans="1:24" x14ac:dyDescent="0.25">
      <c r="A138" t="s">
        <v>158</v>
      </c>
      <c r="B138">
        <v>137</v>
      </c>
      <c r="C138">
        <v>9.1</v>
      </c>
      <c r="D138">
        <v>2.25</v>
      </c>
      <c r="E138">
        <v>68224625</v>
      </c>
      <c r="F138">
        <v>621623112.89999998</v>
      </c>
      <c r="G138">
        <v>95095025762.100006</v>
      </c>
      <c r="H138">
        <v>43.8</v>
      </c>
      <c r="I138">
        <v>3.55</v>
      </c>
      <c r="J138">
        <v>2.52251</v>
      </c>
      <c r="K138">
        <v>0.09</v>
      </c>
      <c r="L138">
        <v>0.12</v>
      </c>
      <c r="M138">
        <v>4.1240370000000004</v>
      </c>
      <c r="N138">
        <v>8.3502840000000003</v>
      </c>
      <c r="O138">
        <v>1.8724609999999999</v>
      </c>
      <c r="P138">
        <v>1.76</v>
      </c>
      <c r="Q138" t="s">
        <v>22</v>
      </c>
      <c r="R138" t="s">
        <v>22</v>
      </c>
      <c r="S138">
        <v>1046</v>
      </c>
      <c r="T138">
        <v>1155</v>
      </c>
      <c r="U138">
        <v>0.51</v>
      </c>
      <c r="W138">
        <v>2.56</v>
      </c>
      <c r="X138">
        <v>10450002831</v>
      </c>
    </row>
    <row r="139" spans="1:24" x14ac:dyDescent="0.25">
      <c r="A139" t="s">
        <v>159</v>
      </c>
      <c r="B139">
        <v>138</v>
      </c>
      <c r="C139">
        <v>0.28999999999999998</v>
      </c>
      <c r="D139">
        <v>-3.33</v>
      </c>
      <c r="E139">
        <v>1832800</v>
      </c>
      <c r="F139">
        <v>531532</v>
      </c>
      <c r="G139">
        <v>802728752.49000001</v>
      </c>
      <c r="H139">
        <v>8.4600000000000009</v>
      </c>
      <c r="I139">
        <v>0.51</v>
      </c>
      <c r="J139">
        <v>0.83608400000000005</v>
      </c>
      <c r="K139">
        <v>0.01</v>
      </c>
      <c r="L139">
        <v>0.02</v>
      </c>
      <c r="M139">
        <v>5.0084780000000002</v>
      </c>
      <c r="N139">
        <v>6.1066060000000002</v>
      </c>
      <c r="O139">
        <v>4.9706989999999998</v>
      </c>
      <c r="P139">
        <v>3.45</v>
      </c>
      <c r="Q139" t="s">
        <v>22</v>
      </c>
      <c r="R139" t="s">
        <v>22</v>
      </c>
      <c r="S139">
        <v>777</v>
      </c>
      <c r="T139">
        <v>752</v>
      </c>
      <c r="U139">
        <v>0.13</v>
      </c>
      <c r="W139">
        <v>0.56999999999999995</v>
      </c>
      <c r="X139">
        <v>2768030181</v>
      </c>
    </row>
    <row r="140" spans="1:24" x14ac:dyDescent="0.25">
      <c r="A140" t="s">
        <v>160</v>
      </c>
      <c r="B140">
        <v>139</v>
      </c>
      <c r="C140">
        <v>0.56999999999999995</v>
      </c>
      <c r="D140">
        <v>0</v>
      </c>
      <c r="E140">
        <v>125400</v>
      </c>
      <c r="F140">
        <v>71028</v>
      </c>
      <c r="G140">
        <v>424742688.26999998</v>
      </c>
      <c r="H140">
        <v>439645940.49000001</v>
      </c>
      <c r="I140">
        <v>0.37</v>
      </c>
      <c r="J140">
        <v>0.197188</v>
      </c>
      <c r="K140">
        <v>0.12</v>
      </c>
      <c r="L140">
        <v>-0.12</v>
      </c>
      <c r="M140">
        <v>-9.4155560000000005</v>
      </c>
      <c r="N140">
        <v>-12.730193</v>
      </c>
      <c r="O140">
        <v>-29.890606999999999</v>
      </c>
      <c r="P140">
        <v>0.38</v>
      </c>
      <c r="Q140" t="s">
        <v>22</v>
      </c>
      <c r="R140" t="s">
        <v>22</v>
      </c>
      <c r="V140">
        <v>3</v>
      </c>
      <c r="W140">
        <v>1.56</v>
      </c>
      <c r="X140">
        <v>745162611</v>
      </c>
    </row>
    <row r="141" spans="1:24" x14ac:dyDescent="0.25">
      <c r="A141" t="s">
        <v>161</v>
      </c>
      <c r="B141">
        <v>140</v>
      </c>
      <c r="C141">
        <v>42.5</v>
      </c>
      <c r="D141">
        <v>0</v>
      </c>
      <c r="E141">
        <v>1081728</v>
      </c>
      <c r="F141">
        <v>46037487</v>
      </c>
      <c r="G141">
        <v>57375000000</v>
      </c>
      <c r="H141">
        <v>16.66</v>
      </c>
      <c r="I141">
        <v>2.37</v>
      </c>
      <c r="J141">
        <v>1.6586160000000001</v>
      </c>
      <c r="K141">
        <v>0.67</v>
      </c>
      <c r="L141">
        <v>1.71</v>
      </c>
      <c r="M141">
        <v>7.9085999999999999</v>
      </c>
      <c r="N141">
        <v>15.06556</v>
      </c>
      <c r="O141">
        <v>17.844097000000001</v>
      </c>
      <c r="P141">
        <v>1.58</v>
      </c>
      <c r="Q141" t="s">
        <v>22</v>
      </c>
      <c r="R141" t="s">
        <v>22</v>
      </c>
      <c r="S141">
        <v>621</v>
      </c>
      <c r="T141">
        <v>726</v>
      </c>
      <c r="U141">
        <v>0.44</v>
      </c>
      <c r="V141">
        <v>5</v>
      </c>
      <c r="W141">
        <v>17.96</v>
      </c>
      <c r="X141">
        <v>1350000000</v>
      </c>
    </row>
    <row r="142" spans="1:24" x14ac:dyDescent="0.25">
      <c r="A142" t="s">
        <v>162</v>
      </c>
      <c r="B142">
        <v>141</v>
      </c>
      <c r="C142">
        <v>1.24</v>
      </c>
      <c r="D142">
        <v>0</v>
      </c>
      <c r="E142">
        <v>2000</v>
      </c>
      <c r="F142">
        <v>2423</v>
      </c>
      <c r="G142">
        <v>359550496.72000003</v>
      </c>
      <c r="H142">
        <v>92.9</v>
      </c>
      <c r="I142">
        <v>0.56000000000000005</v>
      </c>
      <c r="J142">
        <v>0.13639899999999999</v>
      </c>
      <c r="K142">
        <v>7.4999999999999997E-2</v>
      </c>
      <c r="L142">
        <v>0.06</v>
      </c>
      <c r="M142">
        <v>1.391942</v>
      </c>
      <c r="N142">
        <v>0.60090299999999996</v>
      </c>
      <c r="O142">
        <v>8.7566849999999992</v>
      </c>
      <c r="P142">
        <v>6.05</v>
      </c>
      <c r="Q142" t="s">
        <v>22</v>
      </c>
      <c r="R142" t="s">
        <v>22</v>
      </c>
      <c r="S142">
        <v>1370</v>
      </c>
      <c r="T142">
        <v>1352</v>
      </c>
      <c r="U142">
        <v>-45.42</v>
      </c>
      <c r="W142">
        <v>2.2000000000000002</v>
      </c>
      <c r="X142">
        <v>289960078</v>
      </c>
    </row>
    <row r="143" spans="1:24" x14ac:dyDescent="0.25">
      <c r="A143" t="s">
        <v>163</v>
      </c>
      <c r="B143">
        <v>142</v>
      </c>
      <c r="C143">
        <v>0.96</v>
      </c>
      <c r="D143">
        <v>1.05</v>
      </c>
      <c r="E143">
        <v>3715430</v>
      </c>
      <c r="F143">
        <v>3529407.4</v>
      </c>
      <c r="G143">
        <v>556800000</v>
      </c>
      <c r="H143">
        <v>26.08</v>
      </c>
      <c r="I143">
        <v>0.84</v>
      </c>
      <c r="J143">
        <v>0.23360300000000001</v>
      </c>
      <c r="K143">
        <v>0.02</v>
      </c>
      <c r="L143">
        <v>0.01</v>
      </c>
      <c r="M143">
        <v>2.588498</v>
      </c>
      <c r="N143">
        <v>3.2337980000000002</v>
      </c>
      <c r="O143">
        <v>7.041169</v>
      </c>
      <c r="P143">
        <v>2.08</v>
      </c>
      <c r="Q143" t="s">
        <v>22</v>
      </c>
      <c r="R143" t="s">
        <v>22</v>
      </c>
      <c r="S143">
        <v>1153</v>
      </c>
      <c r="T143">
        <v>1162</v>
      </c>
      <c r="U143">
        <v>-0.75</v>
      </c>
      <c r="V143">
        <v>4</v>
      </c>
      <c r="W143">
        <v>1.1499999999999999</v>
      </c>
      <c r="X143">
        <v>580000000</v>
      </c>
    </row>
    <row r="144" spans="1:24" x14ac:dyDescent="0.25">
      <c r="A144" t="s">
        <v>164</v>
      </c>
      <c r="B144">
        <v>143</v>
      </c>
      <c r="C144">
        <v>1.85</v>
      </c>
      <c r="D144">
        <v>-1.07</v>
      </c>
      <c r="E144">
        <v>7452657</v>
      </c>
      <c r="F144">
        <v>14114390.84</v>
      </c>
      <c r="G144">
        <v>1715133520</v>
      </c>
      <c r="H144">
        <v>11.06</v>
      </c>
      <c r="I144">
        <v>0.7</v>
      </c>
      <c r="J144">
        <v>0.99693399999999999</v>
      </c>
      <c r="K144">
        <v>0.12</v>
      </c>
      <c r="L144">
        <v>0.12</v>
      </c>
      <c r="M144">
        <v>8.0722550000000002</v>
      </c>
      <c r="N144">
        <v>6.4915200000000004</v>
      </c>
      <c r="O144">
        <v>4.2402759999999997</v>
      </c>
      <c r="P144">
        <v>0.53</v>
      </c>
      <c r="Q144" t="s">
        <v>22</v>
      </c>
      <c r="R144" t="s">
        <v>22</v>
      </c>
      <c r="S144">
        <v>1071</v>
      </c>
      <c r="T144">
        <v>792</v>
      </c>
      <c r="U144">
        <v>-0.15</v>
      </c>
      <c r="V144">
        <v>5</v>
      </c>
      <c r="W144">
        <v>2.66</v>
      </c>
      <c r="X144">
        <v>927099200</v>
      </c>
    </row>
    <row r="145" spans="1:24" x14ac:dyDescent="0.25">
      <c r="A145" t="s">
        <v>165</v>
      </c>
      <c r="B145">
        <v>144</v>
      </c>
      <c r="C145">
        <v>0.1</v>
      </c>
      <c r="D145">
        <v>11.11</v>
      </c>
      <c r="E145">
        <v>416800</v>
      </c>
      <c r="F145">
        <v>38175</v>
      </c>
      <c r="G145">
        <v>826612905</v>
      </c>
      <c r="H145">
        <v>826612905</v>
      </c>
      <c r="I145">
        <v>0.27</v>
      </c>
      <c r="J145">
        <v>3.356255</v>
      </c>
      <c r="K145">
        <v>-0.04</v>
      </c>
      <c r="L145">
        <v>-0.04</v>
      </c>
      <c r="M145">
        <v>-1.1992</v>
      </c>
      <c r="N145">
        <v>-21.928687</v>
      </c>
      <c r="O145">
        <v>-77.845044999999999</v>
      </c>
      <c r="P145">
        <v>0.27</v>
      </c>
      <c r="Q145" t="s">
        <v>22</v>
      </c>
      <c r="R145" t="s">
        <v>22</v>
      </c>
      <c r="W145">
        <v>0.37</v>
      </c>
      <c r="X145">
        <v>8266129050</v>
      </c>
    </row>
    <row r="146" spans="1:24" x14ac:dyDescent="0.25">
      <c r="A146" t="s">
        <v>166</v>
      </c>
      <c r="B146">
        <v>145</v>
      </c>
      <c r="C146">
        <v>0.59</v>
      </c>
      <c r="D146">
        <v>7.27</v>
      </c>
      <c r="E146">
        <v>8551552</v>
      </c>
      <c r="F146">
        <v>4905589.6399999997</v>
      </c>
      <c r="G146">
        <v>2449945009.1199999</v>
      </c>
      <c r="H146">
        <v>2283847042.4000001</v>
      </c>
      <c r="I146">
        <v>0.41</v>
      </c>
      <c r="J146">
        <v>0.55721900000000002</v>
      </c>
      <c r="K146">
        <v>0.01</v>
      </c>
      <c r="L146">
        <v>0.01</v>
      </c>
      <c r="M146">
        <v>-1.03304</v>
      </c>
      <c r="N146">
        <v>-0.142757</v>
      </c>
      <c r="O146">
        <v>186.84591599999999</v>
      </c>
      <c r="P146">
        <v>0.38</v>
      </c>
      <c r="Q146" t="s">
        <v>22</v>
      </c>
      <c r="R146" t="s">
        <v>22</v>
      </c>
      <c r="V146">
        <v>5</v>
      </c>
      <c r="W146">
        <v>1.46</v>
      </c>
      <c r="X146">
        <v>4152449168</v>
      </c>
    </row>
    <row r="147" spans="1:24" x14ac:dyDescent="0.25">
      <c r="A147" t="s">
        <v>167</v>
      </c>
      <c r="B147">
        <v>146</v>
      </c>
      <c r="C147">
        <v>1.39</v>
      </c>
      <c r="D147">
        <v>0</v>
      </c>
      <c r="E147">
        <v>19939</v>
      </c>
      <c r="F147">
        <v>27881.99</v>
      </c>
      <c r="G147">
        <v>1112000000</v>
      </c>
      <c r="H147">
        <v>1144000000</v>
      </c>
      <c r="I147">
        <v>0.91</v>
      </c>
      <c r="J147">
        <v>0.69643299999999997</v>
      </c>
      <c r="K147">
        <v>0.03</v>
      </c>
      <c r="L147">
        <v>-0.04</v>
      </c>
      <c r="M147">
        <v>-3.4921899999999999</v>
      </c>
      <c r="N147">
        <v>-5.7308500000000002</v>
      </c>
      <c r="O147">
        <v>-3.1094469999999998</v>
      </c>
      <c r="P147">
        <v>2.16</v>
      </c>
      <c r="Q147" t="s">
        <v>22</v>
      </c>
      <c r="R147" t="s">
        <v>22</v>
      </c>
      <c r="V147">
        <v>4</v>
      </c>
      <c r="W147">
        <v>1.52</v>
      </c>
      <c r="X147">
        <v>800000000</v>
      </c>
    </row>
    <row r="148" spans="1:24" x14ac:dyDescent="0.25">
      <c r="A148" t="s">
        <v>168</v>
      </c>
      <c r="B148">
        <v>147</v>
      </c>
      <c r="C148">
        <v>4</v>
      </c>
      <c r="D148">
        <v>0</v>
      </c>
      <c r="E148">
        <v>38311</v>
      </c>
      <c r="F148">
        <v>152190.22</v>
      </c>
      <c r="G148">
        <v>1200000000</v>
      </c>
      <c r="H148">
        <v>17.34</v>
      </c>
      <c r="I148">
        <v>1.19</v>
      </c>
      <c r="J148">
        <v>0.31931500000000002</v>
      </c>
      <c r="K148">
        <v>0.17</v>
      </c>
      <c r="L148">
        <v>0.04</v>
      </c>
      <c r="M148">
        <v>6.446504</v>
      </c>
      <c r="N148">
        <v>6.8202150000000001</v>
      </c>
      <c r="O148">
        <v>1.723557</v>
      </c>
      <c r="P148">
        <v>4.32</v>
      </c>
      <c r="Q148" t="s">
        <v>22</v>
      </c>
      <c r="R148" t="s">
        <v>22</v>
      </c>
      <c r="S148">
        <v>938</v>
      </c>
      <c r="T148">
        <v>862</v>
      </c>
      <c r="U148">
        <v>-0.56999999999999995</v>
      </c>
      <c r="V148">
        <v>3</v>
      </c>
      <c r="W148">
        <v>3.35</v>
      </c>
      <c r="X148">
        <v>300000000</v>
      </c>
    </row>
    <row r="149" spans="1:24" x14ac:dyDescent="0.25">
      <c r="A149" t="s">
        <v>169</v>
      </c>
      <c r="B149">
        <v>148</v>
      </c>
      <c r="C149">
        <v>20.6</v>
      </c>
      <c r="D149">
        <v>0.49</v>
      </c>
      <c r="E149">
        <v>3200</v>
      </c>
      <c r="F149">
        <v>65910</v>
      </c>
      <c r="G149">
        <v>247200000</v>
      </c>
      <c r="H149">
        <v>3.46</v>
      </c>
      <c r="I149">
        <v>0.39</v>
      </c>
      <c r="J149">
        <v>0.39673199999999997</v>
      </c>
      <c r="K149">
        <v>0.9</v>
      </c>
      <c r="L149">
        <v>3.69</v>
      </c>
      <c r="M149">
        <v>8.0273559999999993</v>
      </c>
      <c r="N149">
        <v>11.780298</v>
      </c>
      <c r="O149">
        <v>23.739177000000002</v>
      </c>
      <c r="P149">
        <v>4.37</v>
      </c>
      <c r="Q149" t="s">
        <v>22</v>
      </c>
      <c r="R149" t="s">
        <v>22</v>
      </c>
      <c r="S149">
        <v>420</v>
      </c>
      <c r="T149">
        <v>469</v>
      </c>
      <c r="U149">
        <v>-0.02</v>
      </c>
      <c r="V149">
        <v>3</v>
      </c>
      <c r="W149">
        <v>53</v>
      </c>
      <c r="X149">
        <v>12000000</v>
      </c>
    </row>
    <row r="150" spans="1:24" x14ac:dyDescent="0.25">
      <c r="A150" t="s">
        <v>170</v>
      </c>
      <c r="B150">
        <v>149</v>
      </c>
      <c r="C150">
        <v>0.48</v>
      </c>
      <c r="D150">
        <v>2.13</v>
      </c>
      <c r="E150">
        <v>579600</v>
      </c>
      <c r="F150">
        <v>271292</v>
      </c>
      <c r="G150">
        <v>953416176</v>
      </c>
      <c r="H150">
        <v>953416176</v>
      </c>
      <c r="I150">
        <v>0.28000000000000003</v>
      </c>
      <c r="J150">
        <v>0.11214399999999999</v>
      </c>
      <c r="K150">
        <v>1.0410000000000001E-2</v>
      </c>
      <c r="L150">
        <v>0.55334800417433805</v>
      </c>
      <c r="M150">
        <v>0.55334799999999995</v>
      </c>
      <c r="N150">
        <v>-5.6994999999999997E-2</v>
      </c>
      <c r="O150">
        <v>0.16688500000000001</v>
      </c>
      <c r="P150">
        <v>0.28000000000000003</v>
      </c>
      <c r="Q150" t="s">
        <v>22</v>
      </c>
      <c r="R150" t="s">
        <v>22</v>
      </c>
      <c r="V150">
        <v>5</v>
      </c>
      <c r="W150">
        <v>1.74</v>
      </c>
      <c r="X150">
        <v>1986283700</v>
      </c>
    </row>
    <row r="151" spans="1:24" x14ac:dyDescent="0.25">
      <c r="A151" t="s">
        <v>171</v>
      </c>
      <c r="B151">
        <v>150</v>
      </c>
      <c r="C151">
        <v>1.36</v>
      </c>
      <c r="D151">
        <v>-1.45</v>
      </c>
      <c r="E151">
        <v>1051466</v>
      </c>
      <c r="F151">
        <v>1433777.06</v>
      </c>
      <c r="G151">
        <v>1585233437.9200001</v>
      </c>
      <c r="H151">
        <v>1631857950.8</v>
      </c>
      <c r="I151">
        <v>0.49</v>
      </c>
      <c r="J151">
        <v>1.077305</v>
      </c>
      <c r="K151">
        <v>1.389E-3</v>
      </c>
      <c r="L151">
        <v>0.17</v>
      </c>
      <c r="M151">
        <v>-2.727833</v>
      </c>
      <c r="N151">
        <v>-14.904111</v>
      </c>
      <c r="O151">
        <v>24.594812000000001</v>
      </c>
      <c r="P151">
        <v>0.51</v>
      </c>
      <c r="Q151" t="s">
        <v>22</v>
      </c>
      <c r="R151" t="s">
        <v>22</v>
      </c>
      <c r="V151">
        <v>3</v>
      </c>
      <c r="W151">
        <v>2.75</v>
      </c>
      <c r="X151">
        <v>1165612822</v>
      </c>
    </row>
    <row r="152" spans="1:24" x14ac:dyDescent="0.25">
      <c r="A152" t="s">
        <v>172</v>
      </c>
      <c r="B152">
        <v>151</v>
      </c>
      <c r="C152">
        <v>0.14000000000000001</v>
      </c>
      <c r="D152">
        <v>-6.67</v>
      </c>
      <c r="E152">
        <v>95900</v>
      </c>
      <c r="F152">
        <v>13496</v>
      </c>
      <c r="G152">
        <v>178504043.62</v>
      </c>
      <c r="H152">
        <v>191254332.44999999</v>
      </c>
      <c r="I152">
        <v>0.17</v>
      </c>
      <c r="J152">
        <v>2.9266299999999998</v>
      </c>
      <c r="K152">
        <v>1.83E-2</v>
      </c>
      <c r="L152">
        <v>-0.08</v>
      </c>
      <c r="M152">
        <v>-7.2204810000000004</v>
      </c>
      <c r="N152">
        <v>-35.382027999999998</v>
      </c>
      <c r="O152">
        <v>-24.886924</v>
      </c>
      <c r="P152">
        <v>0.18</v>
      </c>
      <c r="Q152" t="s">
        <v>22</v>
      </c>
      <c r="R152" t="s">
        <v>22</v>
      </c>
      <c r="V152">
        <v>5</v>
      </c>
      <c r="W152">
        <v>0.81</v>
      </c>
      <c r="X152">
        <v>1275028883</v>
      </c>
    </row>
    <row r="153" spans="1:24" x14ac:dyDescent="0.25">
      <c r="A153" t="s">
        <v>173</v>
      </c>
      <c r="B153">
        <v>152</v>
      </c>
      <c r="C153">
        <v>1.55</v>
      </c>
      <c r="D153">
        <v>-1.27</v>
      </c>
      <c r="E153">
        <v>29704671</v>
      </c>
      <c r="F153">
        <v>46154234.119999997</v>
      </c>
      <c r="G153">
        <v>17050000000</v>
      </c>
      <c r="H153">
        <v>17.53</v>
      </c>
      <c r="I153">
        <v>2.2000000000000002</v>
      </c>
      <c r="J153">
        <v>0.240707</v>
      </c>
      <c r="K153">
        <v>0.02</v>
      </c>
      <c r="L153">
        <v>0.04</v>
      </c>
      <c r="M153">
        <v>12.674571</v>
      </c>
      <c r="N153">
        <v>12.674816999999999</v>
      </c>
      <c r="O153">
        <v>11.698674</v>
      </c>
      <c r="P153">
        <v>4.5199999999999996</v>
      </c>
      <c r="Q153" t="s">
        <v>22</v>
      </c>
      <c r="R153" t="s">
        <v>22</v>
      </c>
      <c r="S153">
        <v>745</v>
      </c>
      <c r="T153">
        <v>649</v>
      </c>
      <c r="U153">
        <v>-0.7</v>
      </c>
      <c r="V153">
        <v>5</v>
      </c>
      <c r="W153">
        <v>0.7</v>
      </c>
      <c r="X153">
        <v>11000000000</v>
      </c>
    </row>
    <row r="154" spans="1:24" x14ac:dyDescent="0.25">
      <c r="A154" t="s">
        <v>174</v>
      </c>
      <c r="B154">
        <v>153</v>
      </c>
      <c r="C154">
        <v>0.28999999999999998</v>
      </c>
      <c r="D154">
        <v>-3.33</v>
      </c>
      <c r="E154">
        <v>27610</v>
      </c>
      <c r="F154">
        <v>7807.3</v>
      </c>
      <c r="G154">
        <v>394400000</v>
      </c>
      <c r="H154">
        <v>20.14</v>
      </c>
      <c r="I154">
        <v>0.48</v>
      </c>
      <c r="J154">
        <v>1.16797</v>
      </c>
      <c r="K154">
        <v>2.5000000000000001E-3</v>
      </c>
      <c r="L154">
        <v>2.7504670631434025</v>
      </c>
      <c r="M154">
        <v>2.750467</v>
      </c>
      <c r="N154">
        <v>2.4255010000000001</v>
      </c>
      <c r="O154">
        <v>1.1252740000000001</v>
      </c>
      <c r="P154">
        <v>0.48</v>
      </c>
      <c r="Q154" t="s">
        <v>22</v>
      </c>
      <c r="R154" t="s">
        <v>22</v>
      </c>
      <c r="S154">
        <v>1168</v>
      </c>
      <c r="T154">
        <v>1139</v>
      </c>
      <c r="U154">
        <v>-0.22</v>
      </c>
      <c r="V154">
        <v>3</v>
      </c>
      <c r="W154">
        <v>0.6</v>
      </c>
      <c r="X154">
        <v>1360000000</v>
      </c>
    </row>
    <row r="155" spans="1:24" x14ac:dyDescent="0.25">
      <c r="A155" t="s">
        <v>175</v>
      </c>
      <c r="B155">
        <v>154</v>
      </c>
      <c r="C155">
        <v>2026</v>
      </c>
      <c r="D155">
        <v>-71.428571428571416</v>
      </c>
      <c r="E155">
        <v>127536194</v>
      </c>
      <c r="F155">
        <v>5220.31837</v>
      </c>
      <c r="G155">
        <v>15</v>
      </c>
      <c r="H155">
        <v>0</v>
      </c>
      <c r="I155">
        <v>0</v>
      </c>
      <c r="J155">
        <v>0</v>
      </c>
      <c r="K155">
        <v>-0.18</v>
      </c>
      <c r="L155">
        <v>-0.18</v>
      </c>
      <c r="M155">
        <v>-35.829908000000003</v>
      </c>
      <c r="N155">
        <v>-278.38236741119749</v>
      </c>
      <c r="O155">
        <v>-278.38236699999999</v>
      </c>
      <c r="P155">
        <v>0</v>
      </c>
      <c r="Q155" t="s">
        <v>22</v>
      </c>
      <c r="R155" t="s">
        <v>22</v>
      </c>
      <c r="W155">
        <v>-1.67</v>
      </c>
      <c r="X155">
        <v>766234798</v>
      </c>
    </row>
    <row r="156" spans="1:24" x14ac:dyDescent="0.25">
      <c r="A156" t="s">
        <v>176</v>
      </c>
      <c r="B156">
        <v>155</v>
      </c>
      <c r="C156">
        <v>72.75</v>
      </c>
      <c r="D156">
        <v>-1.69</v>
      </c>
      <c r="E156">
        <v>2416</v>
      </c>
      <c r="F156">
        <v>176755.25</v>
      </c>
      <c r="G156">
        <v>545625000</v>
      </c>
      <c r="H156">
        <v>511875000</v>
      </c>
      <c r="I156">
        <v>0.8</v>
      </c>
      <c r="J156">
        <v>2.7166589999999999</v>
      </c>
      <c r="K156">
        <v>8.5</v>
      </c>
      <c r="L156">
        <v>34.39</v>
      </c>
      <c r="M156">
        <v>-4.0471490000000001</v>
      </c>
      <c r="N156">
        <v>-17.035246999999998</v>
      </c>
      <c r="O156">
        <v>17.607937</v>
      </c>
      <c r="P156">
        <v>0.75</v>
      </c>
      <c r="Q156" t="s">
        <v>22</v>
      </c>
      <c r="R156" t="s">
        <v>22</v>
      </c>
      <c r="V156">
        <v>3</v>
      </c>
      <c r="W156">
        <v>90.88</v>
      </c>
      <c r="X156">
        <v>7500000</v>
      </c>
    </row>
    <row r="157" spans="1:24" x14ac:dyDescent="0.25">
      <c r="A157" t="s">
        <v>177</v>
      </c>
      <c r="B157">
        <v>156</v>
      </c>
      <c r="C157">
        <v>1.32</v>
      </c>
      <c r="D157">
        <v>0.76</v>
      </c>
      <c r="E157">
        <v>5300</v>
      </c>
      <c r="F157">
        <v>7026</v>
      </c>
      <c r="G157">
        <v>1056000000</v>
      </c>
      <c r="H157">
        <v>18.37</v>
      </c>
      <c r="I157">
        <v>0.49</v>
      </c>
      <c r="J157">
        <v>0.21463699999999999</v>
      </c>
      <c r="K157">
        <v>-0.01</v>
      </c>
      <c r="L157">
        <v>-0.01</v>
      </c>
      <c r="M157">
        <v>2.290972</v>
      </c>
      <c r="N157">
        <v>2.7074760000000002</v>
      </c>
      <c r="O157">
        <v>-1.836338</v>
      </c>
      <c r="P157">
        <v>0.51</v>
      </c>
      <c r="Q157" t="s">
        <v>22</v>
      </c>
      <c r="R157" t="s">
        <v>22</v>
      </c>
      <c r="S157">
        <v>1129</v>
      </c>
      <c r="T157">
        <v>1135</v>
      </c>
      <c r="U157">
        <v>-0.06</v>
      </c>
      <c r="V157">
        <v>5</v>
      </c>
      <c r="W157">
        <v>2.67</v>
      </c>
      <c r="X157">
        <v>800000000</v>
      </c>
    </row>
    <row r="158" spans="1:24" x14ac:dyDescent="0.25">
      <c r="A158" t="s">
        <v>178</v>
      </c>
      <c r="B158">
        <v>157</v>
      </c>
      <c r="C158">
        <v>0.34</v>
      </c>
      <c r="D158">
        <v>-2.86</v>
      </c>
      <c r="E158">
        <v>224410</v>
      </c>
      <c r="F158">
        <v>78894.5</v>
      </c>
      <c r="G158">
        <v>362731292.95999998</v>
      </c>
      <c r="H158">
        <v>362731292.95999998</v>
      </c>
      <c r="I158">
        <v>0.39</v>
      </c>
      <c r="J158">
        <v>4.6103100000000001</v>
      </c>
      <c r="K158">
        <v>-0.14000000000000001</v>
      </c>
      <c r="L158">
        <v>-0.14000000000000001</v>
      </c>
      <c r="M158">
        <v>0.13817499999999999</v>
      </c>
      <c r="N158">
        <v>-28.296386999999999</v>
      </c>
      <c r="O158">
        <v>-22.301634</v>
      </c>
      <c r="P158">
        <v>0.39</v>
      </c>
      <c r="Q158" t="s">
        <v>22</v>
      </c>
      <c r="R158" t="s">
        <v>22</v>
      </c>
      <c r="V158">
        <v>3</v>
      </c>
      <c r="W158">
        <v>0.88</v>
      </c>
      <c r="X158">
        <v>1066856744</v>
      </c>
    </row>
    <row r="159" spans="1:24" x14ac:dyDescent="0.25">
      <c r="A159" t="s">
        <v>179</v>
      </c>
      <c r="B159">
        <v>158</v>
      </c>
      <c r="C159">
        <v>0.03</v>
      </c>
      <c r="D159">
        <v>0</v>
      </c>
      <c r="E159">
        <v>2426400</v>
      </c>
      <c r="F159">
        <v>49291</v>
      </c>
      <c r="G159">
        <v>112097330.97</v>
      </c>
      <c r="H159">
        <v>112097330.97</v>
      </c>
      <c r="I159">
        <v>0.4</v>
      </c>
      <c r="J159">
        <v>2.1752379999999998</v>
      </c>
      <c r="L159">
        <v>-6.763113792337565</v>
      </c>
      <c r="M159">
        <v>-6.7631139999999998</v>
      </c>
      <c r="N159">
        <v>-29.428729000000001</v>
      </c>
      <c r="O159">
        <v>-2.9957020000000001</v>
      </c>
      <c r="P159">
        <v>0.4</v>
      </c>
      <c r="Q159" t="s">
        <v>22</v>
      </c>
      <c r="R159" t="s">
        <v>22</v>
      </c>
      <c r="V159">
        <v>4</v>
      </c>
      <c r="W159">
        <v>0.08</v>
      </c>
      <c r="X159">
        <v>3736577699</v>
      </c>
    </row>
    <row r="160" spans="1:24" x14ac:dyDescent="0.25">
      <c r="A160" t="s">
        <v>180</v>
      </c>
      <c r="B160">
        <v>159</v>
      </c>
      <c r="C160">
        <v>2026</v>
      </c>
      <c r="D160">
        <v>0</v>
      </c>
      <c r="E160">
        <v>0</v>
      </c>
      <c r="F160">
        <v>0</v>
      </c>
      <c r="G160">
        <v>13232</v>
      </c>
      <c r="H160">
        <v>0</v>
      </c>
      <c r="I160">
        <v>9.574167684402628</v>
      </c>
      <c r="J160">
        <v>9.8496769999999998</v>
      </c>
      <c r="K160">
        <v>5.8999999999999997E-2</v>
      </c>
      <c r="L160">
        <v>0.04</v>
      </c>
      <c r="M160">
        <v>1.8368370000000001</v>
      </c>
      <c r="N160">
        <v>5.3781239999999997</v>
      </c>
      <c r="O160">
        <v>22.200295000000001</v>
      </c>
      <c r="P160">
        <v>0</v>
      </c>
      <c r="Q160" t="s">
        <v>22</v>
      </c>
      <c r="R160" t="s">
        <v>22</v>
      </c>
      <c r="S160">
        <v>619</v>
      </c>
      <c r="T160">
        <v>778</v>
      </c>
      <c r="U160">
        <v>0.74</v>
      </c>
      <c r="V160">
        <v>5</v>
      </c>
      <c r="W160">
        <v>1.46</v>
      </c>
      <c r="X160">
        <v>34822261748</v>
      </c>
    </row>
    <row r="161" spans="1:24" x14ac:dyDescent="0.25">
      <c r="A161" t="s">
        <v>181</v>
      </c>
      <c r="B161">
        <v>160</v>
      </c>
      <c r="C161">
        <v>1.36</v>
      </c>
      <c r="D161">
        <v>3.03</v>
      </c>
      <c r="E161">
        <v>3610</v>
      </c>
      <c r="F161">
        <v>4775.8</v>
      </c>
      <c r="G161">
        <v>408000000</v>
      </c>
      <c r="H161">
        <v>393000000</v>
      </c>
      <c r="I161">
        <v>0.33</v>
      </c>
      <c r="J161">
        <v>1.5358999999999999E-2</v>
      </c>
      <c r="K161">
        <v>-0.03</v>
      </c>
      <c r="L161">
        <v>-0.03</v>
      </c>
      <c r="M161">
        <v>-1.5592090000000001</v>
      </c>
      <c r="N161">
        <v>-1.677149</v>
      </c>
      <c r="O161">
        <v>-14.448646</v>
      </c>
      <c r="P161">
        <v>0.32</v>
      </c>
      <c r="Q161" t="s">
        <v>22</v>
      </c>
      <c r="R161" t="s">
        <v>22</v>
      </c>
      <c r="V161">
        <v>3</v>
      </c>
      <c r="W161">
        <v>4.08</v>
      </c>
      <c r="X161">
        <v>300000000</v>
      </c>
    </row>
    <row r="162" spans="1:24" x14ac:dyDescent="0.25">
      <c r="A162" t="s">
        <v>182</v>
      </c>
      <c r="B162">
        <v>161</v>
      </c>
      <c r="C162">
        <v>1.02</v>
      </c>
      <c r="D162">
        <v>0.99</v>
      </c>
      <c r="E162">
        <v>154400</v>
      </c>
      <c r="F162">
        <v>156639</v>
      </c>
      <c r="G162">
        <v>714000000</v>
      </c>
      <c r="H162">
        <v>658000000</v>
      </c>
      <c r="I162">
        <v>0.39</v>
      </c>
      <c r="J162">
        <v>3.9361410000000001</v>
      </c>
      <c r="K162">
        <v>0.02</v>
      </c>
      <c r="L162">
        <v>-7.0000000000000007E-2</v>
      </c>
      <c r="M162">
        <v>-1.1644589999999999</v>
      </c>
      <c r="N162">
        <v>-5.4841049999999996</v>
      </c>
      <c r="O162">
        <v>-2.092781</v>
      </c>
      <c r="P162">
        <v>0.36</v>
      </c>
      <c r="Q162" t="s">
        <v>22</v>
      </c>
      <c r="R162" t="s">
        <v>22</v>
      </c>
      <c r="V162">
        <v>5</v>
      </c>
      <c r="W162">
        <v>2.58</v>
      </c>
      <c r="X162">
        <v>700000000</v>
      </c>
    </row>
    <row r="163" spans="1:24" x14ac:dyDescent="0.25">
      <c r="A163" t="s">
        <v>183</v>
      </c>
      <c r="B163">
        <v>162</v>
      </c>
      <c r="C163">
        <v>19.100000000000001</v>
      </c>
      <c r="D163">
        <v>-1.55</v>
      </c>
      <c r="E163">
        <v>4917235</v>
      </c>
      <c r="F163">
        <v>94595534.099999994</v>
      </c>
      <c r="G163">
        <v>32353430255.200001</v>
      </c>
      <c r="H163">
        <v>9.69</v>
      </c>
      <c r="I163">
        <v>1.08</v>
      </c>
      <c r="J163">
        <v>2.7231350000000001</v>
      </c>
      <c r="K163">
        <v>0.2</v>
      </c>
      <c r="L163">
        <v>0.67</v>
      </c>
      <c r="M163">
        <v>4.5788549999999999</v>
      </c>
      <c r="N163">
        <v>11.818042</v>
      </c>
      <c r="O163">
        <v>4.7089160000000003</v>
      </c>
      <c r="P163">
        <v>2.36</v>
      </c>
      <c r="Q163" t="s">
        <v>22</v>
      </c>
      <c r="R163" t="s">
        <v>22</v>
      </c>
      <c r="S163">
        <v>394</v>
      </c>
      <c r="T163">
        <v>645</v>
      </c>
      <c r="U163">
        <v>0.2</v>
      </c>
      <c r="V163">
        <v>5</v>
      </c>
      <c r="W163">
        <v>17.760000000000002</v>
      </c>
      <c r="X163">
        <v>1693896872</v>
      </c>
    </row>
    <row r="164" spans="1:24" x14ac:dyDescent="0.25">
      <c r="A164" t="s">
        <v>184</v>
      </c>
      <c r="B164">
        <v>163</v>
      </c>
      <c r="C164">
        <v>2.58</v>
      </c>
      <c r="D164">
        <v>-0.77</v>
      </c>
      <c r="E164">
        <v>5748739</v>
      </c>
      <c r="F164">
        <v>14731733.84</v>
      </c>
      <c r="G164">
        <v>20973807440.82</v>
      </c>
      <c r="H164">
        <v>8.81</v>
      </c>
      <c r="I164">
        <v>0.7</v>
      </c>
      <c r="J164">
        <v>0.81972</v>
      </c>
      <c r="K164">
        <v>8.7999999999999995E-2</v>
      </c>
      <c r="L164">
        <v>0.03</v>
      </c>
      <c r="M164">
        <v>5.8901510000000004</v>
      </c>
      <c r="N164">
        <v>8.1670610000000003</v>
      </c>
      <c r="O164">
        <v>10.095497</v>
      </c>
      <c r="P164">
        <v>3.41</v>
      </c>
      <c r="Q164" t="s">
        <v>22</v>
      </c>
      <c r="R164" t="s">
        <v>22</v>
      </c>
      <c r="S164">
        <v>516</v>
      </c>
      <c r="T164">
        <v>540</v>
      </c>
      <c r="U164">
        <v>0.48</v>
      </c>
      <c r="V164">
        <v>5</v>
      </c>
      <c r="W164">
        <v>3.69</v>
      </c>
      <c r="X164">
        <v>8129382729</v>
      </c>
    </row>
    <row r="165" spans="1:24" x14ac:dyDescent="0.25">
      <c r="A165" t="s">
        <v>185</v>
      </c>
      <c r="B165">
        <v>164</v>
      </c>
      <c r="C165">
        <v>1.54</v>
      </c>
      <c r="D165">
        <v>-1.28</v>
      </c>
      <c r="E165">
        <v>106900</v>
      </c>
      <c r="F165">
        <v>166781</v>
      </c>
      <c r="G165">
        <v>586964416.5</v>
      </c>
      <c r="H165">
        <v>571718587.5</v>
      </c>
      <c r="I165">
        <v>0.46</v>
      </c>
      <c r="J165">
        <v>0.140705</v>
      </c>
      <c r="K165">
        <v>3.1E-2</v>
      </c>
      <c r="L165">
        <v>-0.13</v>
      </c>
      <c r="M165">
        <v>-3.0845799999999999</v>
      </c>
      <c r="N165">
        <v>-3.7650749999999999</v>
      </c>
      <c r="O165">
        <v>-8.6874490000000009</v>
      </c>
      <c r="P165">
        <v>2.0099999999999998</v>
      </c>
      <c r="Q165" t="s">
        <v>22</v>
      </c>
      <c r="R165" t="s">
        <v>22</v>
      </c>
      <c r="V165">
        <v>4</v>
      </c>
      <c r="W165">
        <v>3.34</v>
      </c>
      <c r="X165">
        <v>381145725</v>
      </c>
    </row>
    <row r="166" spans="1:24" x14ac:dyDescent="0.25">
      <c r="A166" t="s">
        <v>186</v>
      </c>
      <c r="B166">
        <v>165</v>
      </c>
      <c r="C166">
        <v>2.8</v>
      </c>
      <c r="D166">
        <v>-0.71</v>
      </c>
      <c r="E166">
        <v>368701</v>
      </c>
      <c r="F166">
        <v>1041512.82</v>
      </c>
      <c r="G166">
        <v>2688000000</v>
      </c>
      <c r="H166">
        <v>7.08</v>
      </c>
      <c r="I166">
        <v>0.94</v>
      </c>
      <c r="J166">
        <v>1.161392</v>
      </c>
      <c r="K166">
        <v>0.15</v>
      </c>
      <c r="L166">
        <v>0.27</v>
      </c>
      <c r="M166">
        <v>8.924277</v>
      </c>
      <c r="N166">
        <v>13.866842</v>
      </c>
      <c r="O166">
        <v>13.313535999999999</v>
      </c>
      <c r="P166">
        <v>5.36</v>
      </c>
      <c r="Q166" t="s">
        <v>22</v>
      </c>
      <c r="R166" t="s">
        <v>22</v>
      </c>
      <c r="S166">
        <v>293</v>
      </c>
      <c r="T166">
        <v>326</v>
      </c>
      <c r="U166">
        <v>0.17</v>
      </c>
      <c r="V166">
        <v>4</v>
      </c>
      <c r="W166">
        <v>2.98</v>
      </c>
      <c r="X166">
        <v>960000000</v>
      </c>
    </row>
    <row r="167" spans="1:24" x14ac:dyDescent="0.25">
      <c r="A167" t="s">
        <v>187</v>
      </c>
      <c r="B167">
        <v>166</v>
      </c>
      <c r="C167">
        <v>0.43</v>
      </c>
      <c r="D167">
        <v>2.38</v>
      </c>
      <c r="E167">
        <v>99020</v>
      </c>
      <c r="F167">
        <v>42097.66</v>
      </c>
      <c r="G167">
        <v>473951662.67000002</v>
      </c>
      <c r="H167">
        <v>4.4800000000000004</v>
      </c>
      <c r="I167">
        <v>0.23</v>
      </c>
      <c r="J167">
        <v>2.2081810000000002</v>
      </c>
      <c r="K167">
        <v>3.7200000000000002E-3</v>
      </c>
      <c r="L167">
        <v>-0.11</v>
      </c>
      <c r="M167">
        <v>9.4321900000000003</v>
      </c>
      <c r="N167">
        <v>5.3044700000000002</v>
      </c>
      <c r="O167">
        <v>-16.844386</v>
      </c>
      <c r="P167">
        <v>0.22</v>
      </c>
      <c r="Q167" t="s">
        <v>22</v>
      </c>
      <c r="R167" t="s">
        <v>22</v>
      </c>
      <c r="S167">
        <v>673</v>
      </c>
      <c r="T167">
        <v>311</v>
      </c>
      <c r="U167">
        <v>-0.12</v>
      </c>
      <c r="V167">
        <v>5</v>
      </c>
      <c r="W167">
        <v>1.88</v>
      </c>
      <c r="X167">
        <v>1102213169</v>
      </c>
    </row>
    <row r="168" spans="1:24" x14ac:dyDescent="0.25">
      <c r="A168" t="s">
        <v>188</v>
      </c>
      <c r="B168">
        <v>167</v>
      </c>
      <c r="C168">
        <v>0.69</v>
      </c>
      <c r="D168">
        <v>1.47</v>
      </c>
      <c r="E168">
        <v>775810</v>
      </c>
      <c r="F168">
        <v>543480.9</v>
      </c>
      <c r="G168">
        <v>294060649.25999999</v>
      </c>
      <c r="H168">
        <v>318.58999999999997</v>
      </c>
      <c r="I168">
        <v>0.96</v>
      </c>
      <c r="J168">
        <v>1.679149</v>
      </c>
      <c r="K168">
        <v>-0.01</v>
      </c>
      <c r="L168">
        <v>-0.01</v>
      </c>
      <c r="M168">
        <v>4.7081770000000001</v>
      </c>
      <c r="N168">
        <v>0.30124099999999998</v>
      </c>
      <c r="O168">
        <v>0.109099</v>
      </c>
      <c r="P168">
        <v>0.92</v>
      </c>
      <c r="Q168" t="s">
        <v>22</v>
      </c>
      <c r="R168" t="s">
        <v>22</v>
      </c>
      <c r="S168">
        <v>1156</v>
      </c>
      <c r="T168">
        <v>1054</v>
      </c>
      <c r="U168">
        <v>0.53</v>
      </c>
      <c r="V168">
        <v>4</v>
      </c>
      <c r="W168">
        <v>0.72</v>
      </c>
      <c r="X168">
        <v>426174854</v>
      </c>
    </row>
    <row r="169" spans="1:24" x14ac:dyDescent="0.25">
      <c r="A169" t="s">
        <v>189</v>
      </c>
      <c r="B169">
        <v>168</v>
      </c>
      <c r="C169">
        <v>1.29</v>
      </c>
      <c r="D169">
        <v>-0.77</v>
      </c>
      <c r="E169">
        <v>1185900</v>
      </c>
      <c r="F169">
        <v>1562395</v>
      </c>
      <c r="G169">
        <v>5251751250</v>
      </c>
      <c r="H169">
        <v>2.1800000000000002</v>
      </c>
      <c r="I169">
        <v>1.1599999999999999</v>
      </c>
      <c r="J169">
        <v>0.67941300000000004</v>
      </c>
      <c r="K169">
        <v>0.1043</v>
      </c>
      <c r="L169">
        <v>0.01</v>
      </c>
      <c r="M169">
        <v>27.999704999999999</v>
      </c>
      <c r="N169">
        <v>60.653295999999997</v>
      </c>
      <c r="O169">
        <v>2.9014700000000002</v>
      </c>
      <c r="P169">
        <v>16.920000000000002</v>
      </c>
      <c r="Q169" t="s">
        <v>22</v>
      </c>
      <c r="R169" t="s">
        <v>22</v>
      </c>
      <c r="S169">
        <v>16</v>
      </c>
      <c r="T169">
        <v>13</v>
      </c>
      <c r="W169">
        <v>1.1200000000000001</v>
      </c>
      <c r="X169">
        <v>4071125000</v>
      </c>
    </row>
    <row r="170" spans="1:24" x14ac:dyDescent="0.25">
      <c r="A170" t="s">
        <v>190</v>
      </c>
      <c r="B170">
        <v>169</v>
      </c>
      <c r="C170">
        <v>3.36</v>
      </c>
      <c r="D170">
        <v>0.6</v>
      </c>
      <c r="E170">
        <v>6891107</v>
      </c>
      <c r="F170">
        <v>23090533.460000001</v>
      </c>
      <c r="G170">
        <v>3453757923.8400002</v>
      </c>
      <c r="H170">
        <v>15.74</v>
      </c>
      <c r="I170">
        <v>1.82</v>
      </c>
      <c r="J170">
        <v>3.5923250000000002</v>
      </c>
      <c r="K170">
        <v>0.05</v>
      </c>
      <c r="L170">
        <v>0.18</v>
      </c>
      <c r="M170">
        <v>3.1826140000000001</v>
      </c>
      <c r="N170">
        <v>12.200419999999999</v>
      </c>
      <c r="O170">
        <v>2.847451</v>
      </c>
      <c r="P170">
        <v>1.49</v>
      </c>
      <c r="Q170" t="s">
        <v>22</v>
      </c>
      <c r="R170" t="s">
        <v>22</v>
      </c>
      <c r="S170">
        <v>1156</v>
      </c>
      <c r="T170">
        <v>1229</v>
      </c>
      <c r="U170">
        <v>1.34</v>
      </c>
      <c r="V170">
        <v>5</v>
      </c>
      <c r="W170">
        <v>1.84</v>
      </c>
      <c r="X170">
        <v>1027904144</v>
      </c>
    </row>
    <row r="171" spans="1:24" x14ac:dyDescent="0.25">
      <c r="A171" t="s">
        <v>191</v>
      </c>
      <c r="B171">
        <v>170</v>
      </c>
      <c r="C171">
        <v>5.9</v>
      </c>
      <c r="D171">
        <v>-0.84</v>
      </c>
      <c r="E171">
        <v>560701</v>
      </c>
      <c r="F171">
        <v>3313520.9</v>
      </c>
      <c r="G171">
        <v>8673000000</v>
      </c>
      <c r="H171">
        <v>28.28</v>
      </c>
      <c r="I171">
        <v>2.48</v>
      </c>
      <c r="J171">
        <v>1.6132899999999999</v>
      </c>
      <c r="K171">
        <v>0.12</v>
      </c>
      <c r="L171">
        <v>0.14000000000000001</v>
      </c>
      <c r="M171">
        <v>5.3056390000000002</v>
      </c>
      <c r="N171">
        <v>8.9292239999999996</v>
      </c>
      <c r="O171">
        <v>6.3610439999999997</v>
      </c>
      <c r="P171">
        <v>2.0299999999999998</v>
      </c>
      <c r="Q171" t="s">
        <v>22</v>
      </c>
      <c r="R171" t="s">
        <v>22</v>
      </c>
      <c r="S171">
        <v>934</v>
      </c>
      <c r="T171">
        <v>1022</v>
      </c>
      <c r="U171">
        <v>16.14</v>
      </c>
      <c r="V171">
        <v>4</v>
      </c>
      <c r="W171">
        <v>2.38</v>
      </c>
      <c r="X171">
        <v>1470000000</v>
      </c>
    </row>
    <row r="172" spans="1:24" x14ac:dyDescent="0.25">
      <c r="A172" t="s">
        <v>192</v>
      </c>
      <c r="B172">
        <v>171</v>
      </c>
      <c r="C172">
        <v>2026</v>
      </c>
      <c r="D172">
        <v>0.99</v>
      </c>
      <c r="E172">
        <v>0</v>
      </c>
      <c r="F172">
        <v>644701</v>
      </c>
      <c r="G172">
        <v>638413.99</v>
      </c>
      <c r="H172">
        <v>583075431.17999995</v>
      </c>
      <c r="I172">
        <v>0.84742371429721752</v>
      </c>
      <c r="J172">
        <v>0.84742371429721752</v>
      </c>
      <c r="K172">
        <v>0.03</v>
      </c>
      <c r="L172">
        <v>2.5940277948037469</v>
      </c>
      <c r="M172">
        <v>3.0351479584332766</v>
      </c>
      <c r="N172">
        <v>2.7863734557831075</v>
      </c>
      <c r="O172">
        <v>23.25</v>
      </c>
      <c r="P172">
        <v>0.71</v>
      </c>
      <c r="Q172" t="s">
        <v>22</v>
      </c>
      <c r="R172" t="s">
        <v>22</v>
      </c>
      <c r="S172">
        <v>1238</v>
      </c>
      <c r="T172">
        <v>1255</v>
      </c>
      <c r="U172">
        <v>-2.2200000000000002</v>
      </c>
      <c r="V172">
        <v>5</v>
      </c>
      <c r="W172">
        <v>3.03</v>
      </c>
      <c r="X172">
        <v>1.4</v>
      </c>
    </row>
    <row r="173" spans="1:24" x14ac:dyDescent="0.25">
      <c r="A173" t="s">
        <v>193</v>
      </c>
      <c r="B173">
        <v>172</v>
      </c>
      <c r="C173">
        <v>29</v>
      </c>
      <c r="D173">
        <v>0</v>
      </c>
      <c r="E173">
        <v>4950849</v>
      </c>
      <c r="F173">
        <v>143811583.25</v>
      </c>
      <c r="G173">
        <v>69243264185</v>
      </c>
      <c r="H173">
        <v>14.83</v>
      </c>
      <c r="I173">
        <v>6.32</v>
      </c>
      <c r="J173">
        <v>2.4646170000000001</v>
      </c>
      <c r="K173">
        <v>1.1000000000000001</v>
      </c>
      <c r="L173">
        <v>1.07</v>
      </c>
      <c r="M173">
        <v>18.244489999999999</v>
      </c>
      <c r="N173">
        <v>47.158889000000002</v>
      </c>
      <c r="O173">
        <v>5.3649940000000003</v>
      </c>
      <c r="P173">
        <v>3.79</v>
      </c>
      <c r="Q173" t="s">
        <v>22</v>
      </c>
      <c r="R173" t="s">
        <v>22</v>
      </c>
      <c r="S173">
        <v>505</v>
      </c>
      <c r="T173">
        <v>519</v>
      </c>
      <c r="U173">
        <v>1.36</v>
      </c>
      <c r="V173">
        <v>5</v>
      </c>
      <c r="W173">
        <v>4.59</v>
      </c>
      <c r="X173">
        <v>2387698765</v>
      </c>
    </row>
    <row r="174" spans="1:24" x14ac:dyDescent="0.25">
      <c r="A174" t="s">
        <v>194</v>
      </c>
      <c r="B174">
        <v>173</v>
      </c>
      <c r="C174">
        <v>0.51</v>
      </c>
      <c r="D174">
        <v>0</v>
      </c>
      <c r="E174">
        <v>2800</v>
      </c>
      <c r="F174">
        <v>1418</v>
      </c>
      <c r="G174">
        <v>85377907.620000005</v>
      </c>
      <c r="H174">
        <v>83703831</v>
      </c>
      <c r="I174">
        <v>0.69</v>
      </c>
      <c r="J174">
        <v>0.14274400000000001</v>
      </c>
      <c r="K174">
        <v>8.77E-2</v>
      </c>
      <c r="L174">
        <v>-0.06</v>
      </c>
      <c r="M174">
        <v>-66.415747999999994</v>
      </c>
      <c r="N174">
        <v>-72.066751999999994</v>
      </c>
      <c r="O174">
        <v>-10.847472</v>
      </c>
      <c r="P174">
        <v>0.67</v>
      </c>
      <c r="Q174" t="s">
        <v>22</v>
      </c>
      <c r="R174" t="s">
        <v>22</v>
      </c>
      <c r="V174">
        <v>4</v>
      </c>
      <c r="W174">
        <v>0.74</v>
      </c>
      <c r="X174">
        <v>167407662</v>
      </c>
    </row>
    <row r="175" spans="1:24" x14ac:dyDescent="0.25">
      <c r="A175" t="s">
        <v>195</v>
      </c>
      <c r="B175">
        <v>174</v>
      </c>
      <c r="C175">
        <v>46.25</v>
      </c>
      <c r="D175">
        <v>-1.6</v>
      </c>
      <c r="E175">
        <v>19328040</v>
      </c>
      <c r="F175">
        <v>898940224</v>
      </c>
      <c r="G175">
        <v>415468437345</v>
      </c>
      <c r="H175">
        <v>13.52</v>
      </c>
      <c r="I175">
        <v>2.92</v>
      </c>
      <c r="J175">
        <v>1.875658</v>
      </c>
      <c r="K175">
        <v>1.65</v>
      </c>
      <c r="L175">
        <v>1.84</v>
      </c>
      <c r="M175">
        <v>5.9251800000000001</v>
      </c>
      <c r="N175">
        <v>22.729908999999999</v>
      </c>
      <c r="O175">
        <v>3.4511810000000001</v>
      </c>
      <c r="P175">
        <v>3.57</v>
      </c>
      <c r="Q175" t="s">
        <v>22</v>
      </c>
      <c r="R175" t="s">
        <v>22</v>
      </c>
      <c r="S175">
        <v>516</v>
      </c>
      <c r="T175">
        <v>819</v>
      </c>
      <c r="U175">
        <v>0.65</v>
      </c>
      <c r="V175">
        <v>5</v>
      </c>
      <c r="W175">
        <v>15.84</v>
      </c>
      <c r="X175">
        <v>8983101348</v>
      </c>
    </row>
    <row r="176" spans="1:24" x14ac:dyDescent="0.25">
      <c r="A176" t="s">
        <v>196</v>
      </c>
      <c r="B176">
        <v>175</v>
      </c>
      <c r="C176">
        <v>1.1499999999999999</v>
      </c>
      <c r="D176">
        <v>0</v>
      </c>
      <c r="E176">
        <v>1700</v>
      </c>
      <c r="F176">
        <v>1939</v>
      </c>
      <c r="G176">
        <v>187655358.94999999</v>
      </c>
      <c r="H176">
        <v>194182501.87</v>
      </c>
      <c r="I176">
        <v>0.45</v>
      </c>
      <c r="J176">
        <v>1.6325590000000001</v>
      </c>
      <c r="K176">
        <v>0.16</v>
      </c>
      <c r="L176">
        <v>-0.2</v>
      </c>
      <c r="M176">
        <v>-3.4097870000000001</v>
      </c>
      <c r="N176">
        <v>-9.8798940000000002</v>
      </c>
      <c r="O176">
        <v>-68.063787000000005</v>
      </c>
      <c r="P176">
        <v>0.46</v>
      </c>
      <c r="Q176" t="s">
        <v>22</v>
      </c>
      <c r="R176" t="s">
        <v>22</v>
      </c>
      <c r="W176">
        <v>2.57</v>
      </c>
      <c r="X176">
        <v>163178573</v>
      </c>
    </row>
    <row r="177" spans="1:24" x14ac:dyDescent="0.25">
      <c r="A177" t="s">
        <v>197</v>
      </c>
      <c r="B177">
        <v>176</v>
      </c>
      <c r="C177">
        <v>14.8</v>
      </c>
      <c r="D177">
        <v>0</v>
      </c>
      <c r="E177">
        <v>3997586</v>
      </c>
      <c r="F177">
        <v>59170599.200000003</v>
      </c>
      <c r="G177">
        <v>154329394640</v>
      </c>
      <c r="H177">
        <v>16.97</v>
      </c>
      <c r="I177">
        <v>0.52</v>
      </c>
      <c r="J177">
        <v>0.89965099999999998</v>
      </c>
      <c r="K177">
        <v>0.18</v>
      </c>
      <c r="L177">
        <v>0.45</v>
      </c>
      <c r="M177">
        <v>3.0184799999999998</v>
      </c>
      <c r="N177">
        <v>3.0487359999999999</v>
      </c>
      <c r="O177">
        <v>1.711125</v>
      </c>
      <c r="P177">
        <v>4.8</v>
      </c>
      <c r="Q177" t="s">
        <v>22</v>
      </c>
      <c r="R177" t="s">
        <v>22</v>
      </c>
      <c r="S177">
        <v>1086</v>
      </c>
      <c r="T177">
        <v>1065</v>
      </c>
      <c r="U177">
        <v>3.12</v>
      </c>
      <c r="V177">
        <v>5</v>
      </c>
      <c r="W177">
        <v>28.72</v>
      </c>
      <c r="X177">
        <v>10427661800</v>
      </c>
    </row>
    <row r="178" spans="1:24" x14ac:dyDescent="0.25">
      <c r="A178" t="s">
        <v>198</v>
      </c>
      <c r="B178">
        <v>177</v>
      </c>
      <c r="C178">
        <v>23.9</v>
      </c>
      <c r="D178">
        <v>0.42</v>
      </c>
      <c r="E178">
        <v>29473017</v>
      </c>
      <c r="F178">
        <v>703057551</v>
      </c>
      <c r="G178">
        <v>197009152761.5</v>
      </c>
      <c r="H178">
        <v>12.81</v>
      </c>
      <c r="I178">
        <v>0.78</v>
      </c>
      <c r="J178">
        <v>2.3312879999999998</v>
      </c>
      <c r="K178">
        <v>0.25</v>
      </c>
      <c r="L178">
        <v>1.1100000000000001</v>
      </c>
      <c r="M178">
        <v>5.1769189999999998</v>
      </c>
      <c r="N178">
        <v>6.164663</v>
      </c>
      <c r="O178">
        <v>3.4537300000000002</v>
      </c>
      <c r="P178">
        <v>5.27</v>
      </c>
      <c r="Q178" t="s">
        <v>22</v>
      </c>
      <c r="R178" t="s">
        <v>22</v>
      </c>
      <c r="S178">
        <v>496</v>
      </c>
      <c r="T178">
        <v>521</v>
      </c>
      <c r="U178">
        <v>-0.06</v>
      </c>
      <c r="V178">
        <v>5</v>
      </c>
      <c r="W178">
        <v>30.68</v>
      </c>
      <c r="X178">
        <v>8243060785</v>
      </c>
    </row>
    <row r="179" spans="1:24" x14ac:dyDescent="0.25">
      <c r="A179" t="s">
        <v>199</v>
      </c>
      <c r="B179">
        <v>178</v>
      </c>
      <c r="C179">
        <v>12.1</v>
      </c>
      <c r="D179">
        <v>-3.2</v>
      </c>
      <c r="E179">
        <v>357800</v>
      </c>
      <c r="F179">
        <v>4326840</v>
      </c>
      <c r="G179">
        <v>484000000</v>
      </c>
      <c r="H179">
        <v>4.53</v>
      </c>
      <c r="I179">
        <v>0.41</v>
      </c>
      <c r="J179">
        <v>0.53571100000000005</v>
      </c>
      <c r="K179">
        <v>0.75</v>
      </c>
      <c r="L179">
        <v>1.79</v>
      </c>
      <c r="M179">
        <v>8.6185620000000007</v>
      </c>
      <c r="N179">
        <v>9.3418279999999996</v>
      </c>
      <c r="O179">
        <v>8.7079570000000004</v>
      </c>
      <c r="P179">
        <v>6.2</v>
      </c>
      <c r="Q179" t="s">
        <v>22</v>
      </c>
      <c r="R179" t="s">
        <v>22</v>
      </c>
      <c r="S179">
        <v>617</v>
      </c>
      <c r="T179">
        <v>534</v>
      </c>
      <c r="U179">
        <v>0.02</v>
      </c>
      <c r="W179">
        <v>29.55</v>
      </c>
      <c r="X179">
        <v>40000000</v>
      </c>
    </row>
    <row r="180" spans="1:24" x14ac:dyDescent="0.25">
      <c r="A180" t="s">
        <v>200</v>
      </c>
      <c r="B180">
        <v>179</v>
      </c>
      <c r="C180">
        <v>3.52</v>
      </c>
      <c r="D180">
        <v>1.1499999999999999</v>
      </c>
      <c r="E180">
        <v>87684</v>
      </c>
      <c r="F180">
        <v>306820.09999999998</v>
      </c>
      <c r="G180">
        <v>2227289328</v>
      </c>
      <c r="H180">
        <v>8.64</v>
      </c>
      <c r="I180">
        <v>0.64</v>
      </c>
      <c r="J180">
        <v>0.41888999999999998</v>
      </c>
      <c r="K180">
        <v>0.27</v>
      </c>
      <c r="L180">
        <v>0.22</v>
      </c>
      <c r="M180">
        <v>7.3347759999999997</v>
      </c>
      <c r="N180">
        <v>7.8760349999999999</v>
      </c>
      <c r="O180">
        <v>4.8834850000000003</v>
      </c>
      <c r="P180">
        <v>7.67</v>
      </c>
      <c r="Q180" t="s">
        <v>22</v>
      </c>
      <c r="R180" t="s">
        <v>22</v>
      </c>
      <c r="S180">
        <v>531</v>
      </c>
      <c r="T180">
        <v>446</v>
      </c>
      <c r="U180">
        <v>0.34</v>
      </c>
      <c r="V180">
        <v>4</v>
      </c>
      <c r="W180">
        <v>5.52</v>
      </c>
      <c r="X180">
        <v>632752650</v>
      </c>
    </row>
    <row r="181" spans="1:24" x14ac:dyDescent="0.25">
      <c r="A181" t="s">
        <v>201</v>
      </c>
      <c r="B181">
        <v>180</v>
      </c>
      <c r="C181">
        <v>0.68</v>
      </c>
      <c r="D181">
        <v>-2.86</v>
      </c>
      <c r="E181">
        <v>291210</v>
      </c>
      <c r="F181">
        <v>200029.9</v>
      </c>
      <c r="G181">
        <v>299094113.12</v>
      </c>
      <c r="H181">
        <v>312289441.63999999</v>
      </c>
      <c r="I181">
        <v>0.51</v>
      </c>
      <c r="J181">
        <v>2.2447149999999998</v>
      </c>
      <c r="K181">
        <v>0.05</v>
      </c>
      <c r="L181">
        <v>0.01</v>
      </c>
      <c r="M181">
        <v>-0.37487300000000001</v>
      </c>
      <c r="N181">
        <v>-13.575163</v>
      </c>
      <c r="O181">
        <v>0.39756599999999997</v>
      </c>
      <c r="P181">
        <v>0.53</v>
      </c>
      <c r="Q181" t="s">
        <v>22</v>
      </c>
      <c r="R181" t="s">
        <v>22</v>
      </c>
      <c r="V181">
        <v>5</v>
      </c>
      <c r="W181">
        <v>1.34</v>
      </c>
      <c r="X181">
        <v>439844284</v>
      </c>
    </row>
    <row r="182" spans="1:24" x14ac:dyDescent="0.25">
      <c r="A182" t="s">
        <v>202</v>
      </c>
      <c r="B182">
        <v>181</v>
      </c>
      <c r="C182">
        <v>66</v>
      </c>
      <c r="D182">
        <v>0</v>
      </c>
      <c r="E182">
        <v>6056733</v>
      </c>
      <c r="F182">
        <v>399760012.75</v>
      </c>
      <c r="G182">
        <v>296208000000</v>
      </c>
      <c r="H182">
        <v>14.79</v>
      </c>
      <c r="I182">
        <v>2.72</v>
      </c>
      <c r="J182">
        <v>1.5907340000000001</v>
      </c>
      <c r="K182">
        <v>2.4</v>
      </c>
      <c r="L182">
        <v>2.17</v>
      </c>
      <c r="M182">
        <v>9.341564</v>
      </c>
      <c r="N182">
        <v>19.228885999999999</v>
      </c>
      <c r="O182">
        <v>36.841391000000002</v>
      </c>
      <c r="P182">
        <v>3.64</v>
      </c>
      <c r="Q182" t="s">
        <v>22</v>
      </c>
      <c r="R182" t="s">
        <v>22</v>
      </c>
      <c r="S182">
        <v>545</v>
      </c>
      <c r="T182">
        <v>642</v>
      </c>
      <c r="U182">
        <v>0.52</v>
      </c>
      <c r="V182">
        <v>5</v>
      </c>
      <c r="W182">
        <v>24.27</v>
      </c>
      <c r="X182">
        <v>4488000000</v>
      </c>
    </row>
    <row r="183" spans="1:24" x14ac:dyDescent="0.25">
      <c r="A183" t="s">
        <v>203</v>
      </c>
      <c r="B183">
        <v>182</v>
      </c>
      <c r="C183">
        <v>2.62</v>
      </c>
      <c r="D183">
        <v>-0.76</v>
      </c>
      <c r="E183">
        <v>35606</v>
      </c>
      <c r="F183">
        <v>94416.06</v>
      </c>
      <c r="G183">
        <v>521380000</v>
      </c>
      <c r="H183">
        <v>42.31</v>
      </c>
      <c r="I183">
        <v>1.03</v>
      </c>
      <c r="J183">
        <v>0.11913799999999999</v>
      </c>
      <c r="K183">
        <v>3.5000000000000003E-2</v>
      </c>
      <c r="L183">
        <v>0.01</v>
      </c>
      <c r="M183">
        <v>2.6270539999999998</v>
      </c>
      <c r="N183">
        <v>2.4454880000000001</v>
      </c>
      <c r="O183">
        <v>1.754564</v>
      </c>
      <c r="P183">
        <v>1.34</v>
      </c>
      <c r="Q183" t="s">
        <v>22</v>
      </c>
      <c r="R183" t="s">
        <v>22</v>
      </c>
      <c r="S183">
        <v>1220</v>
      </c>
      <c r="T183">
        <v>1180</v>
      </c>
      <c r="U183">
        <v>-1.42</v>
      </c>
      <c r="W183">
        <v>2.5499999999999998</v>
      </c>
      <c r="X183">
        <v>199000000</v>
      </c>
    </row>
    <row r="184" spans="1:24" x14ac:dyDescent="0.25">
      <c r="A184" t="s">
        <v>204</v>
      </c>
      <c r="B184">
        <v>183</v>
      </c>
      <c r="C184">
        <v>0.99</v>
      </c>
      <c r="D184">
        <v>-1</v>
      </c>
      <c r="E184">
        <v>42002</v>
      </c>
      <c r="F184">
        <v>41583</v>
      </c>
      <c r="G184">
        <v>891000000</v>
      </c>
      <c r="H184">
        <v>10.9</v>
      </c>
      <c r="I184">
        <v>0.84</v>
      </c>
      <c r="J184">
        <v>0.49188100000000001</v>
      </c>
      <c r="K184">
        <v>2.5000000000000001E-2</v>
      </c>
      <c r="L184">
        <v>0.04</v>
      </c>
      <c r="M184">
        <v>7.4532990000000003</v>
      </c>
      <c r="N184">
        <v>7.9778919999999998</v>
      </c>
      <c r="O184">
        <v>7.7228089999999998</v>
      </c>
      <c r="P184">
        <v>2.5299999999999998</v>
      </c>
      <c r="Q184" t="s">
        <v>22</v>
      </c>
      <c r="R184" t="s">
        <v>22</v>
      </c>
      <c r="S184">
        <v>659</v>
      </c>
      <c r="T184">
        <v>572</v>
      </c>
      <c r="U184">
        <v>-0.14000000000000001</v>
      </c>
      <c r="W184">
        <v>1.17</v>
      </c>
      <c r="X184">
        <v>900000000</v>
      </c>
    </row>
    <row r="185" spans="1:24" x14ac:dyDescent="0.25">
      <c r="A185" t="s">
        <v>205</v>
      </c>
      <c r="B185">
        <v>184</v>
      </c>
      <c r="C185">
        <v>2.52</v>
      </c>
      <c r="D185">
        <v>0</v>
      </c>
      <c r="E185">
        <v>67200</v>
      </c>
      <c r="F185">
        <v>169514</v>
      </c>
      <c r="G185">
        <v>1512000000</v>
      </c>
      <c r="H185">
        <v>9.0299999999999994</v>
      </c>
      <c r="I185">
        <v>1.73</v>
      </c>
      <c r="J185">
        <v>2.0723780000000001</v>
      </c>
      <c r="K185">
        <v>0.08</v>
      </c>
      <c r="L185">
        <v>0.14000000000000001</v>
      </c>
      <c r="M185">
        <v>9.4156910000000007</v>
      </c>
      <c r="N185">
        <v>19.722867000000001</v>
      </c>
      <c r="O185">
        <v>1.4889479999999999</v>
      </c>
      <c r="P185">
        <v>7.54</v>
      </c>
      <c r="Q185" t="s">
        <v>22</v>
      </c>
      <c r="R185" t="s">
        <v>22</v>
      </c>
      <c r="S185">
        <v>302</v>
      </c>
      <c r="T185">
        <v>400</v>
      </c>
      <c r="U185">
        <v>0.72</v>
      </c>
      <c r="V185">
        <v>5</v>
      </c>
      <c r="W185">
        <v>1.46</v>
      </c>
      <c r="X185">
        <v>600000000</v>
      </c>
    </row>
    <row r="186" spans="1:24" x14ac:dyDescent="0.25">
      <c r="A186" t="s">
        <v>206</v>
      </c>
      <c r="B186">
        <v>185</v>
      </c>
      <c r="C186">
        <v>0.32</v>
      </c>
      <c r="D186">
        <v>-3.03</v>
      </c>
      <c r="E186">
        <v>948468</v>
      </c>
      <c r="F186">
        <v>307333.52</v>
      </c>
      <c r="G186">
        <v>242620169.91999999</v>
      </c>
      <c r="H186">
        <v>250202050.22999999</v>
      </c>
      <c r="I186">
        <v>0.37</v>
      </c>
      <c r="J186">
        <v>1.2389079999999999</v>
      </c>
      <c r="K186">
        <v>-0.05</v>
      </c>
      <c r="L186">
        <v>-0.05</v>
      </c>
      <c r="M186">
        <v>-3.800395</v>
      </c>
      <c r="N186">
        <v>-14.586204</v>
      </c>
      <c r="O186">
        <v>-38.522345000000001</v>
      </c>
      <c r="P186">
        <v>0.38</v>
      </c>
      <c r="Q186" t="s">
        <v>22</v>
      </c>
      <c r="R186" t="s">
        <v>22</v>
      </c>
      <c r="W186">
        <v>0.87</v>
      </c>
      <c r="X186">
        <v>758188031</v>
      </c>
    </row>
    <row r="187" spans="1:24" x14ac:dyDescent="0.25">
      <c r="A187" t="s">
        <v>207</v>
      </c>
      <c r="B187">
        <v>186</v>
      </c>
      <c r="C187">
        <v>28</v>
      </c>
      <c r="D187">
        <v>-4.2699999999999996</v>
      </c>
      <c r="E187">
        <v>14509894</v>
      </c>
      <c r="F187">
        <v>409320317.5</v>
      </c>
      <c r="G187">
        <v>168868000000</v>
      </c>
      <c r="H187">
        <v>19.27</v>
      </c>
      <c r="I187">
        <v>2.54</v>
      </c>
      <c r="J187">
        <v>2.4835180000000001</v>
      </c>
      <c r="K187">
        <v>1.1100000000000001</v>
      </c>
      <c r="L187">
        <v>0.8</v>
      </c>
      <c r="M187">
        <v>5.9701969999999998</v>
      </c>
      <c r="N187">
        <v>13.127304000000001</v>
      </c>
      <c r="O187">
        <v>3.961964</v>
      </c>
      <c r="P187">
        <v>6.46</v>
      </c>
      <c r="Q187" t="s">
        <v>22</v>
      </c>
      <c r="R187" t="s">
        <v>22</v>
      </c>
      <c r="S187">
        <v>781</v>
      </c>
      <c r="T187">
        <v>945</v>
      </c>
      <c r="U187">
        <v>0.01</v>
      </c>
      <c r="V187">
        <v>5</v>
      </c>
      <c r="W187">
        <v>11.01</v>
      </c>
      <c r="X187">
        <v>6031000000</v>
      </c>
    </row>
    <row r="188" spans="1:24" x14ac:dyDescent="0.25">
      <c r="A188" t="s">
        <v>208</v>
      </c>
      <c r="B188">
        <v>187</v>
      </c>
      <c r="C188">
        <v>0.49</v>
      </c>
      <c r="D188">
        <v>2.08</v>
      </c>
      <c r="E188">
        <v>52000</v>
      </c>
      <c r="F188">
        <v>25231</v>
      </c>
      <c r="G188">
        <v>245000000</v>
      </c>
      <c r="H188">
        <v>4.16</v>
      </c>
      <c r="I188">
        <v>0.49</v>
      </c>
      <c r="J188">
        <v>0.92414099999999999</v>
      </c>
      <c r="K188">
        <v>0.04</v>
      </c>
      <c r="L188">
        <v>0.04</v>
      </c>
      <c r="M188">
        <v>8.3982340000000004</v>
      </c>
      <c r="N188">
        <v>12.595101</v>
      </c>
      <c r="O188">
        <v>4.9504219999999997</v>
      </c>
      <c r="P188">
        <v>0.47</v>
      </c>
      <c r="Q188" t="s">
        <v>22</v>
      </c>
      <c r="R188" t="s">
        <v>22</v>
      </c>
      <c r="S188">
        <v>192</v>
      </c>
      <c r="T188">
        <v>238</v>
      </c>
      <c r="U188">
        <v>0.09</v>
      </c>
      <c r="V188">
        <v>4</v>
      </c>
      <c r="W188">
        <v>0.99</v>
      </c>
      <c r="X188">
        <v>500000000</v>
      </c>
    </row>
    <row r="189" spans="1:24" x14ac:dyDescent="0.25">
      <c r="A189" t="s">
        <v>209</v>
      </c>
      <c r="B189">
        <v>188</v>
      </c>
      <c r="C189">
        <v>23.5</v>
      </c>
      <c r="D189">
        <v>-1.67</v>
      </c>
      <c r="E189">
        <v>637398</v>
      </c>
      <c r="F189">
        <v>15035179</v>
      </c>
      <c r="G189">
        <v>29018721717</v>
      </c>
      <c r="H189">
        <v>6.68</v>
      </c>
      <c r="I189">
        <v>1.06</v>
      </c>
      <c r="J189">
        <v>7.3933239999999998</v>
      </c>
      <c r="K189">
        <v>0.98</v>
      </c>
      <c r="L189">
        <v>1.74</v>
      </c>
      <c r="M189">
        <v>4.41242</v>
      </c>
      <c r="N189">
        <v>16.907420999999999</v>
      </c>
      <c r="O189">
        <v>20.891499</v>
      </c>
      <c r="P189">
        <v>4.17</v>
      </c>
      <c r="Q189" t="s">
        <v>22</v>
      </c>
      <c r="R189" t="s">
        <v>22</v>
      </c>
      <c r="S189">
        <v>218</v>
      </c>
      <c r="T189">
        <v>706</v>
      </c>
      <c r="U189">
        <v>1.08</v>
      </c>
      <c r="V189">
        <v>5</v>
      </c>
      <c r="W189">
        <v>22.07</v>
      </c>
      <c r="X189">
        <v>1234839222</v>
      </c>
    </row>
    <row r="190" spans="1:24" x14ac:dyDescent="0.25">
      <c r="A190" t="s">
        <v>210</v>
      </c>
      <c r="B190">
        <v>189</v>
      </c>
      <c r="C190">
        <v>46.75</v>
      </c>
      <c r="D190">
        <v>-0.53</v>
      </c>
      <c r="E190">
        <v>100</v>
      </c>
      <c r="F190">
        <v>4675</v>
      </c>
      <c r="G190">
        <v>2431036231.25</v>
      </c>
      <c r="H190">
        <v>8.51</v>
      </c>
      <c r="I190">
        <v>0.56000000000000005</v>
      </c>
      <c r="J190">
        <v>0.24346400000000001</v>
      </c>
      <c r="K190">
        <v>2.25</v>
      </c>
      <c r="L190">
        <v>4.17</v>
      </c>
      <c r="M190">
        <v>6.7110329999999996</v>
      </c>
      <c r="N190">
        <v>6.757822</v>
      </c>
      <c r="O190">
        <v>11.095743000000001</v>
      </c>
      <c r="P190">
        <v>4.8099999999999996</v>
      </c>
      <c r="Q190" t="s">
        <v>22</v>
      </c>
      <c r="R190" t="s">
        <v>22</v>
      </c>
      <c r="S190">
        <v>580</v>
      </c>
      <c r="T190">
        <v>479</v>
      </c>
      <c r="U190">
        <v>0.74</v>
      </c>
      <c r="V190">
        <v>4</v>
      </c>
      <c r="W190">
        <v>82.8</v>
      </c>
      <c r="X190">
        <v>52000775</v>
      </c>
    </row>
    <row r="191" spans="1:24" x14ac:dyDescent="0.25">
      <c r="A191" t="s">
        <v>211</v>
      </c>
      <c r="B191">
        <v>190</v>
      </c>
      <c r="C191">
        <v>0.82</v>
      </c>
      <c r="D191">
        <v>3.8</v>
      </c>
      <c r="E191">
        <v>6829430</v>
      </c>
      <c r="F191">
        <v>5864633.4500000002</v>
      </c>
      <c r="G191">
        <v>406858437.31999999</v>
      </c>
      <c r="H191">
        <v>10.53</v>
      </c>
      <c r="I191">
        <v>0.69</v>
      </c>
      <c r="J191">
        <v>2.3193350000000001</v>
      </c>
      <c r="K191">
        <v>0.2</v>
      </c>
      <c r="L191">
        <v>0.12</v>
      </c>
      <c r="M191">
        <v>4.4170069999999999</v>
      </c>
      <c r="N191">
        <v>6.7378499999999999</v>
      </c>
      <c r="O191">
        <v>4.972645</v>
      </c>
      <c r="P191">
        <v>0.45</v>
      </c>
      <c r="Q191" t="s">
        <v>22</v>
      </c>
      <c r="R191" t="s">
        <v>22</v>
      </c>
      <c r="V191">
        <v>3</v>
      </c>
      <c r="W191">
        <v>1.19</v>
      </c>
      <c r="X191">
        <v>496168826</v>
      </c>
    </row>
    <row r="192" spans="1:24" x14ac:dyDescent="0.25">
      <c r="A192" t="s">
        <v>212</v>
      </c>
      <c r="B192">
        <v>191</v>
      </c>
      <c r="C192">
        <v>72.75</v>
      </c>
      <c r="D192">
        <v>1.75</v>
      </c>
      <c r="E192">
        <v>100</v>
      </c>
      <c r="F192">
        <v>7275</v>
      </c>
      <c r="G192">
        <v>1455500000</v>
      </c>
      <c r="H192">
        <v>19.28</v>
      </c>
      <c r="I192">
        <v>1.17</v>
      </c>
      <c r="J192">
        <v>0.121132</v>
      </c>
      <c r="K192">
        <v>2.0299999999999998</v>
      </c>
      <c r="L192">
        <v>1.77</v>
      </c>
      <c r="M192">
        <v>6.7746829999999996</v>
      </c>
      <c r="N192">
        <v>6.1344900000000004</v>
      </c>
      <c r="O192">
        <v>33.029474</v>
      </c>
      <c r="P192">
        <v>2.86</v>
      </c>
      <c r="Q192" t="s">
        <v>22</v>
      </c>
      <c r="R192" t="s">
        <v>22</v>
      </c>
      <c r="S192">
        <v>995</v>
      </c>
      <c r="T192">
        <v>852</v>
      </c>
      <c r="U192">
        <v>0.66</v>
      </c>
      <c r="W192">
        <v>60.83</v>
      </c>
      <c r="X192">
        <v>20500000</v>
      </c>
    </row>
    <row r="193" spans="1:24" x14ac:dyDescent="0.25">
      <c r="A193" t="s">
        <v>213</v>
      </c>
      <c r="B193">
        <v>192</v>
      </c>
      <c r="C193">
        <v>1.03</v>
      </c>
      <c r="D193">
        <v>-1.9</v>
      </c>
      <c r="E193">
        <v>544909</v>
      </c>
      <c r="F193">
        <v>568522.44999999995</v>
      </c>
      <c r="G193">
        <v>1211011261.6700001</v>
      </c>
      <c r="H193">
        <v>12.7</v>
      </c>
      <c r="I193">
        <v>0.68</v>
      </c>
      <c r="J193">
        <v>1.189163</v>
      </c>
      <c r="K193">
        <v>0.03</v>
      </c>
      <c r="L193">
        <v>7.0000000000000007E-2</v>
      </c>
      <c r="M193">
        <v>3.3173490000000001</v>
      </c>
      <c r="N193">
        <v>5.4658530000000001</v>
      </c>
      <c r="O193">
        <v>2.9143539999999999</v>
      </c>
      <c r="P193">
        <v>3.88</v>
      </c>
      <c r="Q193" t="s">
        <v>22</v>
      </c>
      <c r="R193" t="s">
        <v>22</v>
      </c>
      <c r="S193">
        <v>858</v>
      </c>
      <c r="T193">
        <v>908</v>
      </c>
      <c r="U193">
        <v>0.57999999999999996</v>
      </c>
      <c r="V193">
        <v>3</v>
      </c>
      <c r="W193">
        <v>1.51</v>
      </c>
      <c r="X193">
        <v>1175739089</v>
      </c>
    </row>
    <row r="194" spans="1:24" x14ac:dyDescent="0.25">
      <c r="A194" t="s">
        <v>214</v>
      </c>
      <c r="B194">
        <v>193</v>
      </c>
      <c r="C194">
        <v>6.55</v>
      </c>
      <c r="D194">
        <v>-1.5</v>
      </c>
      <c r="E194">
        <v>23400</v>
      </c>
      <c r="F194">
        <v>155605</v>
      </c>
      <c r="G194">
        <v>2606286160.1999998</v>
      </c>
      <c r="H194">
        <v>9.64</v>
      </c>
      <c r="I194">
        <v>0.63</v>
      </c>
      <c r="J194">
        <v>0.59113499999999997</v>
      </c>
      <c r="K194">
        <v>0.08</v>
      </c>
      <c r="L194">
        <v>0.42</v>
      </c>
      <c r="M194">
        <v>5.8178359999999998</v>
      </c>
      <c r="N194">
        <v>6.7381349999999998</v>
      </c>
      <c r="O194">
        <v>4.9160459999999997</v>
      </c>
      <c r="P194">
        <v>1.22</v>
      </c>
      <c r="Q194" t="s">
        <v>22</v>
      </c>
      <c r="R194" t="s">
        <v>22</v>
      </c>
      <c r="S194">
        <v>803</v>
      </c>
      <c r="T194">
        <v>754</v>
      </c>
      <c r="U194">
        <v>-0.05</v>
      </c>
      <c r="W194">
        <v>10.37</v>
      </c>
      <c r="X194">
        <v>397906284</v>
      </c>
    </row>
    <row r="195" spans="1:24" x14ac:dyDescent="0.25">
      <c r="A195" t="s">
        <v>215</v>
      </c>
      <c r="B195">
        <v>194</v>
      </c>
      <c r="C195">
        <v>2024</v>
      </c>
      <c r="D195">
        <v>0</v>
      </c>
      <c r="E195">
        <v>0</v>
      </c>
      <c r="F195">
        <v>0</v>
      </c>
      <c r="G195">
        <v>34</v>
      </c>
      <c r="H195">
        <v>0</v>
      </c>
      <c r="I195">
        <v>2.9245151452467226</v>
      </c>
      <c r="J195">
        <v>2.924515</v>
      </c>
      <c r="K195">
        <v>2.35E-2</v>
      </c>
      <c r="L195">
        <v>-0.39</v>
      </c>
      <c r="M195">
        <v>-19.871003999999999</v>
      </c>
      <c r="N195">
        <v>-73.116012999999995</v>
      </c>
      <c r="O195">
        <v>-136.9974</v>
      </c>
      <c r="P195">
        <v>0</v>
      </c>
      <c r="Q195" t="s">
        <v>22</v>
      </c>
      <c r="R195" t="s">
        <v>22</v>
      </c>
      <c r="V195">
        <v>5</v>
      </c>
      <c r="W195">
        <v>1.1100000000000001</v>
      </c>
      <c r="X195">
        <v>854901829</v>
      </c>
    </row>
    <row r="196" spans="1:24" x14ac:dyDescent="0.25">
      <c r="A196" t="s">
        <v>216</v>
      </c>
      <c r="B196">
        <v>195</v>
      </c>
      <c r="C196">
        <v>0.93</v>
      </c>
      <c r="D196">
        <v>0</v>
      </c>
      <c r="E196">
        <v>1855700</v>
      </c>
      <c r="F196">
        <v>1717563</v>
      </c>
      <c r="G196">
        <v>586008312.45000005</v>
      </c>
      <c r="H196">
        <v>535598995.25</v>
      </c>
      <c r="I196">
        <v>0.33</v>
      </c>
      <c r="J196">
        <v>0.98320600000000002</v>
      </c>
      <c r="K196">
        <v>5.3499999999999999E-2</v>
      </c>
      <c r="L196">
        <v>-0.12</v>
      </c>
      <c r="M196">
        <v>-3.2595290000000001</v>
      </c>
      <c r="N196">
        <v>-8.9614910000000005</v>
      </c>
      <c r="O196">
        <v>-11.822054</v>
      </c>
      <c r="P196">
        <v>0.31</v>
      </c>
      <c r="Q196" t="s">
        <v>22</v>
      </c>
      <c r="R196" t="s">
        <v>22</v>
      </c>
      <c r="V196">
        <v>3</v>
      </c>
      <c r="W196">
        <v>2.78</v>
      </c>
      <c r="X196">
        <v>630116465</v>
      </c>
    </row>
    <row r="197" spans="1:24" x14ac:dyDescent="0.25">
      <c r="A197" t="s">
        <v>217</v>
      </c>
      <c r="B197">
        <v>196</v>
      </c>
      <c r="C197">
        <v>3.06</v>
      </c>
      <c r="D197">
        <v>-1.29</v>
      </c>
      <c r="E197">
        <v>253700</v>
      </c>
      <c r="F197">
        <v>778304</v>
      </c>
      <c r="G197">
        <v>1047118462.5599999</v>
      </c>
      <c r="H197">
        <v>11.7</v>
      </c>
      <c r="I197">
        <v>1.25</v>
      </c>
      <c r="J197">
        <v>0.65516300000000005</v>
      </c>
      <c r="K197">
        <v>7.2999999999999995E-2</v>
      </c>
      <c r="L197">
        <v>0.12</v>
      </c>
      <c r="M197">
        <v>9.5188699999999997</v>
      </c>
      <c r="N197">
        <v>10.941005000000001</v>
      </c>
      <c r="O197">
        <v>7.0720270000000003</v>
      </c>
      <c r="P197">
        <v>4.9000000000000004</v>
      </c>
      <c r="Q197" t="s">
        <v>22</v>
      </c>
      <c r="R197" t="s">
        <v>22</v>
      </c>
      <c r="S197">
        <v>543</v>
      </c>
      <c r="T197">
        <v>485</v>
      </c>
      <c r="U197">
        <v>-0.16</v>
      </c>
      <c r="W197">
        <v>2.4500000000000002</v>
      </c>
      <c r="X197">
        <v>342195576</v>
      </c>
    </row>
    <row r="198" spans="1:24" x14ac:dyDescent="0.25">
      <c r="A198" t="s">
        <v>218</v>
      </c>
      <c r="B198">
        <v>197</v>
      </c>
      <c r="C198">
        <v>1.37</v>
      </c>
      <c r="D198">
        <v>0</v>
      </c>
      <c r="E198">
        <v>181959</v>
      </c>
      <c r="F198">
        <v>249977.05</v>
      </c>
      <c r="G198">
        <v>12502087434.42</v>
      </c>
      <c r="H198">
        <v>14.55</v>
      </c>
      <c r="I198">
        <v>1.71</v>
      </c>
      <c r="J198">
        <v>0.45912700000000001</v>
      </c>
      <c r="K198">
        <v>0.02</v>
      </c>
      <c r="L198">
        <v>0.05</v>
      </c>
      <c r="M198">
        <v>10.554057999999999</v>
      </c>
      <c r="N198">
        <v>11.931666999999999</v>
      </c>
      <c r="O198">
        <v>14.953417</v>
      </c>
      <c r="P198">
        <v>5.84</v>
      </c>
      <c r="Q198" t="s">
        <v>22</v>
      </c>
      <c r="R198" t="s">
        <v>22</v>
      </c>
      <c r="S198">
        <v>691</v>
      </c>
      <c r="T198">
        <v>625</v>
      </c>
      <c r="U198">
        <v>-1.1399999999999999</v>
      </c>
      <c r="V198">
        <v>5</v>
      </c>
      <c r="W198">
        <v>0.8</v>
      </c>
      <c r="X198">
        <v>9125611266</v>
      </c>
    </row>
    <row r="199" spans="1:24" x14ac:dyDescent="0.25">
      <c r="A199" t="s">
        <v>219</v>
      </c>
      <c r="B199">
        <v>198</v>
      </c>
      <c r="C199">
        <v>0.14000000000000001</v>
      </c>
      <c r="D199">
        <v>-12.5</v>
      </c>
      <c r="E199">
        <v>2974301</v>
      </c>
      <c r="F199">
        <v>440723.14</v>
      </c>
      <c r="G199">
        <v>754087655.44000006</v>
      </c>
      <c r="H199">
        <v>807951059.39999998</v>
      </c>
      <c r="I199">
        <v>0.33</v>
      </c>
      <c r="J199">
        <v>0.48675600000000002</v>
      </c>
      <c r="K199">
        <v>2.7499999999999998E-3</v>
      </c>
      <c r="L199">
        <v>-7.0000000000000007E-2</v>
      </c>
      <c r="M199">
        <v>-10.620965</v>
      </c>
      <c r="N199">
        <v>-15.196630000000001</v>
      </c>
      <c r="O199">
        <v>-75.639336999999998</v>
      </c>
      <c r="P199">
        <v>1.96</v>
      </c>
      <c r="Q199" t="s">
        <v>22</v>
      </c>
      <c r="R199" t="s">
        <v>22</v>
      </c>
      <c r="S199">
        <v>1330</v>
      </c>
      <c r="T199">
        <v>1298</v>
      </c>
      <c r="U199">
        <v>-2.62</v>
      </c>
      <c r="W199">
        <v>0.42</v>
      </c>
      <c r="X199">
        <v>5386340396</v>
      </c>
    </row>
    <row r="200" spans="1:24" x14ac:dyDescent="0.25">
      <c r="A200" t="s">
        <v>220</v>
      </c>
      <c r="B200">
        <v>199</v>
      </c>
      <c r="C200">
        <v>4.88</v>
      </c>
      <c r="D200">
        <v>0</v>
      </c>
      <c r="E200">
        <v>14200</v>
      </c>
      <c r="F200">
        <v>69478</v>
      </c>
      <c r="G200">
        <v>1551291976</v>
      </c>
      <c r="H200">
        <v>1621227270</v>
      </c>
      <c r="I200">
        <v>0.35</v>
      </c>
      <c r="J200">
        <v>6.2331999999999999E-2</v>
      </c>
      <c r="K200">
        <v>0.12</v>
      </c>
      <c r="L200">
        <v>-0.24</v>
      </c>
      <c r="M200">
        <v>-1.2838480000000001</v>
      </c>
      <c r="N200">
        <v>-0.81511800000000001</v>
      </c>
      <c r="O200">
        <v>-15.18032</v>
      </c>
      <c r="P200">
        <v>3.69</v>
      </c>
      <c r="Q200" t="s">
        <v>22</v>
      </c>
      <c r="R200" t="s">
        <v>22</v>
      </c>
      <c r="V200">
        <v>5</v>
      </c>
      <c r="W200">
        <v>13.99</v>
      </c>
      <c r="X200">
        <v>317887700</v>
      </c>
    </row>
    <row r="201" spans="1:24" x14ac:dyDescent="0.25">
      <c r="A201" t="s">
        <v>221</v>
      </c>
      <c r="B201">
        <v>200</v>
      </c>
      <c r="C201">
        <v>254</v>
      </c>
      <c r="D201">
        <v>2.42</v>
      </c>
      <c r="E201">
        <v>23538552</v>
      </c>
      <c r="F201">
        <v>6067200669</v>
      </c>
      <c r="G201">
        <v>3168349299560</v>
      </c>
      <c r="H201">
        <v>106.13</v>
      </c>
      <c r="I201">
        <v>30.06</v>
      </c>
      <c r="J201">
        <v>0.82075900000000002</v>
      </c>
      <c r="K201">
        <v>0.6</v>
      </c>
      <c r="L201">
        <v>1.22</v>
      </c>
      <c r="M201">
        <v>21.631837999999998</v>
      </c>
      <c r="N201">
        <v>31.518339000000001</v>
      </c>
      <c r="O201">
        <v>11.81035</v>
      </c>
      <c r="P201">
        <v>0.24</v>
      </c>
      <c r="Q201" t="s">
        <v>22</v>
      </c>
      <c r="R201" t="s">
        <v>22</v>
      </c>
      <c r="S201">
        <v>708</v>
      </c>
      <c r="T201">
        <v>698</v>
      </c>
      <c r="U201">
        <v>2.46</v>
      </c>
      <c r="V201">
        <v>5</v>
      </c>
      <c r="W201">
        <v>8.4499999999999993</v>
      </c>
      <c r="X201">
        <v>12473816140</v>
      </c>
    </row>
    <row r="202" spans="1:24" x14ac:dyDescent="0.25">
      <c r="A202" t="s">
        <v>222</v>
      </c>
      <c r="B202">
        <v>201</v>
      </c>
      <c r="C202">
        <v>3.58</v>
      </c>
      <c r="D202">
        <v>6.55</v>
      </c>
      <c r="E202">
        <v>713985</v>
      </c>
      <c r="F202">
        <v>2500231.4</v>
      </c>
      <c r="G202">
        <v>2698468976.7199998</v>
      </c>
      <c r="H202">
        <v>53.75</v>
      </c>
      <c r="I202">
        <v>0.74</v>
      </c>
      <c r="J202">
        <v>0.66562500000000002</v>
      </c>
      <c r="K202">
        <v>0.03</v>
      </c>
      <c r="L202">
        <v>0.04</v>
      </c>
      <c r="M202">
        <v>1.1547320000000001</v>
      </c>
      <c r="N202">
        <v>1.373243</v>
      </c>
      <c r="O202">
        <v>3.096241</v>
      </c>
      <c r="P202">
        <v>0.68</v>
      </c>
      <c r="Q202" t="s">
        <v>22</v>
      </c>
      <c r="R202" t="s">
        <v>22</v>
      </c>
      <c r="S202">
        <v>1272</v>
      </c>
      <c r="T202">
        <v>1311</v>
      </c>
      <c r="U202">
        <v>-1.52</v>
      </c>
      <c r="V202">
        <v>5</v>
      </c>
      <c r="W202">
        <v>4.84</v>
      </c>
      <c r="X202">
        <v>753762284</v>
      </c>
    </row>
    <row r="203" spans="1:24" x14ac:dyDescent="0.25">
      <c r="A203" t="s">
        <v>223</v>
      </c>
      <c r="B203">
        <v>202</v>
      </c>
      <c r="C203">
        <v>0.97</v>
      </c>
      <c r="D203">
        <v>-1.02</v>
      </c>
      <c r="E203">
        <v>1610</v>
      </c>
      <c r="F203">
        <v>1559.8</v>
      </c>
      <c r="G203">
        <v>462205000</v>
      </c>
      <c r="H203">
        <v>443145000</v>
      </c>
      <c r="I203">
        <v>0.75</v>
      </c>
      <c r="J203">
        <v>0.48859200000000003</v>
      </c>
      <c r="K203">
        <v>0.06</v>
      </c>
      <c r="L203">
        <v>-0.08</v>
      </c>
      <c r="M203">
        <v>-3.8586070000000001</v>
      </c>
      <c r="N203">
        <v>-6.9525309999999996</v>
      </c>
      <c r="O203">
        <v>-10.59271</v>
      </c>
      <c r="P203">
        <v>0.71</v>
      </c>
      <c r="Q203" t="s">
        <v>22</v>
      </c>
      <c r="R203" t="s">
        <v>22</v>
      </c>
      <c r="V203">
        <v>4</v>
      </c>
      <c r="W203">
        <v>1.3</v>
      </c>
      <c r="X203">
        <v>476500000</v>
      </c>
    </row>
    <row r="204" spans="1:24" x14ac:dyDescent="0.25">
      <c r="A204" t="s">
        <v>224</v>
      </c>
      <c r="B204">
        <v>203</v>
      </c>
      <c r="C204">
        <v>0.28000000000000003</v>
      </c>
      <c r="D204">
        <v>0</v>
      </c>
      <c r="E204">
        <v>46800</v>
      </c>
      <c r="F204">
        <v>12412</v>
      </c>
      <c r="G204">
        <v>253866664.80000001</v>
      </c>
      <c r="H204">
        <v>253866664.80000001</v>
      </c>
      <c r="I204">
        <v>0.61</v>
      </c>
      <c r="J204">
        <v>1.016543</v>
      </c>
      <c r="K204">
        <v>0.03</v>
      </c>
      <c r="L204">
        <v>-0.02</v>
      </c>
      <c r="M204">
        <v>-0.65541899999999997</v>
      </c>
      <c r="N204">
        <v>-7.4227850000000002</v>
      </c>
      <c r="O204">
        <v>-21.403829000000002</v>
      </c>
      <c r="P204">
        <v>0.61</v>
      </c>
      <c r="Q204" t="s">
        <v>22</v>
      </c>
      <c r="R204" t="s">
        <v>22</v>
      </c>
      <c r="W204">
        <v>0.46</v>
      </c>
      <c r="X204">
        <v>906666660</v>
      </c>
    </row>
    <row r="205" spans="1:24" x14ac:dyDescent="0.25">
      <c r="A205" t="s">
        <v>225</v>
      </c>
      <c r="B205">
        <v>204</v>
      </c>
      <c r="C205">
        <v>0.06</v>
      </c>
      <c r="D205">
        <v>0</v>
      </c>
      <c r="E205">
        <v>211000</v>
      </c>
      <c r="F205">
        <v>12660</v>
      </c>
      <c r="G205">
        <v>161460148.13999999</v>
      </c>
      <c r="H205">
        <v>161460148.13999999</v>
      </c>
      <c r="I205">
        <v>1.18</v>
      </c>
      <c r="J205">
        <v>1.161754</v>
      </c>
      <c r="L205">
        <v>-3.045604213384884</v>
      </c>
      <c r="M205">
        <v>-3.045604</v>
      </c>
      <c r="N205">
        <v>-10.98049</v>
      </c>
      <c r="O205">
        <v>-9.1248889999999996</v>
      </c>
      <c r="P205">
        <v>1.18</v>
      </c>
      <c r="Q205" t="s">
        <v>22</v>
      </c>
      <c r="R205" t="s">
        <v>22</v>
      </c>
      <c r="V205">
        <v>3</v>
      </c>
      <c r="W205">
        <v>0.05</v>
      </c>
      <c r="X205">
        <v>2691002469</v>
      </c>
    </row>
    <row r="206" spans="1:24" x14ac:dyDescent="0.25">
      <c r="A206" t="s">
        <v>226</v>
      </c>
      <c r="B206">
        <v>205</v>
      </c>
      <c r="C206">
        <v>14.3</v>
      </c>
      <c r="D206">
        <v>-1.38</v>
      </c>
      <c r="E206">
        <v>865322</v>
      </c>
      <c r="F206">
        <v>12499935.699999999</v>
      </c>
      <c r="G206">
        <v>9922964465.7000008</v>
      </c>
      <c r="H206">
        <v>15.66</v>
      </c>
      <c r="I206">
        <v>2.4900000000000002</v>
      </c>
      <c r="J206">
        <v>0.37168200000000001</v>
      </c>
      <c r="K206">
        <v>0.25</v>
      </c>
      <c r="L206">
        <v>0.5</v>
      </c>
      <c r="M206">
        <v>14.815369</v>
      </c>
      <c r="N206">
        <v>16.524314</v>
      </c>
      <c r="O206">
        <v>17.604312</v>
      </c>
      <c r="P206">
        <v>3.5</v>
      </c>
      <c r="Q206" t="s">
        <v>22</v>
      </c>
      <c r="R206" t="s">
        <v>22</v>
      </c>
      <c r="S206">
        <v>615</v>
      </c>
      <c r="T206">
        <v>553</v>
      </c>
      <c r="U206">
        <v>0.51</v>
      </c>
      <c r="V206">
        <v>5</v>
      </c>
      <c r="W206">
        <v>5.73</v>
      </c>
      <c r="X206">
        <v>693913599</v>
      </c>
    </row>
    <row r="207" spans="1:24" x14ac:dyDescent="0.25">
      <c r="A207" t="s">
        <v>227</v>
      </c>
      <c r="B207">
        <v>206</v>
      </c>
      <c r="C207">
        <v>12.2</v>
      </c>
      <c r="D207">
        <v>-0.81</v>
      </c>
      <c r="E207">
        <v>87860</v>
      </c>
      <c r="F207">
        <v>1076308.8999999999</v>
      </c>
      <c r="G207">
        <v>14411040160</v>
      </c>
      <c r="H207">
        <v>13.29</v>
      </c>
      <c r="I207">
        <v>1.69</v>
      </c>
      <c r="J207">
        <v>8.3713999999999997E-2</v>
      </c>
      <c r="K207">
        <v>0.223</v>
      </c>
      <c r="L207">
        <v>0.44</v>
      </c>
      <c r="M207">
        <v>14.809334</v>
      </c>
      <c r="N207">
        <v>12.766031</v>
      </c>
      <c r="O207">
        <v>39.783402000000002</v>
      </c>
      <c r="P207">
        <v>7.21</v>
      </c>
      <c r="Q207" t="s">
        <v>22</v>
      </c>
      <c r="R207" t="s">
        <v>22</v>
      </c>
      <c r="S207">
        <v>597</v>
      </c>
      <c r="T207">
        <v>473</v>
      </c>
      <c r="U207">
        <v>0.41</v>
      </c>
      <c r="V207">
        <v>5</v>
      </c>
      <c r="W207">
        <v>7.2</v>
      </c>
      <c r="X207">
        <v>1181232800</v>
      </c>
    </row>
    <row r="208" spans="1:24" x14ac:dyDescent="0.25">
      <c r="A208" t="s">
        <v>228</v>
      </c>
      <c r="B208">
        <v>207</v>
      </c>
      <c r="C208">
        <v>1.1200000000000001</v>
      </c>
      <c r="D208">
        <v>-1.75</v>
      </c>
      <c r="E208">
        <v>204002</v>
      </c>
      <c r="F208">
        <v>228255.2</v>
      </c>
      <c r="G208">
        <v>504463999.19999999</v>
      </c>
      <c r="H208">
        <v>270.08999999999997</v>
      </c>
      <c r="I208">
        <v>0.55000000000000004</v>
      </c>
      <c r="J208">
        <v>0.226075</v>
      </c>
      <c r="K208">
        <v>0.05</v>
      </c>
      <c r="L208">
        <v>-0.05</v>
      </c>
      <c r="M208">
        <v>-0.126827</v>
      </c>
      <c r="N208">
        <v>0.20156499999999999</v>
      </c>
      <c r="O208">
        <v>-8.0270419999999998</v>
      </c>
      <c r="P208">
        <v>4.46</v>
      </c>
      <c r="Q208" t="s">
        <v>22</v>
      </c>
      <c r="R208" t="s">
        <v>22</v>
      </c>
      <c r="S208">
        <v>1298</v>
      </c>
      <c r="T208">
        <v>1351</v>
      </c>
      <c r="U208">
        <v>-0.05</v>
      </c>
      <c r="V208">
        <v>3</v>
      </c>
      <c r="W208">
        <v>2.04</v>
      </c>
      <c r="X208">
        <v>450414285</v>
      </c>
    </row>
    <row r="209" spans="1:24" x14ac:dyDescent="0.25">
      <c r="A209" t="s">
        <v>229</v>
      </c>
      <c r="B209">
        <v>208</v>
      </c>
      <c r="C209">
        <v>3.62</v>
      </c>
      <c r="D209">
        <v>-1.0900000000000001</v>
      </c>
      <c r="E209">
        <v>6864089</v>
      </c>
      <c r="F209">
        <v>24971056.100000001</v>
      </c>
      <c r="G209">
        <v>12737356225.040001</v>
      </c>
      <c r="H209">
        <v>16.87</v>
      </c>
      <c r="I209">
        <v>0.91</v>
      </c>
      <c r="J209">
        <v>1.4928509999999999</v>
      </c>
      <c r="K209">
        <v>4.444E-3</v>
      </c>
      <c r="L209">
        <v>0.16</v>
      </c>
      <c r="M209">
        <v>3.6944819999999998</v>
      </c>
      <c r="N209">
        <v>5.5582380000000002</v>
      </c>
      <c r="O209">
        <v>3.4717530000000001</v>
      </c>
      <c r="P209">
        <v>0.12</v>
      </c>
      <c r="Q209" t="s">
        <v>22</v>
      </c>
      <c r="R209" t="s">
        <v>22</v>
      </c>
      <c r="S209">
        <v>1103</v>
      </c>
      <c r="T209">
        <v>1122</v>
      </c>
      <c r="U209">
        <v>-1.18</v>
      </c>
      <c r="V209">
        <v>5</v>
      </c>
      <c r="W209">
        <v>3.97</v>
      </c>
      <c r="X209">
        <v>3518606692</v>
      </c>
    </row>
    <row r="210" spans="1:24" x14ac:dyDescent="0.25">
      <c r="A210" t="s">
        <v>230</v>
      </c>
      <c r="B210">
        <v>209</v>
      </c>
      <c r="C210">
        <v>0.23</v>
      </c>
      <c r="D210">
        <v>0</v>
      </c>
      <c r="E210">
        <v>650840</v>
      </c>
      <c r="F210">
        <v>148782.79999999999</v>
      </c>
      <c r="G210">
        <v>52900000</v>
      </c>
      <c r="H210">
        <v>50600000</v>
      </c>
      <c r="I210">
        <v>1.24</v>
      </c>
      <c r="J210">
        <v>1.027212</v>
      </c>
      <c r="K210">
        <v>0.16200000000000001</v>
      </c>
      <c r="L210">
        <v>-0.09</v>
      </c>
      <c r="M210">
        <v>-5.2727870000000001</v>
      </c>
      <c r="N210">
        <v>-12.240308000000001</v>
      </c>
      <c r="O210">
        <v>-7.5938689999999998</v>
      </c>
      <c r="P210">
        <v>1.18</v>
      </c>
      <c r="Q210" t="s">
        <v>22</v>
      </c>
      <c r="R210" t="s">
        <v>22</v>
      </c>
      <c r="V210">
        <v>3</v>
      </c>
      <c r="W210">
        <v>1.67</v>
      </c>
      <c r="X210">
        <v>230000000</v>
      </c>
    </row>
    <row r="211" spans="1:24" x14ac:dyDescent="0.25">
      <c r="A211" t="s">
        <v>231</v>
      </c>
      <c r="B211">
        <v>210</v>
      </c>
      <c r="C211">
        <v>5.55</v>
      </c>
      <c r="D211">
        <v>0</v>
      </c>
      <c r="E211">
        <v>298379</v>
      </c>
      <c r="F211">
        <v>1655397.45</v>
      </c>
      <c r="G211">
        <v>4745433705</v>
      </c>
      <c r="H211">
        <v>11.41</v>
      </c>
      <c r="I211">
        <v>1.85</v>
      </c>
      <c r="J211">
        <v>0.57580399999999998</v>
      </c>
      <c r="K211">
        <v>0.14000000000000001</v>
      </c>
      <c r="L211">
        <v>0.34</v>
      </c>
      <c r="M211">
        <v>11.836734</v>
      </c>
      <c r="N211">
        <v>16.703334000000002</v>
      </c>
      <c r="O211">
        <v>11.071733999999999</v>
      </c>
      <c r="P211">
        <v>5.77</v>
      </c>
      <c r="Q211" t="s">
        <v>22</v>
      </c>
      <c r="R211" t="s">
        <v>22</v>
      </c>
      <c r="S211">
        <v>525</v>
      </c>
      <c r="T211">
        <v>526</v>
      </c>
      <c r="U211">
        <v>-1.04</v>
      </c>
      <c r="V211">
        <v>5</v>
      </c>
      <c r="W211">
        <v>3</v>
      </c>
      <c r="X211">
        <v>855033100</v>
      </c>
    </row>
    <row r="212" spans="1:24" x14ac:dyDescent="0.25">
      <c r="A212" t="s">
        <v>232</v>
      </c>
      <c r="B212">
        <v>211</v>
      </c>
      <c r="C212">
        <v>0.98</v>
      </c>
      <c r="D212">
        <v>4.26</v>
      </c>
      <c r="E212">
        <v>19111952</v>
      </c>
      <c r="F212">
        <v>18590870.109999999</v>
      </c>
      <c r="G212">
        <v>1289458878.6800001</v>
      </c>
      <c r="H212">
        <v>12.72</v>
      </c>
      <c r="I212">
        <v>0.84</v>
      </c>
      <c r="J212">
        <v>0.15691099999999999</v>
      </c>
      <c r="K212">
        <v>6.08E-2</v>
      </c>
      <c r="L212">
        <v>0.04</v>
      </c>
      <c r="M212">
        <v>7.5102580000000003</v>
      </c>
      <c r="N212">
        <v>6.6431950000000004</v>
      </c>
      <c r="O212">
        <v>14.249435999999999</v>
      </c>
      <c r="P212">
        <v>6.2</v>
      </c>
      <c r="Q212" t="s">
        <v>22</v>
      </c>
      <c r="R212" t="s">
        <v>22</v>
      </c>
      <c r="S212">
        <v>808</v>
      </c>
      <c r="T212">
        <v>641</v>
      </c>
      <c r="U212">
        <v>0.41</v>
      </c>
      <c r="V212">
        <v>4</v>
      </c>
      <c r="W212">
        <v>1.17</v>
      </c>
      <c r="X212">
        <v>1315774366</v>
      </c>
    </row>
    <row r="213" spans="1:24" x14ac:dyDescent="0.25">
      <c r="A213" t="s">
        <v>233</v>
      </c>
      <c r="B213">
        <v>212</v>
      </c>
      <c r="C213">
        <v>2026</v>
      </c>
      <c r="D213">
        <v>-12.307692307692301</v>
      </c>
      <c r="E213">
        <v>72905</v>
      </c>
      <c r="F213">
        <v>1450.4295</v>
      </c>
      <c r="G213">
        <v>171000000</v>
      </c>
      <c r="H213">
        <v>171000000</v>
      </c>
      <c r="I213">
        <v>0.46</v>
      </c>
      <c r="J213">
        <v>0.15054100000000001</v>
      </c>
      <c r="K213">
        <v>0.25</v>
      </c>
      <c r="L213">
        <v>-0.59</v>
      </c>
      <c r="M213">
        <v>-2.24729</v>
      </c>
      <c r="N213">
        <v>-2.5174020000000001</v>
      </c>
      <c r="O213">
        <v>-10.320753</v>
      </c>
      <c r="P213">
        <v>1.46</v>
      </c>
      <c r="Q213" t="s">
        <v>22</v>
      </c>
      <c r="R213" t="s">
        <v>22</v>
      </c>
      <c r="W213">
        <v>37.56</v>
      </c>
      <c r="X213">
        <v>10000000</v>
      </c>
    </row>
    <row r="214" spans="1:24" x14ac:dyDescent="0.25">
      <c r="A214" t="s">
        <v>234</v>
      </c>
      <c r="B214">
        <v>213</v>
      </c>
      <c r="C214">
        <v>11.1</v>
      </c>
      <c r="D214">
        <v>-0.89</v>
      </c>
      <c r="E214">
        <v>28241</v>
      </c>
      <c r="F214">
        <v>314485.3</v>
      </c>
      <c r="G214">
        <v>9435000000</v>
      </c>
      <c r="H214">
        <v>69.260000000000005</v>
      </c>
      <c r="I214">
        <v>1.31</v>
      </c>
      <c r="J214">
        <v>3.690137</v>
      </c>
      <c r="K214">
        <v>0.34</v>
      </c>
      <c r="L214">
        <v>0.34</v>
      </c>
      <c r="M214">
        <v>3.4082810000000001</v>
      </c>
      <c r="N214">
        <v>1.936267</v>
      </c>
      <c r="O214">
        <v>7.3249409999999999</v>
      </c>
      <c r="P214">
        <v>1.33</v>
      </c>
      <c r="Q214" t="s">
        <v>22</v>
      </c>
      <c r="R214" t="s">
        <v>22</v>
      </c>
      <c r="V214">
        <v>5</v>
      </c>
      <c r="W214">
        <v>8.44</v>
      </c>
      <c r="X214">
        <v>850000000</v>
      </c>
    </row>
    <row r="215" spans="1:24" x14ac:dyDescent="0.25">
      <c r="A215" t="s">
        <v>235</v>
      </c>
      <c r="B215">
        <v>214</v>
      </c>
      <c r="C215">
        <v>2.9</v>
      </c>
      <c r="D215">
        <v>-0.68</v>
      </c>
      <c r="E215">
        <v>19990445</v>
      </c>
      <c r="F215">
        <v>58039506.119999997</v>
      </c>
      <c r="G215">
        <v>21537722337.400002</v>
      </c>
      <c r="H215">
        <v>21983330385.759998</v>
      </c>
      <c r="I215">
        <v>0.65</v>
      </c>
      <c r="J215">
        <v>1.6062920000000001</v>
      </c>
      <c r="K215">
        <v>0.3</v>
      </c>
      <c r="L215">
        <v>0.01</v>
      </c>
      <c r="M215">
        <v>-3.6381950000000001</v>
      </c>
      <c r="N215">
        <v>-12.099114</v>
      </c>
      <c r="O215">
        <v>-5.1656079999999998</v>
      </c>
      <c r="P215">
        <v>0.66</v>
      </c>
      <c r="Q215" t="s">
        <v>22</v>
      </c>
      <c r="R215" t="s">
        <v>22</v>
      </c>
      <c r="V215">
        <v>3</v>
      </c>
      <c r="W215">
        <v>4.49</v>
      </c>
      <c r="X215">
        <v>7426800806</v>
      </c>
    </row>
    <row r="216" spans="1:24" x14ac:dyDescent="0.25">
      <c r="A216" t="s">
        <v>236</v>
      </c>
      <c r="B216">
        <v>215</v>
      </c>
      <c r="C216">
        <v>1.25</v>
      </c>
      <c r="D216">
        <v>-0.79</v>
      </c>
      <c r="E216">
        <v>103900</v>
      </c>
      <c r="F216">
        <v>130359</v>
      </c>
      <c r="G216">
        <v>708456181.25</v>
      </c>
      <c r="H216">
        <v>6.42</v>
      </c>
      <c r="I216">
        <v>0.73</v>
      </c>
      <c r="J216">
        <v>0.257492</v>
      </c>
      <c r="K216">
        <v>0.08</v>
      </c>
      <c r="L216">
        <v>0.09</v>
      </c>
      <c r="M216">
        <v>11.094803000000001</v>
      </c>
      <c r="N216">
        <v>11.521689</v>
      </c>
      <c r="O216">
        <v>13.201281</v>
      </c>
      <c r="P216">
        <v>6.4</v>
      </c>
      <c r="Q216" t="s">
        <v>22</v>
      </c>
      <c r="R216" t="s">
        <v>22</v>
      </c>
      <c r="S216">
        <v>393</v>
      </c>
      <c r="T216">
        <v>284</v>
      </c>
      <c r="U216">
        <v>-0.26</v>
      </c>
      <c r="V216">
        <v>3</v>
      </c>
      <c r="W216">
        <v>1.71</v>
      </c>
      <c r="X216">
        <v>566764945</v>
      </c>
    </row>
    <row r="217" spans="1:24" x14ac:dyDescent="0.25">
      <c r="A217" t="s">
        <v>237</v>
      </c>
      <c r="B217">
        <v>216</v>
      </c>
      <c r="C217">
        <v>0.84</v>
      </c>
      <c r="D217">
        <v>-1.18</v>
      </c>
      <c r="E217">
        <v>2314800</v>
      </c>
      <c r="F217">
        <v>1953419</v>
      </c>
      <c r="G217">
        <v>1398146871.24</v>
      </c>
      <c r="H217">
        <v>7.79</v>
      </c>
      <c r="I217">
        <v>0.49</v>
      </c>
      <c r="J217">
        <v>1.065123</v>
      </c>
      <c r="K217">
        <v>0.02</v>
      </c>
      <c r="L217">
        <v>0.05</v>
      </c>
      <c r="M217">
        <v>6.4080240000000002</v>
      </c>
      <c r="N217">
        <v>6.4853889999999996</v>
      </c>
      <c r="O217">
        <v>19.917725000000001</v>
      </c>
      <c r="P217">
        <v>2.38</v>
      </c>
      <c r="Q217" t="s">
        <v>22</v>
      </c>
      <c r="R217" t="s">
        <v>22</v>
      </c>
      <c r="S217">
        <v>615</v>
      </c>
      <c r="T217">
        <v>705</v>
      </c>
      <c r="U217">
        <v>0.93</v>
      </c>
      <c r="V217">
        <v>4</v>
      </c>
      <c r="W217">
        <v>1.71</v>
      </c>
      <c r="X217">
        <v>1664460561</v>
      </c>
    </row>
    <row r="218" spans="1:24" x14ac:dyDescent="0.25">
      <c r="A218" t="s">
        <v>238</v>
      </c>
      <c r="B218">
        <v>217</v>
      </c>
      <c r="C218">
        <v>5</v>
      </c>
      <c r="D218">
        <v>-0.99</v>
      </c>
      <c r="E218">
        <v>1600491</v>
      </c>
      <c r="F218">
        <v>8039792.3799999999</v>
      </c>
      <c r="G218">
        <v>8318625745</v>
      </c>
      <c r="H218">
        <v>68.06</v>
      </c>
      <c r="I218">
        <v>0.72</v>
      </c>
      <c r="J218">
        <v>1.374115</v>
      </c>
      <c r="K218">
        <v>0.01</v>
      </c>
      <c r="L218">
        <v>7.0000000000000007E-2</v>
      </c>
      <c r="M218">
        <v>2.3166380000000002</v>
      </c>
      <c r="N218">
        <v>1.065043</v>
      </c>
      <c r="O218">
        <v>6.7870280000000003</v>
      </c>
      <c r="P218">
        <v>0.2</v>
      </c>
      <c r="Q218" t="s">
        <v>22</v>
      </c>
      <c r="R218" t="s">
        <v>22</v>
      </c>
      <c r="S218">
        <v>1356</v>
      </c>
      <c r="T218">
        <v>1298</v>
      </c>
      <c r="U218">
        <v>-2.34</v>
      </c>
      <c r="V218">
        <v>5</v>
      </c>
      <c r="W218">
        <v>6.93</v>
      </c>
      <c r="X218">
        <v>1663725149</v>
      </c>
    </row>
    <row r="219" spans="1:24" x14ac:dyDescent="0.25">
      <c r="A219" t="s">
        <v>239</v>
      </c>
      <c r="B219">
        <v>218</v>
      </c>
      <c r="C219">
        <v>2025</v>
      </c>
      <c r="D219">
        <v>-9.0909090909090864</v>
      </c>
      <c r="E219">
        <v>549208468</v>
      </c>
      <c r="F219">
        <v>35498.502289999997</v>
      </c>
      <c r="G219">
        <v>127</v>
      </c>
      <c r="H219">
        <v>0</v>
      </c>
      <c r="I219">
        <v>4.8906834076532748</v>
      </c>
      <c r="J219">
        <v>4.8906830000000001</v>
      </c>
      <c r="K219">
        <v>1.0999999999999999E-2</v>
      </c>
      <c r="L219">
        <v>-1.54</v>
      </c>
      <c r="M219">
        <v>-14.911648</v>
      </c>
      <c r="N219">
        <v>-82.781420999999995</v>
      </c>
      <c r="O219">
        <v>-215.11933200000001</v>
      </c>
      <c r="P219">
        <v>0</v>
      </c>
      <c r="Q219" t="s">
        <v>22</v>
      </c>
      <c r="R219" t="s">
        <v>22</v>
      </c>
      <c r="V219">
        <v>3</v>
      </c>
      <c r="W219">
        <v>0.41</v>
      </c>
      <c r="X219">
        <v>1500846384</v>
      </c>
    </row>
    <row r="220" spans="1:24" x14ac:dyDescent="0.25">
      <c r="A220" t="s">
        <v>240</v>
      </c>
      <c r="B220">
        <v>219</v>
      </c>
      <c r="C220">
        <v>0.12</v>
      </c>
      <c r="D220">
        <v>0</v>
      </c>
      <c r="E220">
        <v>5419181</v>
      </c>
      <c r="F220">
        <v>596881.13</v>
      </c>
      <c r="G220">
        <v>479817284.16000003</v>
      </c>
      <c r="H220">
        <v>11.34</v>
      </c>
      <c r="I220">
        <v>0.81</v>
      </c>
      <c r="J220">
        <v>0.91438600000000003</v>
      </c>
      <c r="L220">
        <v>5.3882122394316037</v>
      </c>
      <c r="M220">
        <v>5.3882120000000002</v>
      </c>
      <c r="N220">
        <v>7.3622180000000004</v>
      </c>
      <c r="O220">
        <v>1.878851</v>
      </c>
      <c r="P220">
        <v>0.74</v>
      </c>
      <c r="Q220" t="s">
        <v>22</v>
      </c>
      <c r="R220" t="s">
        <v>22</v>
      </c>
      <c r="S220">
        <v>499</v>
      </c>
      <c r="T220">
        <v>554</v>
      </c>
      <c r="U220">
        <v>7.27</v>
      </c>
      <c r="V220">
        <v>3</v>
      </c>
      <c r="W220">
        <v>0.15</v>
      </c>
      <c r="X220">
        <v>3998477368</v>
      </c>
    </row>
    <row r="221" spans="1:24" x14ac:dyDescent="0.25">
      <c r="A221" t="s">
        <v>241</v>
      </c>
      <c r="B221">
        <v>220</v>
      </c>
      <c r="C221">
        <v>132.5</v>
      </c>
      <c r="D221">
        <v>-1.1200000000000001</v>
      </c>
      <c r="E221">
        <v>812346</v>
      </c>
      <c r="F221">
        <v>108008886.5</v>
      </c>
      <c r="G221">
        <v>69756612500</v>
      </c>
      <c r="H221">
        <v>131.37</v>
      </c>
      <c r="I221">
        <v>0.69</v>
      </c>
      <c r="J221">
        <v>1.213338</v>
      </c>
      <c r="K221">
        <v>3.25</v>
      </c>
      <c r="L221">
        <v>2.92</v>
      </c>
      <c r="M221">
        <v>3.3271809999999999</v>
      </c>
      <c r="N221">
        <v>0.51551400000000003</v>
      </c>
      <c r="O221">
        <v>8.2235929999999993</v>
      </c>
      <c r="P221">
        <v>4.91</v>
      </c>
      <c r="Q221" t="s">
        <v>22</v>
      </c>
      <c r="R221" t="s">
        <v>22</v>
      </c>
      <c r="S221">
        <v>1249</v>
      </c>
      <c r="T221">
        <v>1200</v>
      </c>
      <c r="U221">
        <v>-0.22</v>
      </c>
      <c r="V221">
        <v>5</v>
      </c>
      <c r="W221">
        <v>192.1</v>
      </c>
      <c r="X221">
        <v>526465000</v>
      </c>
    </row>
    <row r="222" spans="1:24" x14ac:dyDescent="0.25">
      <c r="A222" t="s">
        <v>242</v>
      </c>
      <c r="B222">
        <v>221</v>
      </c>
      <c r="C222">
        <v>5.2</v>
      </c>
      <c r="D222">
        <v>0</v>
      </c>
      <c r="E222">
        <v>210283</v>
      </c>
      <c r="F222">
        <v>1093995.2</v>
      </c>
      <c r="G222">
        <v>4449101264.3999996</v>
      </c>
      <c r="H222">
        <v>15.35</v>
      </c>
      <c r="I222">
        <v>1.86</v>
      </c>
      <c r="J222">
        <v>0.138208</v>
      </c>
      <c r="K222">
        <v>0.3</v>
      </c>
      <c r="L222">
        <v>0.15</v>
      </c>
      <c r="M222">
        <v>13.332261000000001</v>
      </c>
      <c r="N222">
        <v>12.062951</v>
      </c>
      <c r="O222">
        <v>20.866063</v>
      </c>
      <c r="P222">
        <v>5.77</v>
      </c>
      <c r="Q222" t="s">
        <v>22</v>
      </c>
      <c r="R222" t="s">
        <v>22</v>
      </c>
      <c r="S222">
        <v>761</v>
      </c>
      <c r="T222">
        <v>628</v>
      </c>
      <c r="U222">
        <v>39.74</v>
      </c>
      <c r="V222">
        <v>4</v>
      </c>
      <c r="W222">
        <v>2.8</v>
      </c>
      <c r="X222">
        <v>855596397</v>
      </c>
    </row>
    <row r="223" spans="1:24" x14ac:dyDescent="0.25">
      <c r="A223" t="s">
        <v>243</v>
      </c>
      <c r="B223">
        <v>222</v>
      </c>
      <c r="C223">
        <v>0.02</v>
      </c>
      <c r="D223">
        <v>0</v>
      </c>
      <c r="E223">
        <v>10839100</v>
      </c>
      <c r="F223">
        <v>216374</v>
      </c>
      <c r="G223">
        <v>251412663.59999999</v>
      </c>
      <c r="H223">
        <v>251412663.59999999</v>
      </c>
      <c r="I223">
        <v>0.31</v>
      </c>
      <c r="J223">
        <v>1.0110710000000001</v>
      </c>
      <c r="K223">
        <v>-0.01</v>
      </c>
      <c r="L223">
        <v>-0.01</v>
      </c>
      <c r="M223">
        <v>-12.964741</v>
      </c>
      <c r="N223">
        <v>-27.696486</v>
      </c>
      <c r="O223">
        <v>-61.224722</v>
      </c>
      <c r="P223">
        <v>0.31</v>
      </c>
      <c r="Q223" t="s">
        <v>22</v>
      </c>
      <c r="R223" t="s">
        <v>22</v>
      </c>
      <c r="W223">
        <v>0.06</v>
      </c>
      <c r="X223">
        <v>12570633180</v>
      </c>
    </row>
    <row r="224" spans="1:24" x14ac:dyDescent="0.25">
      <c r="A224" t="s">
        <v>244</v>
      </c>
      <c r="B224">
        <v>223</v>
      </c>
      <c r="C224">
        <v>2026</v>
      </c>
      <c r="D224">
        <v>-78.070175438596479</v>
      </c>
      <c r="E224">
        <v>2242772401</v>
      </c>
      <c r="F224">
        <v>1117697.9405400001</v>
      </c>
      <c r="G224">
        <v>157625000</v>
      </c>
      <c r="H224">
        <v>157625000</v>
      </c>
      <c r="I224">
        <v>1.1200000000000001</v>
      </c>
      <c r="J224">
        <v>4.3776469999999996</v>
      </c>
      <c r="K224">
        <v>-0.13</v>
      </c>
      <c r="L224">
        <v>-0.13</v>
      </c>
      <c r="M224">
        <v>-36.434280999999999</v>
      </c>
      <c r="N224">
        <v>-131.13398000000001</v>
      </c>
      <c r="O224">
        <v>-104.595663</v>
      </c>
      <c r="P224">
        <v>1.1200000000000001</v>
      </c>
      <c r="Q224" t="s">
        <v>22</v>
      </c>
      <c r="R224" t="s">
        <v>22</v>
      </c>
      <c r="W224">
        <v>0.22</v>
      </c>
      <c r="X224">
        <v>630500000</v>
      </c>
    </row>
    <row r="225" spans="1:24" x14ac:dyDescent="0.25">
      <c r="A225" t="s">
        <v>245</v>
      </c>
      <c r="B225">
        <v>224</v>
      </c>
      <c r="C225">
        <v>1.1100000000000001</v>
      </c>
      <c r="D225">
        <v>0</v>
      </c>
      <c r="E225">
        <v>97104</v>
      </c>
      <c r="F225">
        <v>106282.48</v>
      </c>
      <c r="G225">
        <v>1035082877.67</v>
      </c>
      <c r="H225">
        <v>1081708232.52</v>
      </c>
      <c r="I225">
        <v>0.5</v>
      </c>
      <c r="J225">
        <v>2.567501</v>
      </c>
      <c r="K225">
        <v>0.25</v>
      </c>
      <c r="L225">
        <v>0.11</v>
      </c>
      <c r="M225">
        <v>-6.4151090000000002</v>
      </c>
      <c r="N225">
        <v>-30.617888000000001</v>
      </c>
      <c r="O225">
        <v>14.732488</v>
      </c>
      <c r="P225">
        <v>0.52</v>
      </c>
      <c r="Q225" t="s">
        <v>22</v>
      </c>
      <c r="R225" t="s">
        <v>22</v>
      </c>
      <c r="W225">
        <v>2.21</v>
      </c>
      <c r="X225">
        <v>932507097</v>
      </c>
    </row>
    <row r="226" spans="1:24" x14ac:dyDescent="0.25">
      <c r="A226" t="s">
        <v>246</v>
      </c>
      <c r="B226">
        <v>225</v>
      </c>
      <c r="C226">
        <v>6.4</v>
      </c>
      <c r="D226">
        <v>1.59</v>
      </c>
      <c r="E226">
        <v>15157502</v>
      </c>
      <c r="F226">
        <v>97004143.599999994</v>
      </c>
      <c r="G226">
        <v>17920000000</v>
      </c>
      <c r="H226">
        <v>12.19</v>
      </c>
      <c r="I226">
        <v>1.29</v>
      </c>
      <c r="J226">
        <v>0.54938299999999995</v>
      </c>
      <c r="K226">
        <v>0.13</v>
      </c>
      <c r="L226">
        <v>0.16</v>
      </c>
      <c r="M226">
        <v>8.5235620000000001</v>
      </c>
      <c r="N226">
        <v>11.066335</v>
      </c>
      <c r="O226">
        <v>12.058707999999999</v>
      </c>
      <c r="P226">
        <v>3.13</v>
      </c>
      <c r="Q226" t="s">
        <v>22</v>
      </c>
      <c r="R226" t="s">
        <v>22</v>
      </c>
      <c r="S226">
        <v>649</v>
      </c>
      <c r="T226">
        <v>627</v>
      </c>
      <c r="U226">
        <v>-2.09</v>
      </c>
      <c r="V226">
        <v>5</v>
      </c>
      <c r="W226">
        <v>4.95</v>
      </c>
      <c r="X226">
        <v>2800000000</v>
      </c>
    </row>
    <row r="227" spans="1:24" x14ac:dyDescent="0.25">
      <c r="A227" t="s">
        <v>247</v>
      </c>
      <c r="B227">
        <v>226</v>
      </c>
      <c r="C227">
        <v>3.76</v>
      </c>
      <c r="D227">
        <v>0.53</v>
      </c>
      <c r="E227">
        <v>19582040</v>
      </c>
      <c r="F227">
        <v>73450473.5</v>
      </c>
      <c r="G227">
        <v>18374854653.040001</v>
      </c>
      <c r="H227">
        <v>20.95</v>
      </c>
      <c r="I227">
        <v>2.0099999999999998</v>
      </c>
      <c r="J227">
        <v>1.649554</v>
      </c>
      <c r="K227">
        <v>7.0000000000000007E-2</v>
      </c>
      <c r="L227">
        <v>0.09</v>
      </c>
      <c r="M227">
        <v>6.0708669999999998</v>
      </c>
      <c r="N227">
        <v>9.8392649999999993</v>
      </c>
      <c r="O227">
        <v>11.329288999999999</v>
      </c>
      <c r="P227">
        <v>1.86</v>
      </c>
      <c r="Q227" t="s">
        <v>22</v>
      </c>
      <c r="R227" t="s">
        <v>22</v>
      </c>
      <c r="S227">
        <v>855</v>
      </c>
      <c r="T227">
        <v>914</v>
      </c>
      <c r="U227">
        <v>-0.17</v>
      </c>
      <c r="V227">
        <v>5</v>
      </c>
      <c r="W227">
        <v>1.87</v>
      </c>
      <c r="X227">
        <v>4886929429</v>
      </c>
    </row>
    <row r="228" spans="1:24" x14ac:dyDescent="0.25">
      <c r="A228" t="s">
        <v>248</v>
      </c>
      <c r="B228">
        <v>227</v>
      </c>
      <c r="C228">
        <v>0.24</v>
      </c>
      <c r="D228">
        <v>0</v>
      </c>
      <c r="E228">
        <v>20104</v>
      </c>
      <c r="F228">
        <v>4838.9799999999996</v>
      </c>
      <c r="G228">
        <v>1205339084.4000001</v>
      </c>
      <c r="H228">
        <v>7.49</v>
      </c>
      <c r="I228">
        <v>0.25</v>
      </c>
      <c r="J228">
        <v>0.46256999999999998</v>
      </c>
      <c r="K228">
        <v>0.02</v>
      </c>
      <c r="L228">
        <v>0.01</v>
      </c>
      <c r="M228">
        <v>2.905411</v>
      </c>
      <c r="N228">
        <v>3.2996439999999998</v>
      </c>
      <c r="O228">
        <v>4.1806559999999999</v>
      </c>
      <c r="P228">
        <v>8.33</v>
      </c>
      <c r="Q228" t="s">
        <v>22</v>
      </c>
      <c r="R228" t="s">
        <v>22</v>
      </c>
      <c r="S228">
        <v>694</v>
      </c>
      <c r="T228">
        <v>687</v>
      </c>
      <c r="U228">
        <v>0.08</v>
      </c>
      <c r="V228">
        <v>4</v>
      </c>
      <c r="W228">
        <v>0.98</v>
      </c>
      <c r="X228">
        <v>5022246185</v>
      </c>
    </row>
    <row r="229" spans="1:24" x14ac:dyDescent="0.25">
      <c r="A229" t="s">
        <v>249</v>
      </c>
      <c r="B229">
        <v>228</v>
      </c>
      <c r="C229">
        <v>0.74</v>
      </c>
      <c r="D229">
        <v>-1.33</v>
      </c>
      <c r="E229">
        <v>4956826</v>
      </c>
      <c r="F229">
        <v>3697973.81</v>
      </c>
      <c r="G229">
        <v>1657600000</v>
      </c>
      <c r="H229">
        <v>3.14</v>
      </c>
      <c r="I229">
        <v>0.48</v>
      </c>
      <c r="J229">
        <v>5.9586E-2</v>
      </c>
      <c r="K229">
        <v>4.8000000000000001E-2</v>
      </c>
      <c r="L229">
        <v>0.03</v>
      </c>
      <c r="M229">
        <v>15.057873000000001</v>
      </c>
      <c r="N229">
        <v>16.303597</v>
      </c>
      <c r="O229">
        <v>19.675689999999999</v>
      </c>
      <c r="P229">
        <v>6.49</v>
      </c>
      <c r="Q229" t="s">
        <v>22</v>
      </c>
      <c r="R229" t="s">
        <v>22</v>
      </c>
      <c r="S229">
        <v>149</v>
      </c>
      <c r="T229">
        <v>93</v>
      </c>
      <c r="U229">
        <v>0.02</v>
      </c>
      <c r="V229">
        <v>5</v>
      </c>
      <c r="W229">
        <v>1.54</v>
      </c>
      <c r="X229">
        <v>2240000000</v>
      </c>
    </row>
    <row r="230" spans="1:24" x14ac:dyDescent="0.25">
      <c r="A230" t="s">
        <v>250</v>
      </c>
      <c r="B230">
        <v>229</v>
      </c>
      <c r="C230">
        <v>0.59</v>
      </c>
      <c r="D230">
        <v>-1.67</v>
      </c>
      <c r="E230">
        <v>113118</v>
      </c>
      <c r="F230">
        <v>67431.44</v>
      </c>
      <c r="G230">
        <v>330400000</v>
      </c>
      <c r="H230">
        <v>319200000</v>
      </c>
      <c r="I230">
        <v>0.35</v>
      </c>
      <c r="J230">
        <v>1.4001589999999999</v>
      </c>
      <c r="K230">
        <v>0.03</v>
      </c>
      <c r="L230">
        <v>0.03</v>
      </c>
      <c r="M230">
        <v>2.0116749999999999</v>
      </c>
      <c r="N230">
        <v>-1.0335209999999999</v>
      </c>
      <c r="O230">
        <v>2.5307539999999999</v>
      </c>
      <c r="P230">
        <v>0.33</v>
      </c>
      <c r="Q230" t="s">
        <v>22</v>
      </c>
      <c r="R230" t="s">
        <v>22</v>
      </c>
      <c r="V230">
        <v>5</v>
      </c>
      <c r="W230">
        <v>1.7</v>
      </c>
      <c r="X230">
        <v>560000000</v>
      </c>
    </row>
    <row r="231" spans="1:24" x14ac:dyDescent="0.25">
      <c r="A231" t="s">
        <v>251</v>
      </c>
      <c r="B231">
        <v>230</v>
      </c>
      <c r="C231">
        <v>0.45</v>
      </c>
      <c r="D231">
        <v>0</v>
      </c>
      <c r="E231">
        <v>723400</v>
      </c>
      <c r="F231">
        <v>331060</v>
      </c>
      <c r="G231">
        <v>279000000</v>
      </c>
      <c r="H231">
        <v>260400000</v>
      </c>
      <c r="I231">
        <v>0.5</v>
      </c>
      <c r="J231">
        <v>1.4754259999999999</v>
      </c>
      <c r="K231">
        <v>-0.04</v>
      </c>
      <c r="L231">
        <v>-0.04</v>
      </c>
      <c r="M231">
        <v>-4.7333860000000003</v>
      </c>
      <c r="N231">
        <v>-6.9018059999999997</v>
      </c>
      <c r="O231">
        <v>-3.0953529999999998</v>
      </c>
      <c r="P231">
        <v>0.46</v>
      </c>
      <c r="Q231" t="s">
        <v>22</v>
      </c>
      <c r="R231" t="s">
        <v>22</v>
      </c>
      <c r="W231">
        <v>0.9</v>
      </c>
      <c r="X231">
        <v>620000000</v>
      </c>
    </row>
    <row r="232" spans="1:24" x14ac:dyDescent="0.25">
      <c r="A232" t="s">
        <v>252</v>
      </c>
      <c r="B232">
        <v>231</v>
      </c>
      <c r="C232">
        <v>7</v>
      </c>
      <c r="D232">
        <v>0</v>
      </c>
      <c r="E232">
        <v>9000</v>
      </c>
      <c r="F232">
        <v>63000</v>
      </c>
      <c r="G232">
        <v>2135000000</v>
      </c>
      <c r="H232">
        <v>12.85</v>
      </c>
      <c r="I232">
        <v>2.21</v>
      </c>
      <c r="J232">
        <v>1.361639</v>
      </c>
      <c r="K232">
        <v>0.25</v>
      </c>
      <c r="L232">
        <v>0.28999999999999998</v>
      </c>
      <c r="M232">
        <v>10.410364</v>
      </c>
      <c r="N232">
        <v>17.936971</v>
      </c>
      <c r="O232">
        <v>11.546917000000001</v>
      </c>
      <c r="P232">
        <v>3.59</v>
      </c>
      <c r="Q232" t="s">
        <v>22</v>
      </c>
      <c r="R232" t="s">
        <v>22</v>
      </c>
      <c r="S232">
        <v>488</v>
      </c>
      <c r="T232">
        <v>527</v>
      </c>
      <c r="U232">
        <v>-4.22</v>
      </c>
      <c r="V232">
        <v>4</v>
      </c>
      <c r="W232">
        <v>3.17</v>
      </c>
      <c r="X232">
        <v>305000000</v>
      </c>
    </row>
    <row r="233" spans="1:24" x14ac:dyDescent="0.25">
      <c r="A233" t="s">
        <v>253</v>
      </c>
      <c r="B233">
        <v>232</v>
      </c>
      <c r="C233">
        <v>7.0000000000000007E-2</v>
      </c>
      <c r="D233">
        <v>0</v>
      </c>
      <c r="E233">
        <v>1039900</v>
      </c>
      <c r="F233">
        <v>62448</v>
      </c>
      <c r="G233">
        <v>339835058.63999999</v>
      </c>
      <c r="H233">
        <v>291287193.12</v>
      </c>
      <c r="I233">
        <v>0.23</v>
      </c>
      <c r="J233">
        <v>2.3855300000000002</v>
      </c>
      <c r="K233">
        <v>-0.04</v>
      </c>
      <c r="L233">
        <v>-0.04</v>
      </c>
      <c r="M233">
        <v>1.2870820000000001</v>
      </c>
      <c r="N233">
        <v>-11.172706</v>
      </c>
      <c r="O233">
        <v>-34.914282999999998</v>
      </c>
      <c r="P233">
        <v>0.2</v>
      </c>
      <c r="Q233" t="s">
        <v>22</v>
      </c>
      <c r="R233" t="s">
        <v>22</v>
      </c>
      <c r="V233">
        <v>4</v>
      </c>
      <c r="W233">
        <v>0.3</v>
      </c>
      <c r="X233">
        <v>4854786552</v>
      </c>
    </row>
    <row r="234" spans="1:24" x14ac:dyDescent="0.25">
      <c r="A234" t="s">
        <v>254</v>
      </c>
      <c r="B234">
        <v>233</v>
      </c>
      <c r="C234">
        <v>2026</v>
      </c>
      <c r="D234">
        <v>-19.642857142857142</v>
      </c>
      <c r="E234">
        <v>1</v>
      </c>
      <c r="F234">
        <v>42</v>
      </c>
      <c r="G234">
        <v>793093860</v>
      </c>
      <c r="H234">
        <v>793093860</v>
      </c>
      <c r="I234">
        <v>0.54</v>
      </c>
      <c r="J234">
        <v>0.73070900000000005</v>
      </c>
      <c r="K234">
        <v>2.5499999999999998</v>
      </c>
      <c r="L234">
        <v>-1.33</v>
      </c>
      <c r="M234">
        <v>0.47665299999999999</v>
      </c>
      <c r="N234">
        <v>-1.899365</v>
      </c>
      <c r="O234">
        <v>-11.990849000000001</v>
      </c>
      <c r="P234">
        <v>0.54</v>
      </c>
      <c r="Q234" t="s">
        <v>22</v>
      </c>
      <c r="R234" t="s">
        <v>22</v>
      </c>
      <c r="W234">
        <v>83.31</v>
      </c>
      <c r="X234">
        <v>17624308</v>
      </c>
    </row>
    <row r="235" spans="1:24" x14ac:dyDescent="0.25">
      <c r="A235" t="s">
        <v>255</v>
      </c>
      <c r="B235">
        <v>234</v>
      </c>
      <c r="C235">
        <v>0.25</v>
      </c>
      <c r="D235">
        <v>4.17</v>
      </c>
      <c r="E235">
        <v>408700</v>
      </c>
      <c r="F235">
        <v>95987</v>
      </c>
      <c r="G235">
        <v>153750000</v>
      </c>
      <c r="H235">
        <v>141450000</v>
      </c>
      <c r="I235">
        <v>0.2</v>
      </c>
      <c r="J235">
        <v>3.6711000000000001E-2</v>
      </c>
      <c r="K235">
        <v>-0.11</v>
      </c>
      <c r="L235">
        <v>-0.11</v>
      </c>
      <c r="M235">
        <v>-8.7252179999999999</v>
      </c>
      <c r="N235">
        <v>-9.0518750000000008</v>
      </c>
      <c r="O235">
        <v>-106.331857</v>
      </c>
      <c r="P235">
        <v>0.19</v>
      </c>
      <c r="Q235" t="s">
        <v>22</v>
      </c>
      <c r="R235" t="s">
        <v>22</v>
      </c>
      <c r="W235">
        <v>1.24</v>
      </c>
      <c r="X235">
        <v>615000000</v>
      </c>
    </row>
    <row r="236" spans="1:24" x14ac:dyDescent="0.25">
      <c r="A236" t="s">
        <v>256</v>
      </c>
      <c r="B236">
        <v>235</v>
      </c>
      <c r="C236">
        <v>194</v>
      </c>
      <c r="D236">
        <v>2.11</v>
      </c>
      <c r="E236">
        <v>1</v>
      </c>
      <c r="F236">
        <v>199.5</v>
      </c>
      <c r="G236">
        <v>1558260000</v>
      </c>
      <c r="H236">
        <v>14.81</v>
      </c>
      <c r="I236">
        <v>1.07</v>
      </c>
      <c r="J236">
        <v>0.188946</v>
      </c>
      <c r="K236">
        <v>8.5</v>
      </c>
      <c r="L236">
        <v>4.4400000000000004</v>
      </c>
      <c r="M236">
        <v>7.6010280000000003</v>
      </c>
      <c r="N236">
        <v>7.3026619999999998</v>
      </c>
      <c r="O236">
        <v>10.295133</v>
      </c>
      <c r="P236">
        <v>4.29</v>
      </c>
      <c r="Q236" t="s">
        <v>22</v>
      </c>
      <c r="R236" t="s">
        <v>22</v>
      </c>
      <c r="S236">
        <v>923</v>
      </c>
      <c r="T236">
        <v>797</v>
      </c>
      <c r="U236">
        <v>0.4</v>
      </c>
      <c r="V236">
        <v>4</v>
      </c>
      <c r="W236">
        <v>184.7</v>
      </c>
      <c r="X236">
        <v>7870000</v>
      </c>
    </row>
    <row r="237" spans="1:24" x14ac:dyDescent="0.25">
      <c r="A237" t="s">
        <v>257</v>
      </c>
      <c r="B237">
        <v>236</v>
      </c>
      <c r="C237">
        <v>1.17</v>
      </c>
      <c r="D237">
        <v>0</v>
      </c>
      <c r="E237">
        <v>363910</v>
      </c>
      <c r="F237">
        <v>425859.5</v>
      </c>
      <c r="G237">
        <v>519998150.88</v>
      </c>
      <c r="H237">
        <v>8.36</v>
      </c>
      <c r="I237">
        <v>1.02</v>
      </c>
      <c r="J237">
        <v>0.20503099999999999</v>
      </c>
      <c r="K237">
        <v>0.1</v>
      </c>
      <c r="L237">
        <v>0.04</v>
      </c>
      <c r="M237">
        <v>12.119436</v>
      </c>
      <c r="N237">
        <v>12.392023999999999</v>
      </c>
      <c r="O237">
        <v>13.741676999999999</v>
      </c>
      <c r="P237">
        <v>8.5500000000000007</v>
      </c>
      <c r="Q237" t="s">
        <v>22</v>
      </c>
      <c r="R237" t="s">
        <v>22</v>
      </c>
      <c r="S237">
        <v>221</v>
      </c>
      <c r="T237">
        <v>150</v>
      </c>
      <c r="U237">
        <v>0.05</v>
      </c>
      <c r="V237">
        <v>5</v>
      </c>
      <c r="W237">
        <v>1.1499999999999999</v>
      </c>
      <c r="X237">
        <v>444442864</v>
      </c>
    </row>
    <row r="238" spans="1:24" x14ac:dyDescent="0.25">
      <c r="A238" t="s">
        <v>258</v>
      </c>
      <c r="B238">
        <v>237</v>
      </c>
      <c r="C238">
        <v>4.46</v>
      </c>
      <c r="D238">
        <v>0.45</v>
      </c>
      <c r="E238">
        <v>4121385</v>
      </c>
      <c r="F238">
        <v>18386677.260000002</v>
      </c>
      <c r="G238">
        <v>4405712211</v>
      </c>
      <c r="H238">
        <v>6.57</v>
      </c>
      <c r="I238">
        <v>1.1299999999999999</v>
      </c>
      <c r="J238">
        <v>0.28503899999999999</v>
      </c>
      <c r="K238">
        <v>0.2</v>
      </c>
      <c r="L238">
        <v>0.38</v>
      </c>
      <c r="M238">
        <v>16.294104000000001</v>
      </c>
      <c r="N238">
        <v>17.947693999999998</v>
      </c>
      <c r="O238">
        <v>10.451949000000001</v>
      </c>
      <c r="P238">
        <v>7.85</v>
      </c>
      <c r="Q238" t="s">
        <v>22</v>
      </c>
      <c r="R238" t="s">
        <v>22</v>
      </c>
      <c r="S238">
        <v>180</v>
      </c>
      <c r="T238">
        <v>128</v>
      </c>
      <c r="U238">
        <v>0.06</v>
      </c>
      <c r="W238">
        <v>3.94</v>
      </c>
      <c r="X238">
        <v>987827850</v>
      </c>
    </row>
    <row r="239" spans="1:24" x14ac:dyDescent="0.25">
      <c r="A239" t="s">
        <v>259</v>
      </c>
      <c r="B239">
        <v>238</v>
      </c>
      <c r="C239">
        <v>19.2</v>
      </c>
      <c r="D239">
        <v>7.87</v>
      </c>
      <c r="E239">
        <v>3300</v>
      </c>
      <c r="F239">
        <v>61050</v>
      </c>
      <c r="G239">
        <v>921600000</v>
      </c>
      <c r="H239">
        <v>950400000</v>
      </c>
      <c r="I239">
        <v>0.65</v>
      </c>
      <c r="J239">
        <v>1.673154</v>
      </c>
      <c r="K239">
        <v>1</v>
      </c>
      <c r="L239">
        <v>1.33</v>
      </c>
      <c r="M239">
        <v>0.82915000000000005</v>
      </c>
      <c r="N239">
        <v>-1.5700449999999999</v>
      </c>
      <c r="O239">
        <v>1.580381</v>
      </c>
      <c r="P239">
        <v>0.67</v>
      </c>
      <c r="Q239" t="s">
        <v>22</v>
      </c>
      <c r="R239" t="s">
        <v>22</v>
      </c>
      <c r="W239">
        <v>29.66</v>
      </c>
      <c r="X239">
        <v>48000000</v>
      </c>
    </row>
    <row r="240" spans="1:24" x14ac:dyDescent="0.25">
      <c r="A240" t="s">
        <v>260</v>
      </c>
      <c r="B240">
        <v>239</v>
      </c>
      <c r="C240">
        <v>0.46</v>
      </c>
      <c r="D240">
        <v>-2.13</v>
      </c>
      <c r="E240">
        <v>3300</v>
      </c>
      <c r="F240">
        <v>1511</v>
      </c>
      <c r="G240">
        <v>460000000</v>
      </c>
      <c r="H240">
        <v>470000000</v>
      </c>
      <c r="I240">
        <v>0.54</v>
      </c>
      <c r="J240">
        <v>0.25090200000000001</v>
      </c>
      <c r="K240">
        <v>3.7000000000000002E-3</v>
      </c>
      <c r="L240">
        <v>-0.03</v>
      </c>
      <c r="M240">
        <v>-1.611367</v>
      </c>
      <c r="N240">
        <v>-6.6858849999999999</v>
      </c>
      <c r="O240">
        <v>-10.449577</v>
      </c>
      <c r="P240">
        <v>0.55000000000000004</v>
      </c>
      <c r="Q240" t="s">
        <v>22</v>
      </c>
      <c r="R240" t="s">
        <v>22</v>
      </c>
      <c r="V240">
        <v>5</v>
      </c>
      <c r="W240">
        <v>0.86</v>
      </c>
      <c r="X240">
        <v>1000000000</v>
      </c>
    </row>
    <row r="241" spans="1:24" x14ac:dyDescent="0.25">
      <c r="A241" t="s">
        <v>261</v>
      </c>
      <c r="B241">
        <v>240</v>
      </c>
      <c r="C241">
        <v>0.55000000000000004</v>
      </c>
      <c r="D241">
        <v>-6.78</v>
      </c>
      <c r="E241">
        <v>119603</v>
      </c>
      <c r="F241">
        <v>68127.83</v>
      </c>
      <c r="G241">
        <v>275358085.75</v>
      </c>
      <c r="H241">
        <v>255332043.15000001</v>
      </c>
      <c r="I241">
        <v>0.31</v>
      </c>
      <c r="J241">
        <v>1.5386029999999999</v>
      </c>
      <c r="K241">
        <v>0.2</v>
      </c>
      <c r="L241">
        <v>-0.67</v>
      </c>
      <c r="M241">
        <v>-23.260147</v>
      </c>
      <c r="N241">
        <v>-59.571680999999998</v>
      </c>
      <c r="O241">
        <v>-131.31122199999999</v>
      </c>
      <c r="P241">
        <v>0.28999999999999998</v>
      </c>
      <c r="Q241" t="s">
        <v>22</v>
      </c>
      <c r="R241" t="s">
        <v>22</v>
      </c>
      <c r="V241">
        <v>3</v>
      </c>
      <c r="W241">
        <v>1.78</v>
      </c>
      <c r="X241">
        <v>500651065</v>
      </c>
    </row>
    <row r="242" spans="1:24" x14ac:dyDescent="0.25">
      <c r="A242" t="s">
        <v>262</v>
      </c>
      <c r="B242">
        <v>241</v>
      </c>
      <c r="C242">
        <v>16.3</v>
      </c>
      <c r="D242">
        <v>0</v>
      </c>
      <c r="E242">
        <v>6268505</v>
      </c>
      <c r="F242">
        <v>103662240.5</v>
      </c>
      <c r="G242">
        <v>15246607610</v>
      </c>
      <c r="H242">
        <v>14.62</v>
      </c>
      <c r="I242">
        <v>5.12</v>
      </c>
      <c r="J242">
        <v>2.0831840000000001</v>
      </c>
      <c r="K242">
        <v>0.21</v>
      </c>
      <c r="L242">
        <v>0.43</v>
      </c>
      <c r="M242">
        <v>14.020625000000001</v>
      </c>
      <c r="N242">
        <v>40.833550000000002</v>
      </c>
      <c r="O242">
        <v>10.042558</v>
      </c>
      <c r="P242">
        <v>1.29</v>
      </c>
      <c r="Q242" t="s">
        <v>22</v>
      </c>
      <c r="R242" t="s">
        <v>22</v>
      </c>
      <c r="S242">
        <v>509</v>
      </c>
      <c r="T242">
        <v>580</v>
      </c>
      <c r="U242">
        <v>0.34</v>
      </c>
      <c r="V242">
        <v>5</v>
      </c>
      <c r="W242">
        <v>3.19</v>
      </c>
      <c r="X242">
        <v>935374700</v>
      </c>
    </row>
    <row r="243" spans="1:24" x14ac:dyDescent="0.25">
      <c r="A243" t="s">
        <v>263</v>
      </c>
      <c r="B243">
        <v>242</v>
      </c>
      <c r="C243">
        <v>1.69</v>
      </c>
      <c r="D243">
        <v>-0.59</v>
      </c>
      <c r="E243">
        <v>158901</v>
      </c>
      <c r="F243">
        <v>270076.69</v>
      </c>
      <c r="G243">
        <v>2557020588.46</v>
      </c>
      <c r="H243">
        <v>8.15</v>
      </c>
      <c r="I243">
        <v>0.95</v>
      </c>
      <c r="J243">
        <v>0.857881</v>
      </c>
      <c r="K243">
        <v>0.04</v>
      </c>
      <c r="L243">
        <v>0.12</v>
      </c>
      <c r="M243">
        <v>9.9520350000000004</v>
      </c>
      <c r="N243">
        <v>12.075702</v>
      </c>
      <c r="O243">
        <v>12.575372</v>
      </c>
      <c r="P243">
        <v>4.7300000000000004</v>
      </c>
      <c r="Q243" t="s">
        <v>22</v>
      </c>
      <c r="R243" t="s">
        <v>22</v>
      </c>
      <c r="S243">
        <v>452</v>
      </c>
      <c r="T243">
        <v>392</v>
      </c>
      <c r="U243">
        <v>-3.92</v>
      </c>
      <c r="V243">
        <v>5</v>
      </c>
      <c r="W243">
        <v>1.78</v>
      </c>
      <c r="X243">
        <v>1513029934</v>
      </c>
    </row>
    <row r="244" spans="1:24" x14ac:dyDescent="0.25">
      <c r="A244" t="s">
        <v>264</v>
      </c>
      <c r="B244">
        <v>243</v>
      </c>
      <c r="C244">
        <v>7.4</v>
      </c>
      <c r="D244">
        <v>4.96</v>
      </c>
      <c r="E244">
        <v>121421</v>
      </c>
      <c r="F244">
        <v>879576.35</v>
      </c>
      <c r="G244">
        <v>17162652900.6</v>
      </c>
      <c r="H244">
        <v>7.25</v>
      </c>
      <c r="I244">
        <v>0.45</v>
      </c>
      <c r="J244">
        <v>1.6637869999999999</v>
      </c>
      <c r="K244">
        <v>0.32</v>
      </c>
      <c r="L244">
        <v>0.91</v>
      </c>
      <c r="M244">
        <v>3.7526470000000001</v>
      </c>
      <c r="N244">
        <v>6.3180519999999998</v>
      </c>
      <c r="O244">
        <v>22.309182</v>
      </c>
      <c r="P244">
        <v>4.32</v>
      </c>
      <c r="Q244" t="s">
        <v>22</v>
      </c>
      <c r="R244" t="s">
        <v>22</v>
      </c>
      <c r="S244">
        <v>541</v>
      </c>
      <c r="T244">
        <v>617</v>
      </c>
      <c r="U244">
        <v>2.84</v>
      </c>
      <c r="V244">
        <v>5</v>
      </c>
      <c r="W244">
        <v>16.45</v>
      </c>
      <c r="X244">
        <v>2319277419</v>
      </c>
    </row>
    <row r="245" spans="1:24" x14ac:dyDescent="0.25">
      <c r="A245" t="s">
        <v>265</v>
      </c>
      <c r="B245">
        <v>244</v>
      </c>
      <c r="C245">
        <v>7.25</v>
      </c>
      <c r="D245">
        <v>-1.36</v>
      </c>
      <c r="E245">
        <v>557323</v>
      </c>
      <c r="F245">
        <v>4029821.95</v>
      </c>
      <c r="G245">
        <v>5460274425</v>
      </c>
      <c r="H245">
        <v>9.9700000000000006</v>
      </c>
      <c r="I245">
        <v>2.93</v>
      </c>
      <c r="J245">
        <v>1.0178579999999999</v>
      </c>
      <c r="K245">
        <v>0.18</v>
      </c>
      <c r="L245">
        <v>0.36</v>
      </c>
      <c r="M245">
        <v>19.117213</v>
      </c>
      <c r="N245">
        <v>31.653423</v>
      </c>
      <c r="O245">
        <v>21.340288999999999</v>
      </c>
      <c r="P245">
        <v>5.24</v>
      </c>
      <c r="Q245" t="s">
        <v>22</v>
      </c>
      <c r="R245" t="s">
        <v>22</v>
      </c>
      <c r="S245">
        <v>298</v>
      </c>
      <c r="T245">
        <v>297</v>
      </c>
      <c r="U245">
        <v>0.75</v>
      </c>
      <c r="V245">
        <v>5</v>
      </c>
      <c r="W245">
        <v>2.4700000000000002</v>
      </c>
      <c r="X245">
        <v>753141300</v>
      </c>
    </row>
    <row r="246" spans="1:24" x14ac:dyDescent="0.25">
      <c r="A246" t="s">
        <v>266</v>
      </c>
      <c r="B246">
        <v>245</v>
      </c>
      <c r="C246">
        <v>1.06</v>
      </c>
      <c r="D246">
        <v>0.95</v>
      </c>
      <c r="E246">
        <v>97100</v>
      </c>
      <c r="F246">
        <v>103145</v>
      </c>
      <c r="G246">
        <v>1207611923.9200001</v>
      </c>
      <c r="H246">
        <v>1219004489.24</v>
      </c>
      <c r="I246">
        <v>0.35</v>
      </c>
      <c r="J246">
        <v>1.018005</v>
      </c>
      <c r="K246">
        <v>-0.18</v>
      </c>
      <c r="L246">
        <v>-0.18</v>
      </c>
      <c r="M246">
        <v>-6.7850679999999999</v>
      </c>
      <c r="N246">
        <v>-13.631726</v>
      </c>
      <c r="O246">
        <v>-36.422314</v>
      </c>
      <c r="P246">
        <v>0.35</v>
      </c>
      <c r="Q246" t="s">
        <v>22</v>
      </c>
      <c r="R246" t="s">
        <v>22</v>
      </c>
      <c r="V246">
        <v>5</v>
      </c>
      <c r="W246">
        <v>3.04</v>
      </c>
      <c r="X246">
        <v>1139256532</v>
      </c>
    </row>
    <row r="247" spans="1:24" x14ac:dyDescent="0.25">
      <c r="A247" t="s">
        <v>267</v>
      </c>
      <c r="B247">
        <v>246</v>
      </c>
      <c r="C247">
        <v>2.72</v>
      </c>
      <c r="D247">
        <v>-0.73</v>
      </c>
      <c r="E247">
        <v>119316</v>
      </c>
      <c r="F247">
        <v>322569.21999999997</v>
      </c>
      <c r="G247">
        <v>1795199793.28</v>
      </c>
      <c r="H247">
        <v>11.72</v>
      </c>
      <c r="I247">
        <v>2</v>
      </c>
      <c r="J247">
        <v>0.52610699999999999</v>
      </c>
      <c r="K247">
        <v>0.1</v>
      </c>
      <c r="L247">
        <v>0.14000000000000001</v>
      </c>
      <c r="M247">
        <v>15.277734000000001</v>
      </c>
      <c r="N247">
        <v>17.433264000000001</v>
      </c>
      <c r="O247">
        <v>10.443845</v>
      </c>
      <c r="P247">
        <v>6.25</v>
      </c>
      <c r="Q247" t="s">
        <v>22</v>
      </c>
      <c r="R247" t="s">
        <v>22</v>
      </c>
      <c r="S247">
        <v>472</v>
      </c>
      <c r="T247">
        <v>422</v>
      </c>
      <c r="U247">
        <v>0.36</v>
      </c>
      <c r="V247">
        <v>3</v>
      </c>
      <c r="W247">
        <v>1.36</v>
      </c>
      <c r="X247">
        <v>659999924</v>
      </c>
    </row>
    <row r="248" spans="1:24" x14ac:dyDescent="0.25">
      <c r="A248" t="s">
        <v>268</v>
      </c>
      <c r="B248">
        <v>247</v>
      </c>
      <c r="C248">
        <v>1.93</v>
      </c>
      <c r="D248">
        <v>6.04</v>
      </c>
      <c r="E248">
        <v>31020</v>
      </c>
      <c r="F248">
        <v>58421.4</v>
      </c>
      <c r="G248">
        <v>868500000</v>
      </c>
      <c r="H248">
        <v>12.36</v>
      </c>
      <c r="I248">
        <v>1.1499999999999999</v>
      </c>
      <c r="J248">
        <v>0.1928</v>
      </c>
      <c r="K248">
        <v>0.04</v>
      </c>
      <c r="L248">
        <v>0.11</v>
      </c>
      <c r="M248">
        <v>9.8642749999999992</v>
      </c>
      <c r="N248">
        <v>9.5388199999999994</v>
      </c>
      <c r="O248">
        <v>11.410556</v>
      </c>
      <c r="P248">
        <v>4.1500000000000004</v>
      </c>
      <c r="Q248" t="s">
        <v>22</v>
      </c>
      <c r="R248" t="s">
        <v>22</v>
      </c>
      <c r="V248">
        <v>5</v>
      </c>
      <c r="W248">
        <v>1.67</v>
      </c>
      <c r="X248">
        <v>450000000</v>
      </c>
    </row>
    <row r="249" spans="1:24" x14ac:dyDescent="0.25">
      <c r="A249" t="s">
        <v>269</v>
      </c>
      <c r="B249">
        <v>248</v>
      </c>
      <c r="C249">
        <v>0.3</v>
      </c>
      <c r="D249">
        <v>-3.23</v>
      </c>
      <c r="E249">
        <v>369901</v>
      </c>
      <c r="F249">
        <v>113668.33</v>
      </c>
      <c r="G249">
        <v>657262140.60000002</v>
      </c>
      <c r="H249">
        <v>657262140.60000002</v>
      </c>
      <c r="I249">
        <v>0.5</v>
      </c>
      <c r="J249">
        <v>0.754216</v>
      </c>
      <c r="K249">
        <v>0.01</v>
      </c>
      <c r="L249">
        <v>-0.05</v>
      </c>
      <c r="M249">
        <v>4.864198</v>
      </c>
      <c r="N249">
        <v>-10.842549</v>
      </c>
      <c r="O249">
        <v>-23.002800000000001</v>
      </c>
      <c r="P249">
        <v>0.5</v>
      </c>
      <c r="Q249" t="s">
        <v>22</v>
      </c>
      <c r="R249" t="s">
        <v>22</v>
      </c>
      <c r="V249">
        <v>4</v>
      </c>
      <c r="W249">
        <v>0.6</v>
      </c>
      <c r="X249">
        <v>2190873802</v>
      </c>
    </row>
    <row r="250" spans="1:24" x14ac:dyDescent="0.25">
      <c r="A250" t="s">
        <v>270</v>
      </c>
      <c r="B250">
        <v>249</v>
      </c>
      <c r="C250">
        <v>3.98</v>
      </c>
      <c r="D250">
        <v>0</v>
      </c>
      <c r="E250">
        <v>258200</v>
      </c>
      <c r="F250">
        <v>1025290</v>
      </c>
      <c r="G250">
        <v>2786085251.5999999</v>
      </c>
      <c r="H250">
        <v>7.27</v>
      </c>
      <c r="I250">
        <v>1.26</v>
      </c>
      <c r="J250">
        <v>1.8943890000000001</v>
      </c>
      <c r="K250">
        <v>0.32</v>
      </c>
      <c r="L250">
        <v>0.21</v>
      </c>
      <c r="M250">
        <v>7.9580979999999997</v>
      </c>
      <c r="N250">
        <v>17.902750000000001</v>
      </c>
      <c r="O250">
        <v>4.5561449999999999</v>
      </c>
      <c r="P250">
        <v>8.0399999999999991</v>
      </c>
      <c r="Q250" t="s">
        <v>22</v>
      </c>
      <c r="R250" t="s">
        <v>22</v>
      </c>
      <c r="S250">
        <v>224</v>
      </c>
      <c r="T250">
        <v>333</v>
      </c>
      <c r="U250">
        <v>1.21</v>
      </c>
      <c r="V250">
        <v>5</v>
      </c>
      <c r="W250">
        <v>3.15</v>
      </c>
      <c r="X250">
        <v>700021420</v>
      </c>
    </row>
    <row r="251" spans="1:24" x14ac:dyDescent="0.25">
      <c r="A251" t="s">
        <v>271</v>
      </c>
      <c r="B251">
        <v>250</v>
      </c>
      <c r="C251">
        <v>0.77</v>
      </c>
      <c r="D251">
        <v>10</v>
      </c>
      <c r="E251">
        <v>19264115</v>
      </c>
      <c r="F251">
        <v>14734109.789999999</v>
      </c>
      <c r="G251">
        <v>838588821.84000003</v>
      </c>
      <c r="H251">
        <v>7.35</v>
      </c>
      <c r="I251">
        <v>0.6</v>
      </c>
      <c r="J251">
        <v>1.573345</v>
      </c>
      <c r="K251">
        <v>4.0000000000000001E-3</v>
      </c>
      <c r="L251">
        <v>0.06</v>
      </c>
      <c r="M251">
        <v>5.3929609999999997</v>
      </c>
      <c r="N251">
        <v>8.446847</v>
      </c>
      <c r="O251">
        <v>12.924666999999999</v>
      </c>
      <c r="P251">
        <v>0.52</v>
      </c>
      <c r="Q251" t="s">
        <v>22</v>
      </c>
      <c r="R251" t="s">
        <v>22</v>
      </c>
      <c r="S251">
        <v>920</v>
      </c>
      <c r="T251">
        <v>1008</v>
      </c>
      <c r="U251">
        <v>-0.11</v>
      </c>
      <c r="V251">
        <v>3</v>
      </c>
      <c r="W251">
        <v>1.29</v>
      </c>
      <c r="X251">
        <v>1089076392</v>
      </c>
    </row>
    <row r="252" spans="1:24" x14ac:dyDescent="0.25">
      <c r="A252" t="s">
        <v>272</v>
      </c>
      <c r="B252">
        <v>251</v>
      </c>
      <c r="C252">
        <v>5.25</v>
      </c>
      <c r="D252">
        <v>0</v>
      </c>
      <c r="E252">
        <v>258939</v>
      </c>
      <c r="F252">
        <v>1360631.65</v>
      </c>
      <c r="G252">
        <v>2309999286</v>
      </c>
      <c r="H252">
        <v>7.01</v>
      </c>
      <c r="I252">
        <v>2.91</v>
      </c>
      <c r="J252">
        <v>2.1876579999999999</v>
      </c>
      <c r="K252">
        <v>0.25</v>
      </c>
      <c r="L252">
        <v>0.53</v>
      </c>
      <c r="M252">
        <v>18.933391</v>
      </c>
      <c r="N252">
        <v>45.694679999999998</v>
      </c>
      <c r="O252">
        <v>7.0832629999999996</v>
      </c>
      <c r="P252">
        <v>7.81</v>
      </c>
      <c r="Q252" t="s">
        <v>22</v>
      </c>
      <c r="R252" t="s">
        <v>22</v>
      </c>
      <c r="S252">
        <v>141</v>
      </c>
      <c r="T252">
        <v>159</v>
      </c>
      <c r="U252">
        <v>5.81</v>
      </c>
      <c r="V252">
        <v>5</v>
      </c>
      <c r="W252">
        <v>1.81</v>
      </c>
      <c r="X252">
        <v>439999864</v>
      </c>
    </row>
    <row r="253" spans="1:24" x14ac:dyDescent="0.25">
      <c r="A253" t="s">
        <v>273</v>
      </c>
      <c r="B253">
        <v>252</v>
      </c>
      <c r="C253">
        <v>0.25</v>
      </c>
      <c r="D253">
        <v>4.17</v>
      </c>
      <c r="E253">
        <v>804200</v>
      </c>
      <c r="F253">
        <v>201212</v>
      </c>
      <c r="G253">
        <v>135474335</v>
      </c>
      <c r="H253">
        <v>130055361.59999999</v>
      </c>
      <c r="I253">
        <v>0.33</v>
      </c>
      <c r="J253">
        <v>1.14737</v>
      </c>
      <c r="K253">
        <v>0.1</v>
      </c>
      <c r="L253">
        <v>-0.03</v>
      </c>
      <c r="M253">
        <v>-5.3919170000000003</v>
      </c>
      <c r="N253">
        <v>-19.255019999999998</v>
      </c>
      <c r="O253">
        <v>-29.645015999999998</v>
      </c>
      <c r="P253">
        <v>0.32</v>
      </c>
      <c r="Q253" t="s">
        <v>22</v>
      </c>
      <c r="R253" t="s">
        <v>22</v>
      </c>
      <c r="V253">
        <v>5</v>
      </c>
      <c r="W253">
        <v>0.76</v>
      </c>
      <c r="X253">
        <v>541897340</v>
      </c>
    </row>
    <row r="254" spans="1:24" x14ac:dyDescent="0.25">
      <c r="A254" t="s">
        <v>274</v>
      </c>
      <c r="B254">
        <v>253</v>
      </c>
      <c r="C254">
        <v>0.05</v>
      </c>
      <c r="D254">
        <v>25</v>
      </c>
      <c r="E254">
        <v>362710</v>
      </c>
      <c r="F254">
        <v>14529.4</v>
      </c>
      <c r="G254">
        <v>430602452.64999998</v>
      </c>
      <c r="H254">
        <v>344481962.12</v>
      </c>
      <c r="I254">
        <v>0.2</v>
      </c>
      <c r="J254">
        <v>2.1055649999999999</v>
      </c>
      <c r="K254">
        <v>-0.03</v>
      </c>
      <c r="L254">
        <v>-0.03</v>
      </c>
      <c r="M254">
        <v>-4.932938</v>
      </c>
      <c r="N254">
        <v>-19.924686000000001</v>
      </c>
      <c r="O254">
        <v>-39.883445999999999</v>
      </c>
      <c r="P254">
        <v>0.16</v>
      </c>
      <c r="Q254" t="s">
        <v>22</v>
      </c>
      <c r="R254" t="s">
        <v>22</v>
      </c>
      <c r="V254">
        <v>4</v>
      </c>
      <c r="W254">
        <v>0.24</v>
      </c>
      <c r="X254">
        <v>8612049053</v>
      </c>
    </row>
    <row r="255" spans="1:24" x14ac:dyDescent="0.25">
      <c r="A255" t="s">
        <v>275</v>
      </c>
      <c r="B255">
        <v>254</v>
      </c>
      <c r="C255">
        <v>0.33</v>
      </c>
      <c r="D255">
        <v>0</v>
      </c>
      <c r="E255">
        <v>111400</v>
      </c>
      <c r="F255">
        <v>35682</v>
      </c>
      <c r="G255">
        <v>370358216.25</v>
      </c>
      <c r="H255">
        <v>8.07</v>
      </c>
      <c r="I255">
        <v>0.33</v>
      </c>
      <c r="J255">
        <v>0.30118600000000001</v>
      </c>
      <c r="K255">
        <v>0.01</v>
      </c>
      <c r="L255">
        <v>0.01</v>
      </c>
      <c r="M255">
        <v>3.5977700000000001</v>
      </c>
      <c r="N255">
        <v>4.0885319999999998</v>
      </c>
      <c r="O255">
        <v>4.1997929999999997</v>
      </c>
      <c r="P255">
        <v>0.34</v>
      </c>
      <c r="Q255" t="s">
        <v>22</v>
      </c>
      <c r="R255" t="s">
        <v>22</v>
      </c>
      <c r="S255">
        <v>682</v>
      </c>
      <c r="T255">
        <v>651</v>
      </c>
      <c r="U255">
        <v>-0.1</v>
      </c>
      <c r="W255">
        <v>1</v>
      </c>
      <c r="X255">
        <v>1122297625</v>
      </c>
    </row>
    <row r="256" spans="1:24" x14ac:dyDescent="0.25">
      <c r="A256" t="s">
        <v>276</v>
      </c>
      <c r="B256">
        <v>255</v>
      </c>
      <c r="C256">
        <v>2.14</v>
      </c>
      <c r="D256">
        <v>-0.93</v>
      </c>
      <c r="E256">
        <v>55300</v>
      </c>
      <c r="F256">
        <v>117578</v>
      </c>
      <c r="G256">
        <v>470800000</v>
      </c>
      <c r="H256">
        <v>470800000</v>
      </c>
      <c r="I256">
        <v>0.88</v>
      </c>
      <c r="J256">
        <v>0.119004</v>
      </c>
      <c r="K256">
        <v>0.03</v>
      </c>
      <c r="L256">
        <v>-0.05</v>
      </c>
      <c r="M256">
        <v>0.63014899999999996</v>
      </c>
      <c r="N256">
        <v>-0.41365099999999999</v>
      </c>
      <c r="O256">
        <v>-7.893389</v>
      </c>
      <c r="P256">
        <v>6.07</v>
      </c>
      <c r="Q256" t="s">
        <v>22</v>
      </c>
      <c r="R256" t="s">
        <v>22</v>
      </c>
      <c r="V256">
        <v>5</v>
      </c>
      <c r="W256">
        <v>2.4300000000000002</v>
      </c>
      <c r="X256">
        <v>220000000</v>
      </c>
    </row>
    <row r="257" spans="1:24" x14ac:dyDescent="0.25">
      <c r="A257" t="s">
        <v>277</v>
      </c>
      <c r="B257">
        <v>256</v>
      </c>
      <c r="C257">
        <v>10</v>
      </c>
      <c r="D257">
        <v>-0.99</v>
      </c>
      <c r="E257">
        <v>3033618</v>
      </c>
      <c r="F257">
        <v>30343081.199999999</v>
      </c>
      <c r="G257">
        <v>12538210000</v>
      </c>
      <c r="H257">
        <v>5.51</v>
      </c>
      <c r="I257">
        <v>0.56000000000000005</v>
      </c>
      <c r="J257">
        <v>0.27258500000000002</v>
      </c>
      <c r="K257">
        <v>0.2</v>
      </c>
      <c r="L257">
        <v>0.89</v>
      </c>
      <c r="M257">
        <v>9.3960059999999999</v>
      </c>
      <c r="N257">
        <v>10.642699</v>
      </c>
      <c r="O257">
        <v>12.349394999999999</v>
      </c>
      <c r="P257">
        <v>2</v>
      </c>
      <c r="Q257" t="s">
        <v>22</v>
      </c>
      <c r="R257" t="s">
        <v>22</v>
      </c>
      <c r="S257">
        <v>297</v>
      </c>
      <c r="T257">
        <v>226</v>
      </c>
      <c r="U257">
        <v>0.02</v>
      </c>
      <c r="V257">
        <v>5</v>
      </c>
      <c r="W257">
        <v>17.87</v>
      </c>
      <c r="X257">
        <v>1253821000</v>
      </c>
    </row>
    <row r="258" spans="1:24" x14ac:dyDescent="0.25">
      <c r="A258" t="s">
        <v>278</v>
      </c>
      <c r="B258">
        <v>257</v>
      </c>
      <c r="C258">
        <v>5.7</v>
      </c>
      <c r="D258">
        <v>-1.72</v>
      </c>
      <c r="E258">
        <v>17100</v>
      </c>
      <c r="F258">
        <v>97495</v>
      </c>
      <c r="G258">
        <v>5834900190</v>
      </c>
      <c r="H258">
        <v>42.2</v>
      </c>
      <c r="I258">
        <v>0.64</v>
      </c>
      <c r="J258">
        <v>0.20943899999999999</v>
      </c>
      <c r="K258">
        <v>0.1</v>
      </c>
      <c r="L258">
        <v>0.44</v>
      </c>
      <c r="M258">
        <v>0.87601300000000004</v>
      </c>
      <c r="N258">
        <v>1.518956</v>
      </c>
      <c r="O258">
        <v>4.0371160000000001</v>
      </c>
      <c r="P258">
        <v>0.61</v>
      </c>
      <c r="Q258" t="s">
        <v>22</v>
      </c>
      <c r="R258" t="s">
        <v>22</v>
      </c>
      <c r="S258">
        <v>1254</v>
      </c>
      <c r="T258">
        <v>1308</v>
      </c>
      <c r="U258">
        <v>0.5</v>
      </c>
      <c r="V258">
        <v>5</v>
      </c>
      <c r="W258">
        <v>8.9499999999999993</v>
      </c>
      <c r="X258">
        <v>1023666700</v>
      </c>
    </row>
    <row r="259" spans="1:24" x14ac:dyDescent="0.25">
      <c r="A259" t="s">
        <v>279</v>
      </c>
      <c r="B259">
        <v>258</v>
      </c>
      <c r="C259">
        <v>0.13</v>
      </c>
      <c r="D259">
        <v>0</v>
      </c>
      <c r="E259">
        <v>77201</v>
      </c>
      <c r="F259">
        <v>9272.1200000000008</v>
      </c>
      <c r="G259">
        <v>3313327536.48</v>
      </c>
      <c r="H259">
        <v>3058456187.52</v>
      </c>
      <c r="I259">
        <v>0.33</v>
      </c>
      <c r="J259">
        <v>0.21971399999999999</v>
      </c>
      <c r="K259">
        <v>-0.01</v>
      </c>
      <c r="L259">
        <v>-0.01</v>
      </c>
      <c r="M259">
        <v>-4.8568239999999996</v>
      </c>
      <c r="N259">
        <v>-5.7319430000000002</v>
      </c>
      <c r="O259">
        <v>-1.9985569999999999</v>
      </c>
      <c r="P259">
        <v>0.31</v>
      </c>
      <c r="Q259" t="s">
        <v>22</v>
      </c>
      <c r="R259" t="s">
        <v>22</v>
      </c>
      <c r="W259">
        <v>0.39</v>
      </c>
      <c r="X259">
        <v>25487134896</v>
      </c>
    </row>
    <row r="260" spans="1:24" x14ac:dyDescent="0.25">
      <c r="A260" t="s">
        <v>280</v>
      </c>
      <c r="B260">
        <v>259</v>
      </c>
      <c r="C260">
        <v>2026</v>
      </c>
      <c r="D260">
        <v>0</v>
      </c>
      <c r="E260">
        <v>0</v>
      </c>
      <c r="F260">
        <v>0</v>
      </c>
      <c r="G260">
        <v>5200</v>
      </c>
      <c r="H260">
        <v>0</v>
      </c>
      <c r="I260">
        <v>0.64225781562043105</v>
      </c>
      <c r="J260">
        <v>0.642258</v>
      </c>
      <c r="K260">
        <v>0.03</v>
      </c>
      <c r="L260">
        <v>0.03</v>
      </c>
      <c r="M260">
        <v>2.605305</v>
      </c>
      <c r="N260">
        <v>2.5485039999999999</v>
      </c>
      <c r="O260">
        <v>28.675151</v>
      </c>
      <c r="P260">
        <v>0</v>
      </c>
      <c r="Q260" t="s">
        <v>22</v>
      </c>
      <c r="R260" t="s">
        <v>22</v>
      </c>
      <c r="S260">
        <v>1045</v>
      </c>
      <c r="T260">
        <v>1027</v>
      </c>
      <c r="U260">
        <v>-4.3899999999999997</v>
      </c>
      <c r="V260">
        <v>5</v>
      </c>
      <c r="W260">
        <v>2.5099999999999998</v>
      </c>
      <c r="X260">
        <v>6499829661</v>
      </c>
    </row>
    <row r="261" spans="1:24" x14ac:dyDescent="0.25">
      <c r="A261" t="s">
        <v>281</v>
      </c>
      <c r="B261">
        <v>260</v>
      </c>
      <c r="C261">
        <v>7.15</v>
      </c>
      <c r="D261">
        <v>0</v>
      </c>
      <c r="E261">
        <v>15959943</v>
      </c>
      <c r="F261">
        <v>114417676.09999999</v>
      </c>
      <c r="G261">
        <v>40054229093.449997</v>
      </c>
      <c r="H261">
        <v>15.53</v>
      </c>
      <c r="I261">
        <v>1.54</v>
      </c>
      <c r="J261">
        <v>0.47551300000000002</v>
      </c>
      <c r="K261">
        <v>0.184115</v>
      </c>
      <c r="L261">
        <v>0.31</v>
      </c>
      <c r="M261">
        <v>8.3404640000000008</v>
      </c>
      <c r="N261">
        <v>10.159812000000001</v>
      </c>
      <c r="O261">
        <v>10.172402999999999</v>
      </c>
      <c r="P261">
        <v>2.48</v>
      </c>
      <c r="Q261" t="s">
        <v>22</v>
      </c>
      <c r="R261" t="s">
        <v>22</v>
      </c>
      <c r="S261">
        <v>761</v>
      </c>
      <c r="T261">
        <v>714</v>
      </c>
      <c r="U261">
        <v>-1.37</v>
      </c>
      <c r="V261">
        <v>5</v>
      </c>
      <c r="W261">
        <v>4.6399999999999997</v>
      </c>
      <c r="X261">
        <v>5601990083</v>
      </c>
    </row>
    <row r="262" spans="1:24" x14ac:dyDescent="0.25">
      <c r="A262" t="s">
        <v>282</v>
      </c>
      <c r="B262">
        <v>261</v>
      </c>
      <c r="C262">
        <v>0.97</v>
      </c>
      <c r="D262">
        <v>1.04</v>
      </c>
      <c r="E262">
        <v>32600</v>
      </c>
      <c r="F262">
        <v>31299</v>
      </c>
      <c r="G262">
        <v>262368607</v>
      </c>
      <c r="H262">
        <v>278597593</v>
      </c>
      <c r="I262">
        <v>1.66</v>
      </c>
      <c r="J262">
        <v>0.16605800000000001</v>
      </c>
      <c r="K262">
        <v>0.06</v>
      </c>
      <c r="L262">
        <v>-11.527732598208132</v>
      </c>
      <c r="M262">
        <v>-11.527733</v>
      </c>
      <c r="N262">
        <v>-17.485271999999998</v>
      </c>
      <c r="O262">
        <v>1.385116</v>
      </c>
      <c r="P262">
        <v>1.76</v>
      </c>
      <c r="Q262" t="s">
        <v>22</v>
      </c>
      <c r="R262" t="s">
        <v>22</v>
      </c>
      <c r="W262">
        <v>0.59</v>
      </c>
      <c r="X262">
        <v>270483100</v>
      </c>
    </row>
    <row r="263" spans="1:24" x14ac:dyDescent="0.25">
      <c r="A263" t="s">
        <v>283</v>
      </c>
      <c r="B263">
        <v>262</v>
      </c>
      <c r="C263">
        <v>1.76</v>
      </c>
      <c r="D263">
        <v>0</v>
      </c>
      <c r="E263">
        <v>369100</v>
      </c>
      <c r="F263">
        <v>651470</v>
      </c>
      <c r="G263">
        <v>1056000000</v>
      </c>
      <c r="H263">
        <v>10.74</v>
      </c>
      <c r="I263">
        <v>1.1599999999999999</v>
      </c>
      <c r="J263">
        <v>0.15446099999999999</v>
      </c>
      <c r="K263">
        <v>0.11</v>
      </c>
      <c r="L263">
        <v>0.37</v>
      </c>
      <c r="M263">
        <v>12.326389000000001</v>
      </c>
      <c r="N263">
        <v>10.795904999999999</v>
      </c>
      <c r="O263">
        <v>29.400534</v>
      </c>
      <c r="P263">
        <v>9.66</v>
      </c>
      <c r="Q263" t="s">
        <v>22</v>
      </c>
      <c r="R263" t="s">
        <v>22</v>
      </c>
      <c r="S263">
        <v>551</v>
      </c>
      <c r="T263">
        <v>476</v>
      </c>
      <c r="U263">
        <v>0.31</v>
      </c>
      <c r="V263">
        <v>3</v>
      </c>
      <c r="W263">
        <v>1.52</v>
      </c>
      <c r="X263">
        <v>600000000</v>
      </c>
    </row>
    <row r="264" spans="1:24" x14ac:dyDescent="0.25">
      <c r="A264" t="s">
        <v>284</v>
      </c>
      <c r="B264">
        <v>263</v>
      </c>
      <c r="C264">
        <v>53.5</v>
      </c>
      <c r="D264">
        <v>-1.38</v>
      </c>
      <c r="E264">
        <v>8373858</v>
      </c>
      <c r="F264">
        <v>449223123.25</v>
      </c>
      <c r="G264">
        <v>150855521134.5</v>
      </c>
      <c r="H264">
        <v>22.26</v>
      </c>
      <c r="I264">
        <v>1.43</v>
      </c>
      <c r="J264">
        <v>1.2124619999999999</v>
      </c>
      <c r="K264">
        <v>0.55000000000000004</v>
      </c>
      <c r="L264">
        <v>1.25</v>
      </c>
      <c r="M264">
        <v>4.8325360000000002</v>
      </c>
      <c r="N264">
        <v>6.3188319999999996</v>
      </c>
      <c r="O264">
        <v>9.6344119999999993</v>
      </c>
      <c r="P264">
        <v>2.71</v>
      </c>
      <c r="Q264" t="s">
        <v>22</v>
      </c>
      <c r="R264" t="s">
        <v>22</v>
      </c>
      <c r="S264">
        <v>998</v>
      </c>
      <c r="T264">
        <v>1004</v>
      </c>
      <c r="U264">
        <v>0.28000000000000003</v>
      </c>
      <c r="V264">
        <v>5</v>
      </c>
      <c r="W264">
        <v>37.44</v>
      </c>
      <c r="X264">
        <v>2819729367</v>
      </c>
    </row>
    <row r="265" spans="1:24" x14ac:dyDescent="0.25">
      <c r="A265" t="s">
        <v>285</v>
      </c>
      <c r="B265">
        <v>264</v>
      </c>
      <c r="C265">
        <v>3.34</v>
      </c>
      <c r="D265">
        <v>-0.6</v>
      </c>
      <c r="E265">
        <v>8329</v>
      </c>
      <c r="F265">
        <v>27485.84</v>
      </c>
      <c r="G265">
        <v>2738632094.8600001</v>
      </c>
      <c r="H265">
        <v>39.840000000000003</v>
      </c>
      <c r="I265">
        <v>0.6</v>
      </c>
      <c r="J265">
        <v>0.64531099999999997</v>
      </c>
      <c r="K265">
        <v>0.05</v>
      </c>
      <c r="L265">
        <v>0.28999999999999998</v>
      </c>
      <c r="M265">
        <v>3.4110269999999998</v>
      </c>
      <c r="N265">
        <v>1.5164420000000001</v>
      </c>
      <c r="O265">
        <v>8.6466060000000002</v>
      </c>
      <c r="P265">
        <v>0.57999999999999996</v>
      </c>
      <c r="Q265" t="s">
        <v>22</v>
      </c>
      <c r="R265" t="s">
        <v>22</v>
      </c>
      <c r="V265">
        <v>5</v>
      </c>
      <c r="W265">
        <v>5.6</v>
      </c>
      <c r="X265">
        <v>819949729</v>
      </c>
    </row>
    <row r="266" spans="1:24" x14ac:dyDescent="0.25">
      <c r="A266" t="s">
        <v>286</v>
      </c>
      <c r="B266">
        <v>265</v>
      </c>
      <c r="C266">
        <v>2026</v>
      </c>
      <c r="D266">
        <v>-33.333333333333329</v>
      </c>
      <c r="E266">
        <v>306963245</v>
      </c>
      <c r="F266">
        <v>7209.5361899999998</v>
      </c>
      <c r="G266">
        <v>186822400.46000001</v>
      </c>
      <c r="H266">
        <v>186822400.46000001</v>
      </c>
      <c r="I266">
        <v>0.47</v>
      </c>
      <c r="J266">
        <v>24.624513</v>
      </c>
      <c r="K266">
        <v>-0.03</v>
      </c>
      <c r="L266">
        <v>-0.03</v>
      </c>
      <c r="M266">
        <v>-6.311801</v>
      </c>
      <c r="N266">
        <v>-133.601854</v>
      </c>
      <c r="O266">
        <v>-36.099339999999998</v>
      </c>
      <c r="P266">
        <v>0.47</v>
      </c>
      <c r="Q266" t="s">
        <v>22</v>
      </c>
      <c r="R266" t="s">
        <v>22</v>
      </c>
      <c r="W266">
        <v>0.04</v>
      </c>
      <c r="X266">
        <v>9341120023</v>
      </c>
    </row>
    <row r="267" spans="1:24" x14ac:dyDescent="0.25">
      <c r="A267" t="s">
        <v>287</v>
      </c>
      <c r="B267">
        <v>266</v>
      </c>
      <c r="C267">
        <v>0.78</v>
      </c>
      <c r="D267">
        <v>-2.5</v>
      </c>
      <c r="E267">
        <v>123301</v>
      </c>
      <c r="F267">
        <v>97200.79</v>
      </c>
      <c r="G267">
        <v>638059288.62</v>
      </c>
      <c r="H267">
        <v>42.48</v>
      </c>
      <c r="I267">
        <v>0.84</v>
      </c>
      <c r="J267">
        <v>0.24410899999999999</v>
      </c>
      <c r="K267">
        <v>0.03</v>
      </c>
      <c r="L267">
        <v>0.03</v>
      </c>
      <c r="M267">
        <v>2.8243689999999999</v>
      </c>
      <c r="N267">
        <v>2.0076160000000001</v>
      </c>
      <c r="O267">
        <v>25.345206000000001</v>
      </c>
      <c r="P267">
        <v>0.86</v>
      </c>
      <c r="Q267" t="s">
        <v>22</v>
      </c>
      <c r="R267" t="s">
        <v>22</v>
      </c>
      <c r="S267">
        <v>1266</v>
      </c>
      <c r="T267">
        <v>1221</v>
      </c>
      <c r="U267">
        <v>-0.28000000000000003</v>
      </c>
      <c r="W267">
        <v>0.92</v>
      </c>
      <c r="X267">
        <v>818024729</v>
      </c>
    </row>
    <row r="268" spans="1:24" x14ac:dyDescent="0.25">
      <c r="A268" t="s">
        <v>288</v>
      </c>
      <c r="B268">
        <v>267</v>
      </c>
      <c r="C268">
        <v>2026</v>
      </c>
      <c r="D268">
        <v>0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-0.02</v>
      </c>
      <c r="L268">
        <v>-0.02</v>
      </c>
      <c r="M268">
        <v>-9.9339019999999998</v>
      </c>
      <c r="N268">
        <v>-6.2360159828514874</v>
      </c>
      <c r="O268">
        <v>-6.2360160000000002</v>
      </c>
      <c r="P268">
        <v>0</v>
      </c>
      <c r="Q268" t="s">
        <v>22</v>
      </c>
      <c r="R268" t="s">
        <v>22</v>
      </c>
      <c r="W268">
        <v>-7.0000000000000007E-2</v>
      </c>
      <c r="X268">
        <v>28928765432</v>
      </c>
    </row>
    <row r="269" spans="1:24" x14ac:dyDescent="0.25">
      <c r="A269" t="s">
        <v>289</v>
      </c>
      <c r="B269">
        <v>268</v>
      </c>
      <c r="C269">
        <v>0.78</v>
      </c>
      <c r="D269">
        <v>1.3</v>
      </c>
      <c r="E269">
        <v>48610</v>
      </c>
      <c r="F269">
        <v>37664.6</v>
      </c>
      <c r="G269">
        <v>748800000</v>
      </c>
      <c r="H269">
        <v>9.33</v>
      </c>
      <c r="I269">
        <v>0.89</v>
      </c>
      <c r="J269">
        <v>0.383905</v>
      </c>
      <c r="K269">
        <v>0.06</v>
      </c>
      <c r="L269">
        <v>0.04</v>
      </c>
      <c r="M269">
        <v>8.8714019999999998</v>
      </c>
      <c r="N269">
        <v>9.5998640000000002</v>
      </c>
      <c r="O269">
        <v>7.547898</v>
      </c>
      <c r="P269">
        <v>7.69</v>
      </c>
      <c r="Q269" t="s">
        <v>22</v>
      </c>
      <c r="R269" t="s">
        <v>22</v>
      </c>
      <c r="S269">
        <v>579</v>
      </c>
      <c r="T269">
        <v>474</v>
      </c>
      <c r="U269">
        <v>-0.36</v>
      </c>
      <c r="V269">
        <v>3</v>
      </c>
      <c r="W269">
        <v>0.88</v>
      </c>
      <c r="X269">
        <v>960000000</v>
      </c>
    </row>
    <row r="270" spans="1:24" x14ac:dyDescent="0.25">
      <c r="A270" t="s">
        <v>290</v>
      </c>
      <c r="B270">
        <v>269</v>
      </c>
      <c r="C270">
        <v>0.03</v>
      </c>
      <c r="D270">
        <v>0</v>
      </c>
      <c r="E270">
        <v>31004101</v>
      </c>
      <c r="F270">
        <v>930349.03</v>
      </c>
      <c r="G270">
        <v>393928687.35000002</v>
      </c>
      <c r="H270">
        <v>4.66</v>
      </c>
      <c r="I270">
        <v>0.17</v>
      </c>
      <c r="J270">
        <v>0.38325900000000002</v>
      </c>
      <c r="K270">
        <v>0.01</v>
      </c>
      <c r="L270">
        <v>0.01</v>
      </c>
      <c r="M270">
        <v>0.93561000000000005</v>
      </c>
      <c r="N270">
        <v>3.6663239999999999</v>
      </c>
      <c r="O270">
        <v>88.763442999999995</v>
      </c>
      <c r="P270">
        <v>0.17</v>
      </c>
      <c r="Q270" t="s">
        <v>22</v>
      </c>
      <c r="R270" t="s">
        <v>22</v>
      </c>
      <c r="W270">
        <v>0.18</v>
      </c>
      <c r="X270">
        <v>13130956245</v>
      </c>
    </row>
    <row r="271" spans="1:24" x14ac:dyDescent="0.25">
      <c r="A271" t="s">
        <v>291</v>
      </c>
      <c r="B271">
        <v>270</v>
      </c>
      <c r="C271">
        <v>63.75</v>
      </c>
      <c r="D271">
        <v>-0.78</v>
      </c>
      <c r="E271">
        <v>20207889</v>
      </c>
      <c r="F271">
        <v>1298385676</v>
      </c>
      <c r="G271">
        <v>952414652291.25</v>
      </c>
      <c r="H271">
        <v>12.72</v>
      </c>
      <c r="I271">
        <v>3.02</v>
      </c>
      <c r="J271">
        <v>1.3474060000000001</v>
      </c>
      <c r="K271">
        <v>3.25</v>
      </c>
      <c r="L271">
        <v>1.44</v>
      </c>
      <c r="M271">
        <v>12.286493999999999</v>
      </c>
      <c r="N271">
        <v>23.784161999999998</v>
      </c>
      <c r="O271">
        <v>26.858267999999999</v>
      </c>
      <c r="P271">
        <v>5.0999999999999996</v>
      </c>
      <c r="Q271" t="s">
        <v>22</v>
      </c>
      <c r="R271" t="s">
        <v>22</v>
      </c>
      <c r="S271">
        <v>811</v>
      </c>
      <c r="T271">
        <v>865</v>
      </c>
      <c r="U271">
        <v>0.26</v>
      </c>
      <c r="V271">
        <v>5</v>
      </c>
      <c r="W271">
        <v>21.12</v>
      </c>
      <c r="X271">
        <v>14939837683</v>
      </c>
    </row>
    <row r="272" spans="1:24" x14ac:dyDescent="0.25">
      <c r="A272" t="s">
        <v>292</v>
      </c>
      <c r="B272">
        <v>271</v>
      </c>
      <c r="C272">
        <v>5.0999999999999996</v>
      </c>
      <c r="D272">
        <v>-0.97</v>
      </c>
      <c r="E272">
        <v>71146426</v>
      </c>
      <c r="F272">
        <v>368035551.85000002</v>
      </c>
      <c r="G272">
        <v>45300907967.400002</v>
      </c>
      <c r="H272">
        <v>23.26</v>
      </c>
      <c r="I272">
        <v>2.94</v>
      </c>
      <c r="J272">
        <v>1.20936</v>
      </c>
      <c r="K272">
        <v>0.1</v>
      </c>
      <c r="L272">
        <v>0.12</v>
      </c>
      <c r="M272">
        <v>8.7976709999999994</v>
      </c>
      <c r="N272">
        <v>13.28608</v>
      </c>
      <c r="O272">
        <v>19.190902999999999</v>
      </c>
      <c r="P272">
        <v>2.2799999999999998</v>
      </c>
      <c r="Q272" t="s">
        <v>22</v>
      </c>
      <c r="R272" t="s">
        <v>22</v>
      </c>
      <c r="S272">
        <v>770</v>
      </c>
      <c r="T272">
        <v>797</v>
      </c>
      <c r="U272">
        <v>29.45</v>
      </c>
      <c r="V272">
        <v>5</v>
      </c>
      <c r="W272">
        <v>1.73</v>
      </c>
      <c r="X272">
        <v>8882530974</v>
      </c>
    </row>
    <row r="273" spans="1:24" x14ac:dyDescent="0.25">
      <c r="A273" t="s">
        <v>293</v>
      </c>
      <c r="B273">
        <v>272</v>
      </c>
      <c r="C273">
        <v>189</v>
      </c>
      <c r="D273">
        <v>0</v>
      </c>
      <c r="E273">
        <v>101</v>
      </c>
      <c r="F273">
        <v>19089</v>
      </c>
      <c r="G273">
        <v>1398600000</v>
      </c>
      <c r="H273">
        <v>7.31</v>
      </c>
      <c r="I273">
        <v>0.36</v>
      </c>
      <c r="J273">
        <v>1.4057409999999999</v>
      </c>
      <c r="K273">
        <v>8</v>
      </c>
      <c r="L273">
        <v>12.33</v>
      </c>
      <c r="M273">
        <v>3.0584570000000002</v>
      </c>
      <c r="N273">
        <v>4.9203590000000004</v>
      </c>
      <c r="O273">
        <v>2.8431579999999999</v>
      </c>
      <c r="P273">
        <v>4.2300000000000004</v>
      </c>
      <c r="Q273" t="s">
        <v>22</v>
      </c>
      <c r="R273" t="s">
        <v>22</v>
      </c>
      <c r="S273">
        <v>625</v>
      </c>
      <c r="T273">
        <v>676</v>
      </c>
      <c r="U273">
        <v>0.19</v>
      </c>
      <c r="V273">
        <v>3</v>
      </c>
      <c r="W273">
        <v>529.94000000000005</v>
      </c>
      <c r="X273">
        <v>7400000</v>
      </c>
    </row>
    <row r="274" spans="1:24" x14ac:dyDescent="0.25">
      <c r="A274" t="s">
        <v>294</v>
      </c>
      <c r="B274">
        <v>273</v>
      </c>
      <c r="C274">
        <v>47</v>
      </c>
      <c r="D274">
        <v>2.17</v>
      </c>
      <c r="E274">
        <v>11197177</v>
      </c>
      <c r="F274">
        <v>525320352.25</v>
      </c>
      <c r="G274">
        <v>41612233020</v>
      </c>
      <c r="H274">
        <v>70.849999999999994</v>
      </c>
      <c r="I274">
        <v>1.57</v>
      </c>
      <c r="J274">
        <v>0.21877099999999999</v>
      </c>
      <c r="K274">
        <v>0.75</v>
      </c>
      <c r="L274">
        <v>0.49</v>
      </c>
      <c r="M274">
        <v>2.0047069999999998</v>
      </c>
      <c r="N274">
        <v>2.1975120000000001</v>
      </c>
      <c r="O274">
        <v>4.0347900000000001</v>
      </c>
      <c r="P274">
        <v>2.13</v>
      </c>
      <c r="Q274" t="s">
        <v>22</v>
      </c>
      <c r="R274" t="s">
        <v>22</v>
      </c>
      <c r="S274">
        <v>1331</v>
      </c>
      <c r="T274">
        <v>1352</v>
      </c>
      <c r="U274">
        <v>-1.34</v>
      </c>
      <c r="V274">
        <v>5</v>
      </c>
      <c r="W274">
        <v>30.01</v>
      </c>
      <c r="X274">
        <v>885366660</v>
      </c>
    </row>
    <row r="275" spans="1:24" x14ac:dyDescent="0.25">
      <c r="A275" t="s">
        <v>295</v>
      </c>
      <c r="B275">
        <v>274</v>
      </c>
      <c r="C275">
        <v>0.84</v>
      </c>
      <c r="D275">
        <v>1.2</v>
      </c>
      <c r="E275">
        <v>200708</v>
      </c>
      <c r="F275">
        <v>167950.8</v>
      </c>
      <c r="G275">
        <v>470400000</v>
      </c>
      <c r="H275">
        <v>75.78</v>
      </c>
      <c r="I275">
        <v>1.53</v>
      </c>
      <c r="J275">
        <v>0.39657399999999998</v>
      </c>
      <c r="K275">
        <v>0.01</v>
      </c>
      <c r="L275">
        <v>0.01</v>
      </c>
      <c r="M275">
        <v>2.7400389999999999</v>
      </c>
      <c r="N275">
        <v>2.4939429999999998</v>
      </c>
      <c r="O275">
        <v>2.1829190000000001</v>
      </c>
      <c r="P275">
        <v>1.52</v>
      </c>
      <c r="Q275" t="s">
        <v>22</v>
      </c>
      <c r="R275" t="s">
        <v>22</v>
      </c>
      <c r="U275">
        <v>35.17</v>
      </c>
      <c r="W275">
        <v>0.55000000000000004</v>
      </c>
      <c r="X275">
        <v>560000000</v>
      </c>
    </row>
    <row r="276" spans="1:24" x14ac:dyDescent="0.25">
      <c r="A276" t="s">
        <v>296</v>
      </c>
      <c r="B276">
        <v>275</v>
      </c>
      <c r="C276">
        <v>1.99</v>
      </c>
      <c r="D276">
        <v>0</v>
      </c>
      <c r="E276">
        <v>56554</v>
      </c>
      <c r="F276">
        <v>112597.46</v>
      </c>
      <c r="G276">
        <v>1163155000</v>
      </c>
      <c r="H276">
        <v>12.16</v>
      </c>
      <c r="I276">
        <v>0.85</v>
      </c>
      <c r="J276">
        <v>0.32886399999999999</v>
      </c>
      <c r="K276">
        <v>0.12</v>
      </c>
      <c r="L276">
        <v>0.09</v>
      </c>
      <c r="M276">
        <v>6.8843290000000001</v>
      </c>
      <c r="N276">
        <v>7.0392939999999999</v>
      </c>
      <c r="O276">
        <v>7.822133</v>
      </c>
      <c r="P276">
        <v>6.03</v>
      </c>
      <c r="Q276" t="s">
        <v>22</v>
      </c>
      <c r="R276" t="s">
        <v>22</v>
      </c>
      <c r="S276">
        <v>730</v>
      </c>
      <c r="T276">
        <v>625</v>
      </c>
      <c r="U276">
        <v>1.97</v>
      </c>
      <c r="V276">
        <v>5</v>
      </c>
      <c r="W276">
        <v>2.35</v>
      </c>
      <c r="X276">
        <v>584500000</v>
      </c>
    </row>
    <row r="277" spans="1:24" x14ac:dyDescent="0.25">
      <c r="A277" t="s">
        <v>297</v>
      </c>
      <c r="B277">
        <v>276</v>
      </c>
      <c r="C277">
        <v>0.91</v>
      </c>
      <c r="D277">
        <v>0</v>
      </c>
      <c r="E277">
        <v>736000</v>
      </c>
      <c r="F277">
        <v>669254</v>
      </c>
      <c r="G277">
        <v>3467100000</v>
      </c>
      <c r="H277">
        <v>57.45</v>
      </c>
      <c r="I277">
        <v>0.68</v>
      </c>
      <c r="J277">
        <v>0.54969800000000002</v>
      </c>
      <c r="K277">
        <v>2.6200000000000001E-2</v>
      </c>
      <c r="L277">
        <v>0.02</v>
      </c>
      <c r="M277">
        <v>3.1412969999999998</v>
      </c>
      <c r="N277">
        <v>1.1863760000000001</v>
      </c>
      <c r="O277">
        <v>11.287978000000001</v>
      </c>
      <c r="P277">
        <v>2.88</v>
      </c>
      <c r="Q277" t="s">
        <v>22</v>
      </c>
      <c r="R277" t="s">
        <v>22</v>
      </c>
      <c r="S277">
        <v>1310</v>
      </c>
      <c r="T277">
        <v>1358</v>
      </c>
      <c r="U277">
        <v>-2.08</v>
      </c>
      <c r="V277">
        <v>5</v>
      </c>
      <c r="W277">
        <v>1.33</v>
      </c>
      <c r="X277">
        <v>3810000000</v>
      </c>
    </row>
    <row r="278" spans="1:24" x14ac:dyDescent="0.25">
      <c r="A278" t="s">
        <v>298</v>
      </c>
      <c r="B278">
        <v>277</v>
      </c>
      <c r="C278">
        <v>4.18</v>
      </c>
      <c r="D278">
        <v>1.46</v>
      </c>
      <c r="E278">
        <v>74301</v>
      </c>
      <c r="F278">
        <v>307140.06</v>
      </c>
      <c r="G278">
        <v>2752255374</v>
      </c>
      <c r="H278">
        <v>12.82</v>
      </c>
      <c r="I278">
        <v>0.74</v>
      </c>
      <c r="J278">
        <v>0.13705500000000001</v>
      </c>
      <c r="K278">
        <v>0.27</v>
      </c>
      <c r="L278">
        <v>0.18</v>
      </c>
      <c r="M278">
        <v>5.5394360000000002</v>
      </c>
      <c r="N278">
        <v>5.7464279999999999</v>
      </c>
      <c r="O278">
        <v>8.8551219999999997</v>
      </c>
      <c r="P278">
        <v>6.46</v>
      </c>
      <c r="Q278" t="s">
        <v>22</v>
      </c>
      <c r="R278" t="s">
        <v>22</v>
      </c>
      <c r="S278">
        <v>843</v>
      </c>
      <c r="T278">
        <v>752</v>
      </c>
      <c r="U278">
        <v>-1.01</v>
      </c>
      <c r="W278">
        <v>5.68</v>
      </c>
      <c r="X278">
        <v>658434300</v>
      </c>
    </row>
    <row r="279" spans="1:24" x14ac:dyDescent="0.25">
      <c r="A279" t="s">
        <v>299</v>
      </c>
      <c r="B279">
        <v>278</v>
      </c>
      <c r="C279">
        <v>4.92</v>
      </c>
      <c r="D279">
        <v>0.41</v>
      </c>
      <c r="E279">
        <v>66744</v>
      </c>
      <c r="F279">
        <v>327682.96000000002</v>
      </c>
      <c r="G279">
        <v>1338240000</v>
      </c>
      <c r="H279">
        <v>20.88</v>
      </c>
      <c r="I279">
        <v>1.41</v>
      </c>
      <c r="J279">
        <v>0.58820300000000003</v>
      </c>
      <c r="K279">
        <v>0.22</v>
      </c>
      <c r="L279">
        <v>7.0000000000000007E-2</v>
      </c>
      <c r="M279">
        <v>6.1750559999999997</v>
      </c>
      <c r="N279">
        <v>6.437665</v>
      </c>
      <c r="O279">
        <v>1.6674310000000001</v>
      </c>
      <c r="P279">
        <v>4.5599999999999996</v>
      </c>
      <c r="Q279" t="s">
        <v>22</v>
      </c>
      <c r="R279" t="s">
        <v>22</v>
      </c>
      <c r="S279">
        <v>926</v>
      </c>
      <c r="T279">
        <v>846</v>
      </c>
      <c r="U279">
        <v>5.0599999999999996</v>
      </c>
      <c r="W279">
        <v>3.48</v>
      </c>
      <c r="X279">
        <v>272000000</v>
      </c>
    </row>
    <row r="280" spans="1:24" x14ac:dyDescent="0.25">
      <c r="A280" t="s">
        <v>300</v>
      </c>
      <c r="B280">
        <v>279</v>
      </c>
      <c r="C280">
        <v>6.5</v>
      </c>
      <c r="D280">
        <v>-0.76</v>
      </c>
      <c r="E280">
        <v>35011793</v>
      </c>
      <c r="F280">
        <v>227370443.69999999</v>
      </c>
      <c r="G280">
        <v>85482787162.5</v>
      </c>
      <c r="H280">
        <v>14.19</v>
      </c>
      <c r="I280">
        <v>3.24</v>
      </c>
      <c r="J280">
        <v>1.609569</v>
      </c>
      <c r="K280">
        <v>0.22</v>
      </c>
      <c r="L280">
        <v>0.23</v>
      </c>
      <c r="M280">
        <v>12.029254999999999</v>
      </c>
      <c r="N280">
        <v>22.982382000000001</v>
      </c>
      <c r="O280">
        <v>8.5143830000000005</v>
      </c>
      <c r="P280">
        <v>5.88</v>
      </c>
      <c r="Q280" t="s">
        <v>22</v>
      </c>
      <c r="R280" t="s">
        <v>22</v>
      </c>
      <c r="S280">
        <v>509</v>
      </c>
      <c r="T280">
        <v>570</v>
      </c>
      <c r="U280">
        <v>5.26</v>
      </c>
      <c r="V280">
        <v>5</v>
      </c>
      <c r="W280">
        <v>2.0099999999999998</v>
      </c>
      <c r="X280">
        <v>13151198025</v>
      </c>
    </row>
    <row r="281" spans="1:24" x14ac:dyDescent="0.25">
      <c r="A281" t="s">
        <v>301</v>
      </c>
      <c r="B281">
        <v>280</v>
      </c>
      <c r="C281">
        <v>2025</v>
      </c>
      <c r="D281">
        <v>-57.575757575757571</v>
      </c>
      <c r="E281">
        <v>222775449</v>
      </c>
      <c r="F281">
        <v>35820.117980000003</v>
      </c>
      <c r="G281">
        <v>93</v>
      </c>
      <c r="H281">
        <v>0</v>
      </c>
      <c r="I281">
        <v>0.4411215429088744</v>
      </c>
      <c r="J281">
        <v>0.44112200000000001</v>
      </c>
      <c r="K281">
        <v>2.23E-2</v>
      </c>
      <c r="L281">
        <v>0.02</v>
      </c>
      <c r="M281">
        <v>3.8014549999999998</v>
      </c>
      <c r="N281">
        <v>3.4056959999999998</v>
      </c>
      <c r="O281">
        <v>3.6241880000000002</v>
      </c>
      <c r="P281">
        <v>0</v>
      </c>
      <c r="Q281" t="s">
        <v>22</v>
      </c>
      <c r="R281" t="s">
        <v>22</v>
      </c>
      <c r="V281">
        <v>5</v>
      </c>
      <c r="W281">
        <v>0.5</v>
      </c>
      <c r="X281">
        <v>662079341</v>
      </c>
    </row>
    <row r="282" spans="1:24" x14ac:dyDescent="0.25">
      <c r="A282" t="s">
        <v>303</v>
      </c>
      <c r="B282">
        <v>281</v>
      </c>
      <c r="C282">
        <v>15.8</v>
      </c>
      <c r="D282">
        <v>-0.63</v>
      </c>
      <c r="E282">
        <v>409227</v>
      </c>
      <c r="F282">
        <v>6493591.9000000004</v>
      </c>
      <c r="G282">
        <v>6350351800</v>
      </c>
      <c r="H282">
        <v>11.67</v>
      </c>
      <c r="I282">
        <v>1.47</v>
      </c>
      <c r="J282">
        <v>0.75206700000000004</v>
      </c>
      <c r="K282">
        <v>0.54</v>
      </c>
      <c r="L282">
        <v>0.75</v>
      </c>
      <c r="M282">
        <v>9.5532249999999994</v>
      </c>
      <c r="N282">
        <v>12.736280000000001</v>
      </c>
      <c r="O282">
        <v>6.6653019999999996</v>
      </c>
      <c r="P282">
        <v>6.27</v>
      </c>
      <c r="Q282" t="s">
        <v>22</v>
      </c>
      <c r="R282" t="s">
        <v>22</v>
      </c>
      <c r="S282">
        <v>493</v>
      </c>
      <c r="T282">
        <v>487</v>
      </c>
      <c r="U282">
        <v>3.29</v>
      </c>
      <c r="V282">
        <v>5</v>
      </c>
      <c r="W282">
        <v>10.76</v>
      </c>
      <c r="X282">
        <v>401921000</v>
      </c>
    </row>
    <row r="283" spans="1:24" x14ac:dyDescent="0.25">
      <c r="A283" t="s">
        <v>304</v>
      </c>
      <c r="B283">
        <v>282</v>
      </c>
      <c r="C283">
        <v>4.88</v>
      </c>
      <c r="D283">
        <v>-1.61</v>
      </c>
      <c r="E283">
        <v>999500</v>
      </c>
      <c r="F283">
        <v>4952365</v>
      </c>
      <c r="G283">
        <v>1570301025.3599999</v>
      </c>
      <c r="H283">
        <v>27.79</v>
      </c>
      <c r="I283">
        <v>1.1100000000000001</v>
      </c>
      <c r="J283">
        <v>0.21767500000000001</v>
      </c>
      <c r="K283">
        <v>0.1</v>
      </c>
      <c r="L283">
        <v>0.23</v>
      </c>
      <c r="M283">
        <v>6.6818419999999996</v>
      </c>
      <c r="N283">
        <v>4.1001089999999998</v>
      </c>
      <c r="O283">
        <v>13.675599</v>
      </c>
      <c r="P283">
        <v>3.25</v>
      </c>
      <c r="Q283" t="s">
        <v>22</v>
      </c>
      <c r="R283" t="s">
        <v>22</v>
      </c>
      <c r="S283">
        <v>1246</v>
      </c>
      <c r="T283">
        <v>1080</v>
      </c>
      <c r="U283">
        <v>2.04</v>
      </c>
      <c r="W283">
        <v>4.4000000000000004</v>
      </c>
      <c r="X283">
        <v>321782997</v>
      </c>
    </row>
    <row r="284" spans="1:24" x14ac:dyDescent="0.25">
      <c r="A284" t="s">
        <v>305</v>
      </c>
      <c r="B284">
        <v>283</v>
      </c>
      <c r="C284">
        <v>4.38</v>
      </c>
      <c r="D284">
        <v>-2.23</v>
      </c>
      <c r="E284">
        <v>2711781</v>
      </c>
      <c r="F284">
        <v>11829400.66</v>
      </c>
      <c r="G284">
        <v>3799402862.8800001</v>
      </c>
      <c r="H284">
        <v>11.2</v>
      </c>
      <c r="I284">
        <v>1.07</v>
      </c>
      <c r="J284">
        <v>0.17857000000000001</v>
      </c>
      <c r="K284">
        <v>0.14000000000000001</v>
      </c>
      <c r="L284">
        <v>0.17</v>
      </c>
      <c r="M284">
        <v>10.516026999999999</v>
      </c>
      <c r="N284">
        <v>9.5765829999999994</v>
      </c>
      <c r="O284">
        <v>17.836945</v>
      </c>
      <c r="P284">
        <v>7.33</v>
      </c>
      <c r="Q284" t="s">
        <v>22</v>
      </c>
      <c r="R284" t="s">
        <v>22</v>
      </c>
      <c r="S284">
        <v>602</v>
      </c>
      <c r="T284">
        <v>462</v>
      </c>
      <c r="U284">
        <v>0.5</v>
      </c>
      <c r="V284">
        <v>4</v>
      </c>
      <c r="W284">
        <v>4.08</v>
      </c>
      <c r="X284">
        <v>867443576</v>
      </c>
    </row>
    <row r="285" spans="1:24" x14ac:dyDescent="0.25">
      <c r="A285" t="s">
        <v>306</v>
      </c>
      <c r="B285">
        <v>284</v>
      </c>
      <c r="C285">
        <v>0.05</v>
      </c>
      <c r="D285">
        <v>-16.670000000000002</v>
      </c>
      <c r="E285">
        <v>83100</v>
      </c>
      <c r="F285">
        <v>4909</v>
      </c>
      <c r="G285">
        <v>122041302.8</v>
      </c>
      <c r="H285">
        <v>122041302.8</v>
      </c>
      <c r="I285">
        <v>2.2200000000000002</v>
      </c>
      <c r="J285">
        <v>10.550898999999999</v>
      </c>
      <c r="K285">
        <v>-0.04</v>
      </c>
      <c r="L285">
        <v>-0.04</v>
      </c>
      <c r="M285">
        <v>1.9794769999999999</v>
      </c>
      <c r="N285">
        <v>-18.842189999999999</v>
      </c>
      <c r="O285">
        <v>-111.954853</v>
      </c>
      <c r="P285">
        <v>2.2200000000000002</v>
      </c>
      <c r="Q285" t="s">
        <v>22</v>
      </c>
      <c r="R285" t="s">
        <v>22</v>
      </c>
      <c r="S285">
        <v>31</v>
      </c>
      <c r="T285">
        <v>217</v>
      </c>
      <c r="U285">
        <v>0.04</v>
      </c>
      <c r="W285">
        <v>0.02</v>
      </c>
      <c r="X285">
        <v>2440826056</v>
      </c>
    </row>
    <row r="286" spans="1:24" x14ac:dyDescent="0.25">
      <c r="A286" t="s">
        <v>307</v>
      </c>
      <c r="B286">
        <v>285</v>
      </c>
      <c r="C286">
        <v>0.83</v>
      </c>
      <c r="D286">
        <v>3.75</v>
      </c>
      <c r="E286">
        <v>403601</v>
      </c>
      <c r="F286">
        <v>334420.84000000003</v>
      </c>
      <c r="G286">
        <v>348600000</v>
      </c>
      <c r="H286">
        <v>16.47</v>
      </c>
      <c r="I286">
        <v>0.55000000000000004</v>
      </c>
      <c r="J286">
        <v>1.8753919999999999</v>
      </c>
      <c r="K286">
        <v>2.1999999999999999E-2</v>
      </c>
      <c r="L286">
        <v>0.01</v>
      </c>
      <c r="M286">
        <v>1.1626080000000001</v>
      </c>
      <c r="N286">
        <v>3.3971809999999998</v>
      </c>
      <c r="O286">
        <v>1.020119</v>
      </c>
      <c r="P286">
        <v>2.65</v>
      </c>
      <c r="Q286" t="s">
        <v>22</v>
      </c>
      <c r="R286" t="s">
        <v>22</v>
      </c>
      <c r="S286">
        <v>1028</v>
      </c>
      <c r="T286">
        <v>1128</v>
      </c>
      <c r="U286">
        <v>-2.4700000000000002</v>
      </c>
      <c r="W286">
        <v>1.5</v>
      </c>
      <c r="X286">
        <v>420000000</v>
      </c>
    </row>
    <row r="287" spans="1:24" x14ac:dyDescent="0.25">
      <c r="A287" t="s">
        <v>308</v>
      </c>
      <c r="B287">
        <v>286</v>
      </c>
      <c r="C287">
        <v>23.9</v>
      </c>
      <c r="D287">
        <v>1.7</v>
      </c>
      <c r="E287">
        <v>3161496</v>
      </c>
      <c r="F287">
        <v>77298467.200000003</v>
      </c>
      <c r="G287">
        <v>11950000000</v>
      </c>
      <c r="H287">
        <v>43.49</v>
      </c>
      <c r="I287">
        <v>0.4</v>
      </c>
      <c r="J287">
        <v>0.16605800000000001</v>
      </c>
      <c r="K287">
        <v>0.7</v>
      </c>
      <c r="L287">
        <v>0.56000000000000005</v>
      </c>
      <c r="M287">
        <v>0.63073500000000005</v>
      </c>
      <c r="N287">
        <v>0.92429499999999998</v>
      </c>
      <c r="O287">
        <v>6.173889</v>
      </c>
      <c r="P287">
        <v>2.93</v>
      </c>
      <c r="Q287" t="s">
        <v>22</v>
      </c>
      <c r="R287" t="s">
        <v>22</v>
      </c>
      <c r="S287">
        <v>1308</v>
      </c>
      <c r="T287">
        <v>1340</v>
      </c>
      <c r="U287">
        <v>0.39</v>
      </c>
      <c r="V287">
        <v>5</v>
      </c>
      <c r="W287">
        <v>59.77</v>
      </c>
      <c r="X287">
        <v>500000000</v>
      </c>
    </row>
    <row r="288" spans="1:24" x14ac:dyDescent="0.25">
      <c r="A288" t="s">
        <v>309</v>
      </c>
      <c r="B288">
        <v>287</v>
      </c>
      <c r="C288">
        <v>14.1</v>
      </c>
      <c r="D288">
        <v>-0.7</v>
      </c>
      <c r="E288">
        <v>2772617</v>
      </c>
      <c r="F288">
        <v>39229322.100000001</v>
      </c>
      <c r="G288">
        <v>18330000000</v>
      </c>
      <c r="H288">
        <v>14.42</v>
      </c>
      <c r="I288">
        <v>3.32</v>
      </c>
      <c r="J288">
        <v>0.24580199999999999</v>
      </c>
      <c r="K288">
        <v>0.45</v>
      </c>
      <c r="L288">
        <v>0.46</v>
      </c>
      <c r="M288">
        <v>19.016227000000001</v>
      </c>
      <c r="N288">
        <v>22.638190999999999</v>
      </c>
      <c r="O288">
        <v>14.560568</v>
      </c>
      <c r="P288">
        <v>7.8</v>
      </c>
      <c r="Q288" t="s">
        <v>22</v>
      </c>
      <c r="R288" t="s">
        <v>22</v>
      </c>
      <c r="S288">
        <v>487</v>
      </c>
      <c r="T288">
        <v>453</v>
      </c>
      <c r="U288">
        <v>0.52</v>
      </c>
      <c r="V288">
        <v>5</v>
      </c>
      <c r="W288">
        <v>4.25</v>
      </c>
      <c r="X288">
        <v>1300000000</v>
      </c>
    </row>
    <row r="289" spans="1:24" x14ac:dyDescent="0.25">
      <c r="A289" t="s">
        <v>310</v>
      </c>
      <c r="B289">
        <v>288</v>
      </c>
      <c r="C289">
        <v>2.2000000000000002</v>
      </c>
      <c r="D289">
        <v>0</v>
      </c>
      <c r="E289">
        <v>1931008</v>
      </c>
      <c r="F289">
        <v>4279809.76</v>
      </c>
      <c r="G289">
        <v>1478620974.5999999</v>
      </c>
      <c r="H289">
        <v>8.81</v>
      </c>
      <c r="I289">
        <v>1.58</v>
      </c>
      <c r="J289">
        <v>2.4674559999999999</v>
      </c>
      <c r="K289">
        <v>0.09</v>
      </c>
      <c r="L289">
        <v>0.18</v>
      </c>
      <c r="M289">
        <v>8.007066</v>
      </c>
      <c r="N289">
        <v>18.519083999999999</v>
      </c>
      <c r="O289">
        <v>5.8136289999999997</v>
      </c>
      <c r="P289">
        <v>6.82</v>
      </c>
      <c r="Q289" t="s">
        <v>22</v>
      </c>
      <c r="R289" t="s">
        <v>22</v>
      </c>
      <c r="S289">
        <v>451</v>
      </c>
      <c r="T289">
        <v>559</v>
      </c>
      <c r="U289">
        <v>-1.47</v>
      </c>
      <c r="V289">
        <v>4</v>
      </c>
      <c r="W289">
        <v>1.4</v>
      </c>
      <c r="X289">
        <v>672100443</v>
      </c>
    </row>
    <row r="290" spans="1:24" x14ac:dyDescent="0.25">
      <c r="A290" t="s">
        <v>311</v>
      </c>
      <c r="B290">
        <v>289</v>
      </c>
      <c r="C290">
        <v>1.27</v>
      </c>
      <c r="D290">
        <v>0</v>
      </c>
      <c r="E290">
        <v>200</v>
      </c>
      <c r="F290">
        <v>253</v>
      </c>
      <c r="G290">
        <v>127000000</v>
      </c>
      <c r="H290">
        <v>140.25</v>
      </c>
      <c r="I290">
        <v>1.07</v>
      </c>
      <c r="J290">
        <v>0.48496899999999998</v>
      </c>
      <c r="K290">
        <v>7.3499999999999996E-2</v>
      </c>
      <c r="L290">
        <v>-0.01</v>
      </c>
      <c r="M290">
        <v>0.57944300000000004</v>
      </c>
      <c r="N290">
        <v>1.052881</v>
      </c>
      <c r="O290">
        <v>-1.292772</v>
      </c>
      <c r="P290">
        <v>5.79</v>
      </c>
      <c r="Q290" t="s">
        <v>22</v>
      </c>
      <c r="R290" t="s">
        <v>22</v>
      </c>
      <c r="U290">
        <v>-0.66</v>
      </c>
      <c r="W290">
        <v>1.19</v>
      </c>
      <c r="X290">
        <v>100000000</v>
      </c>
    </row>
    <row r="291" spans="1:24" x14ac:dyDescent="0.25">
      <c r="A291" t="s">
        <v>312</v>
      </c>
      <c r="B291">
        <v>290</v>
      </c>
      <c r="C291">
        <v>1.83</v>
      </c>
      <c r="D291">
        <v>0.55000000000000004</v>
      </c>
      <c r="E291">
        <v>278910</v>
      </c>
      <c r="F291">
        <v>504277.5</v>
      </c>
      <c r="G291">
        <v>903104954.25</v>
      </c>
      <c r="H291">
        <v>7.77</v>
      </c>
      <c r="I291">
        <v>0.49</v>
      </c>
      <c r="J291">
        <v>1.3562050000000001</v>
      </c>
      <c r="K291">
        <v>0.104</v>
      </c>
      <c r="L291">
        <v>0.09</v>
      </c>
      <c r="M291">
        <v>4.8743889999999999</v>
      </c>
      <c r="N291">
        <v>6.4238239999999998</v>
      </c>
      <c r="O291">
        <v>19.130680999999999</v>
      </c>
      <c r="P291">
        <v>5.68</v>
      </c>
      <c r="Q291" t="s">
        <v>22</v>
      </c>
      <c r="R291" t="s">
        <v>22</v>
      </c>
      <c r="S291">
        <v>587</v>
      </c>
      <c r="T291">
        <v>730</v>
      </c>
      <c r="U291">
        <v>-0.81</v>
      </c>
      <c r="V291">
        <v>4</v>
      </c>
      <c r="W291">
        <v>3.73</v>
      </c>
      <c r="X291">
        <v>493499975</v>
      </c>
    </row>
    <row r="292" spans="1:24" x14ac:dyDescent="0.25">
      <c r="A292" t="s">
        <v>313</v>
      </c>
      <c r="B292">
        <v>291</v>
      </c>
      <c r="C292">
        <v>1.4</v>
      </c>
      <c r="D292">
        <v>-1.41</v>
      </c>
      <c r="E292">
        <v>41100</v>
      </c>
      <c r="F292">
        <v>57402</v>
      </c>
      <c r="G292">
        <v>829927891.79999995</v>
      </c>
      <c r="H292">
        <v>13.41</v>
      </c>
      <c r="I292">
        <v>0.48</v>
      </c>
      <c r="J292">
        <v>1.3608629999999999</v>
      </c>
      <c r="K292">
        <v>0.08</v>
      </c>
      <c r="L292">
        <v>7.0000000000000007E-2</v>
      </c>
      <c r="M292">
        <v>3.585772</v>
      </c>
      <c r="N292">
        <v>3.5783749999999999</v>
      </c>
      <c r="O292">
        <v>3.601972</v>
      </c>
      <c r="P292">
        <v>5.71</v>
      </c>
      <c r="Q292" t="s">
        <v>22</v>
      </c>
      <c r="R292" t="s">
        <v>22</v>
      </c>
      <c r="S292">
        <v>797</v>
      </c>
      <c r="T292">
        <v>777</v>
      </c>
      <c r="U292">
        <v>0.19</v>
      </c>
      <c r="W292">
        <v>2.93</v>
      </c>
      <c r="X292">
        <v>592805637</v>
      </c>
    </row>
    <row r="293" spans="1:24" x14ac:dyDescent="0.25">
      <c r="A293" t="s">
        <v>314</v>
      </c>
      <c r="B293">
        <v>292</v>
      </c>
      <c r="C293">
        <v>1.4</v>
      </c>
      <c r="D293">
        <v>3.7</v>
      </c>
      <c r="E293">
        <v>1600</v>
      </c>
      <c r="F293">
        <v>2201</v>
      </c>
      <c r="G293">
        <v>172727249.80000001</v>
      </c>
      <c r="H293">
        <v>173961015.87</v>
      </c>
      <c r="I293">
        <v>0.87</v>
      </c>
      <c r="J293">
        <v>3.9561199999999999</v>
      </c>
      <c r="K293">
        <v>0.4</v>
      </c>
      <c r="L293">
        <v>-0.27</v>
      </c>
      <c r="M293">
        <v>-20.260622000000001</v>
      </c>
      <c r="N293">
        <v>-83.468430999999995</v>
      </c>
      <c r="O293">
        <v>-11.369455</v>
      </c>
      <c r="P293">
        <v>0.87</v>
      </c>
      <c r="Q293" t="s">
        <v>22</v>
      </c>
      <c r="R293" t="s">
        <v>22</v>
      </c>
      <c r="W293">
        <v>1.62</v>
      </c>
      <c r="X293">
        <v>123376607</v>
      </c>
    </row>
    <row r="294" spans="1:24" x14ac:dyDescent="0.25">
      <c r="A294" t="s">
        <v>315</v>
      </c>
      <c r="B294">
        <v>293</v>
      </c>
      <c r="C294">
        <v>5.35</v>
      </c>
      <c r="D294">
        <v>7.43</v>
      </c>
      <c r="E294">
        <v>4761485</v>
      </c>
      <c r="F294">
        <v>24937614.350000001</v>
      </c>
      <c r="G294">
        <v>4321479192</v>
      </c>
      <c r="H294">
        <v>9.19</v>
      </c>
      <c r="I294">
        <v>1</v>
      </c>
      <c r="J294">
        <v>0.248442</v>
      </c>
      <c r="K294">
        <v>0.15</v>
      </c>
      <c r="L294">
        <v>0.3</v>
      </c>
      <c r="M294">
        <v>9.637594</v>
      </c>
      <c r="N294">
        <v>11.180616000000001</v>
      </c>
      <c r="O294">
        <v>17.639053000000001</v>
      </c>
      <c r="P294">
        <v>4.67</v>
      </c>
      <c r="Q294" t="s">
        <v>22</v>
      </c>
      <c r="R294" t="s">
        <v>22</v>
      </c>
      <c r="S294">
        <v>548</v>
      </c>
      <c r="T294">
        <v>468</v>
      </c>
      <c r="U294">
        <v>0.67</v>
      </c>
      <c r="V294">
        <v>5</v>
      </c>
      <c r="W294">
        <v>5.37</v>
      </c>
      <c r="X294">
        <v>807753120</v>
      </c>
    </row>
    <row r="295" spans="1:24" x14ac:dyDescent="0.25">
      <c r="A295" t="s">
        <v>316</v>
      </c>
      <c r="B295">
        <v>294</v>
      </c>
      <c r="C295">
        <v>4.96</v>
      </c>
      <c r="D295">
        <v>1.64</v>
      </c>
      <c r="E295">
        <v>222336</v>
      </c>
      <c r="F295">
        <v>1104232.56</v>
      </c>
      <c r="G295">
        <v>2696416332</v>
      </c>
      <c r="H295">
        <v>2631180453</v>
      </c>
      <c r="I295">
        <v>0.73</v>
      </c>
      <c r="J295">
        <v>0.28594900000000001</v>
      </c>
      <c r="K295">
        <v>0.31</v>
      </c>
      <c r="L295">
        <v>0.27</v>
      </c>
      <c r="M295">
        <v>-5.6533749999999996</v>
      </c>
      <c r="N295">
        <v>-12.401633</v>
      </c>
      <c r="O295">
        <v>8.1327350000000003</v>
      </c>
      <c r="P295">
        <v>6.25</v>
      </c>
      <c r="Q295" t="s">
        <v>22</v>
      </c>
      <c r="R295" t="s">
        <v>22</v>
      </c>
      <c r="V295">
        <v>5</v>
      </c>
      <c r="W295">
        <v>6.76</v>
      </c>
      <c r="X295">
        <v>543632325</v>
      </c>
    </row>
    <row r="296" spans="1:24" x14ac:dyDescent="0.25">
      <c r="A296" t="s">
        <v>317</v>
      </c>
      <c r="B296">
        <v>295</v>
      </c>
      <c r="C296">
        <v>13.9</v>
      </c>
      <c r="D296">
        <v>-0.71</v>
      </c>
      <c r="E296">
        <v>168070</v>
      </c>
      <c r="F296">
        <v>2335194.6</v>
      </c>
      <c r="G296">
        <v>7019500000</v>
      </c>
      <c r="H296">
        <v>9.23</v>
      </c>
      <c r="I296">
        <v>1.0900000000000001</v>
      </c>
      <c r="J296">
        <v>1.097294</v>
      </c>
      <c r="K296">
        <v>0.25</v>
      </c>
      <c r="L296">
        <v>0.79</v>
      </c>
      <c r="M296">
        <v>8.7790189999999999</v>
      </c>
      <c r="N296">
        <v>12.052609</v>
      </c>
      <c r="O296">
        <v>7.8305389999999999</v>
      </c>
      <c r="P296">
        <v>7.19</v>
      </c>
      <c r="Q296" t="s">
        <v>22</v>
      </c>
      <c r="R296" t="s">
        <v>22</v>
      </c>
      <c r="S296">
        <v>397</v>
      </c>
      <c r="T296">
        <v>392</v>
      </c>
      <c r="U296">
        <v>0.6</v>
      </c>
      <c r="V296">
        <v>5</v>
      </c>
      <c r="W296">
        <v>12.74</v>
      </c>
      <c r="X296">
        <v>505000000</v>
      </c>
    </row>
    <row r="297" spans="1:24" x14ac:dyDescent="0.25">
      <c r="A297" t="s">
        <v>318</v>
      </c>
      <c r="B297">
        <v>296</v>
      </c>
      <c r="C297">
        <v>4.0599999999999996</v>
      </c>
      <c r="D297">
        <v>5.18</v>
      </c>
      <c r="E297">
        <v>118018</v>
      </c>
      <c r="F297">
        <v>467305.68</v>
      </c>
      <c r="G297">
        <v>962229861.74000001</v>
      </c>
      <c r="H297">
        <v>767887869.96000004</v>
      </c>
      <c r="I297">
        <v>1.61</v>
      </c>
      <c r="J297">
        <v>2.1950379999999998</v>
      </c>
      <c r="K297">
        <v>0.14000000000000001</v>
      </c>
      <c r="L297">
        <v>0.23</v>
      </c>
      <c r="M297">
        <v>0.52770600000000001</v>
      </c>
      <c r="N297">
        <v>-10.005846</v>
      </c>
      <c r="O297">
        <v>11.657905</v>
      </c>
      <c r="P297">
        <v>1.29</v>
      </c>
      <c r="Q297" t="s">
        <v>22</v>
      </c>
      <c r="R297" t="s">
        <v>22</v>
      </c>
      <c r="V297">
        <v>3</v>
      </c>
      <c r="W297">
        <v>2.52</v>
      </c>
      <c r="X297">
        <v>237002429</v>
      </c>
    </row>
    <row r="298" spans="1:24" x14ac:dyDescent="0.25">
      <c r="A298" t="s">
        <v>319</v>
      </c>
      <c r="B298">
        <v>297</v>
      </c>
      <c r="C298">
        <v>0.85</v>
      </c>
      <c r="D298">
        <v>1.19</v>
      </c>
      <c r="E298">
        <v>156805</v>
      </c>
      <c r="F298">
        <v>131731.18</v>
      </c>
      <c r="G298">
        <v>297500000</v>
      </c>
      <c r="H298">
        <v>8.2799999999999994</v>
      </c>
      <c r="I298">
        <v>0.57999999999999996</v>
      </c>
      <c r="J298">
        <v>1.0125029999999999</v>
      </c>
      <c r="K298">
        <v>7.2999999999999995E-2</v>
      </c>
      <c r="L298">
        <v>0.04</v>
      </c>
      <c r="M298">
        <v>4.4654449999999999</v>
      </c>
      <c r="N298">
        <v>7.071993</v>
      </c>
      <c r="O298">
        <v>3.207471</v>
      </c>
      <c r="P298">
        <v>8.59</v>
      </c>
      <c r="Q298" t="s">
        <v>22</v>
      </c>
      <c r="R298" t="s">
        <v>22</v>
      </c>
      <c r="S298">
        <v>267</v>
      </c>
      <c r="T298">
        <v>312</v>
      </c>
      <c r="U298">
        <v>0.05</v>
      </c>
      <c r="V298">
        <v>5</v>
      </c>
      <c r="W298">
        <v>1.47</v>
      </c>
      <c r="X298">
        <v>350000000</v>
      </c>
    </row>
    <row r="299" spans="1:24" x14ac:dyDescent="0.25">
      <c r="A299" t="s">
        <v>320</v>
      </c>
      <c r="B299">
        <v>298</v>
      </c>
      <c r="C299">
        <v>4</v>
      </c>
      <c r="D299">
        <v>-0.5</v>
      </c>
      <c r="E299">
        <v>594080</v>
      </c>
      <c r="F299">
        <v>2383621.38</v>
      </c>
      <c r="G299">
        <v>2386961068</v>
      </c>
      <c r="H299">
        <v>7.64</v>
      </c>
      <c r="I299">
        <v>0.65</v>
      </c>
      <c r="J299">
        <v>4.4526620000000001</v>
      </c>
      <c r="K299">
        <v>0.126</v>
      </c>
      <c r="L299">
        <v>0.3</v>
      </c>
      <c r="M299">
        <v>8.2480790000000006</v>
      </c>
      <c r="N299">
        <v>8.7651380000000003</v>
      </c>
      <c r="O299">
        <v>10.275520999999999</v>
      </c>
      <c r="P299">
        <v>3.15</v>
      </c>
      <c r="Q299" t="s">
        <v>22</v>
      </c>
      <c r="R299" t="s">
        <v>22</v>
      </c>
      <c r="S299">
        <v>521</v>
      </c>
      <c r="T299">
        <v>411</v>
      </c>
      <c r="U299">
        <v>0.5</v>
      </c>
      <c r="V299">
        <v>5</v>
      </c>
      <c r="W299">
        <v>6.16</v>
      </c>
      <c r="X299">
        <v>596740267</v>
      </c>
    </row>
    <row r="300" spans="1:24" x14ac:dyDescent="0.25">
      <c r="A300" t="s">
        <v>321</v>
      </c>
      <c r="B300">
        <v>299</v>
      </c>
      <c r="C300">
        <v>2026</v>
      </c>
      <c r="D300">
        <v>-65.384615384615387</v>
      </c>
      <c r="E300">
        <v>256786010</v>
      </c>
      <c r="F300">
        <v>48061.443019999999</v>
      </c>
      <c r="G300">
        <v>130</v>
      </c>
      <c r="H300">
        <v>0</v>
      </c>
      <c r="I300">
        <v>2.3363848707044435</v>
      </c>
      <c r="J300">
        <v>2.3363849999999999</v>
      </c>
      <c r="K300">
        <v>2.3E-2</v>
      </c>
      <c r="L300">
        <v>-0.15</v>
      </c>
      <c r="M300">
        <v>1.7998749999999999</v>
      </c>
      <c r="N300">
        <v>-21.250551000000002</v>
      </c>
      <c r="O300">
        <v>-1.680669</v>
      </c>
      <c r="P300">
        <v>0</v>
      </c>
      <c r="Q300" t="s">
        <v>22</v>
      </c>
      <c r="R300" t="s">
        <v>22</v>
      </c>
      <c r="W300">
        <v>0.72</v>
      </c>
      <c r="X300">
        <v>1446942690</v>
      </c>
    </row>
    <row r="301" spans="1:24" x14ac:dyDescent="0.25">
      <c r="A301" t="s">
        <v>322</v>
      </c>
      <c r="B301">
        <v>300</v>
      </c>
      <c r="C301">
        <v>4.08</v>
      </c>
      <c r="D301">
        <v>0</v>
      </c>
      <c r="E301">
        <v>61821</v>
      </c>
      <c r="F301">
        <v>249767.7</v>
      </c>
      <c r="G301">
        <v>3180649312.8000002</v>
      </c>
      <c r="H301">
        <v>19.68</v>
      </c>
      <c r="I301">
        <v>0.35</v>
      </c>
      <c r="J301">
        <v>0.29993900000000001</v>
      </c>
      <c r="K301">
        <v>2.3E-2</v>
      </c>
      <c r="L301">
        <v>0.19</v>
      </c>
      <c r="M301">
        <v>1.7819719999999999</v>
      </c>
      <c r="N301">
        <v>1.772802</v>
      </c>
      <c r="O301">
        <v>2.0525980000000001</v>
      </c>
      <c r="P301">
        <v>0.35</v>
      </c>
      <c r="Q301" t="s">
        <v>22</v>
      </c>
      <c r="R301" t="s">
        <v>22</v>
      </c>
      <c r="S301">
        <v>1175</v>
      </c>
      <c r="T301">
        <v>1186</v>
      </c>
      <c r="U301">
        <v>-0.09</v>
      </c>
      <c r="W301">
        <v>11.79</v>
      </c>
      <c r="X301">
        <v>779570910</v>
      </c>
    </row>
    <row r="302" spans="1:24" x14ac:dyDescent="0.25">
      <c r="A302" t="s">
        <v>323</v>
      </c>
      <c r="B302">
        <v>301</v>
      </c>
      <c r="C302">
        <v>4.9800000000000004</v>
      </c>
      <c r="D302">
        <v>2.89</v>
      </c>
      <c r="E302">
        <v>14057005</v>
      </c>
      <c r="F302">
        <v>69717279.900000006</v>
      </c>
      <c r="G302">
        <v>4047609694.3800001</v>
      </c>
      <c r="H302">
        <v>32.869999999999997</v>
      </c>
      <c r="I302">
        <v>2.76</v>
      </c>
      <c r="J302">
        <v>1.1697569999999999</v>
      </c>
      <c r="K302">
        <v>0.05</v>
      </c>
      <c r="L302">
        <v>0.13</v>
      </c>
      <c r="M302">
        <v>6.4701199999999996</v>
      </c>
      <c r="N302">
        <v>8.6049889999999998</v>
      </c>
      <c r="O302">
        <v>7.6421609999999998</v>
      </c>
      <c r="P302">
        <v>0.81</v>
      </c>
      <c r="Q302" t="s">
        <v>22</v>
      </c>
      <c r="R302" t="s">
        <v>22</v>
      </c>
      <c r="S302">
        <v>945</v>
      </c>
      <c r="T302">
        <v>952</v>
      </c>
      <c r="U302">
        <v>-1.06</v>
      </c>
      <c r="V302">
        <v>5</v>
      </c>
      <c r="W302">
        <v>1.8</v>
      </c>
      <c r="X302">
        <v>812773031</v>
      </c>
    </row>
    <row r="303" spans="1:24" x14ac:dyDescent="0.25">
      <c r="A303" t="s">
        <v>324</v>
      </c>
      <c r="B303">
        <v>302</v>
      </c>
      <c r="C303">
        <v>2026</v>
      </c>
      <c r="D303">
        <v>50</v>
      </c>
      <c r="E303">
        <v>60</v>
      </c>
      <c r="F303">
        <v>2880</v>
      </c>
      <c r="G303">
        <v>591000000</v>
      </c>
      <c r="H303">
        <v>600000000</v>
      </c>
      <c r="I303">
        <v>0.42</v>
      </c>
      <c r="J303">
        <v>3.8099880000000002</v>
      </c>
      <c r="K303">
        <v>10</v>
      </c>
      <c r="L303">
        <v>-12.86</v>
      </c>
      <c r="M303">
        <v>-0.70630599999999999</v>
      </c>
      <c r="N303">
        <v>-2.844986</v>
      </c>
      <c r="O303">
        <v>-5.3734999999999999</v>
      </c>
      <c r="P303">
        <v>0.43</v>
      </c>
      <c r="Q303" t="s">
        <v>22</v>
      </c>
      <c r="R303" t="s">
        <v>22</v>
      </c>
      <c r="S303">
        <v>1193</v>
      </c>
      <c r="T303">
        <v>1281</v>
      </c>
      <c r="U303">
        <v>0.02</v>
      </c>
      <c r="V303">
        <v>5</v>
      </c>
      <c r="W303">
        <v>117.42</v>
      </c>
      <c r="X303">
        <v>12000000</v>
      </c>
    </row>
    <row r="304" spans="1:24" x14ac:dyDescent="0.25">
      <c r="A304" t="s">
        <v>325</v>
      </c>
      <c r="B304">
        <v>303</v>
      </c>
      <c r="C304">
        <v>5.05</v>
      </c>
      <c r="D304">
        <v>-1.94</v>
      </c>
      <c r="E304">
        <v>461600</v>
      </c>
      <c r="F304">
        <v>2337305</v>
      </c>
      <c r="G304">
        <v>3056989598.75</v>
      </c>
      <c r="H304">
        <v>22.29</v>
      </c>
      <c r="I304">
        <v>1.47</v>
      </c>
      <c r="J304">
        <v>0.39168399999999998</v>
      </c>
      <c r="K304">
        <v>7.2999999999999995E-2</v>
      </c>
      <c r="L304">
        <v>0.11</v>
      </c>
      <c r="M304">
        <v>6.6952629999999997</v>
      </c>
      <c r="N304">
        <v>6.7328289999999997</v>
      </c>
      <c r="O304">
        <v>7.0167210000000004</v>
      </c>
      <c r="P304">
        <v>1.45</v>
      </c>
      <c r="Q304" t="s">
        <v>22</v>
      </c>
      <c r="R304" t="s">
        <v>22</v>
      </c>
      <c r="S304">
        <v>1024</v>
      </c>
      <c r="T304">
        <v>934</v>
      </c>
      <c r="U304">
        <v>0.64</v>
      </c>
      <c r="V304">
        <v>5</v>
      </c>
      <c r="W304">
        <v>3.44</v>
      </c>
      <c r="X304">
        <v>605344475</v>
      </c>
    </row>
    <row r="305" spans="1:24" x14ac:dyDescent="0.25">
      <c r="A305" t="s">
        <v>326</v>
      </c>
      <c r="B305">
        <v>304</v>
      </c>
      <c r="C305">
        <v>13</v>
      </c>
      <c r="D305">
        <v>0</v>
      </c>
      <c r="E305">
        <v>14003</v>
      </c>
      <c r="F305">
        <v>181129.4</v>
      </c>
      <c r="G305">
        <v>2498700100</v>
      </c>
      <c r="H305">
        <v>10</v>
      </c>
      <c r="I305">
        <v>0.59</v>
      </c>
      <c r="J305">
        <v>0.264486</v>
      </c>
      <c r="K305">
        <v>0.49299999999999999</v>
      </c>
      <c r="L305">
        <v>1.1100000000000001</v>
      </c>
      <c r="M305">
        <v>5.9177720000000003</v>
      </c>
      <c r="N305">
        <v>5.9680900000000001</v>
      </c>
      <c r="O305">
        <v>6.2688119999999996</v>
      </c>
      <c r="P305">
        <v>3.79</v>
      </c>
      <c r="Q305" t="s">
        <v>22</v>
      </c>
      <c r="R305" t="s">
        <v>22</v>
      </c>
      <c r="S305">
        <v>702</v>
      </c>
      <c r="T305">
        <v>596</v>
      </c>
      <c r="U305">
        <v>1.21</v>
      </c>
      <c r="V305">
        <v>5</v>
      </c>
      <c r="W305">
        <v>22.12</v>
      </c>
      <c r="X305">
        <v>192207700</v>
      </c>
    </row>
    <row r="306" spans="1:24" x14ac:dyDescent="0.25">
      <c r="A306" t="s">
        <v>327</v>
      </c>
      <c r="B306">
        <v>305</v>
      </c>
      <c r="C306">
        <v>0.32</v>
      </c>
      <c r="D306">
        <v>6.67</v>
      </c>
      <c r="E306">
        <v>1531933</v>
      </c>
      <c r="F306">
        <v>478540.15</v>
      </c>
      <c r="G306">
        <v>199514049.59999999</v>
      </c>
      <c r="H306">
        <v>180809607.44999999</v>
      </c>
      <c r="I306">
        <v>0.47</v>
      </c>
      <c r="J306">
        <v>1.4450829999999999</v>
      </c>
      <c r="K306">
        <v>2.5000000000000001E-2</v>
      </c>
      <c r="L306">
        <v>-14.966246663427016</v>
      </c>
      <c r="M306">
        <v>-14.966246999999999</v>
      </c>
      <c r="N306">
        <v>-35.995041000000001</v>
      </c>
      <c r="O306">
        <v>0.34239999999999998</v>
      </c>
      <c r="P306">
        <v>0.43</v>
      </c>
      <c r="Q306" t="s">
        <v>22</v>
      </c>
      <c r="R306" t="s">
        <v>22</v>
      </c>
      <c r="V306">
        <v>3</v>
      </c>
      <c r="W306">
        <v>0.68</v>
      </c>
      <c r="X306">
        <v>623481405</v>
      </c>
    </row>
    <row r="307" spans="1:24" x14ac:dyDescent="0.25">
      <c r="A307" t="s">
        <v>328</v>
      </c>
      <c r="B307">
        <v>306</v>
      </c>
      <c r="C307">
        <v>4.68</v>
      </c>
      <c r="D307">
        <v>0</v>
      </c>
      <c r="E307">
        <v>246713</v>
      </c>
      <c r="F307">
        <v>1148770.8400000001</v>
      </c>
      <c r="G307">
        <v>1076400000</v>
      </c>
      <c r="H307">
        <v>7.07</v>
      </c>
      <c r="I307">
        <v>1.8</v>
      </c>
      <c r="J307">
        <v>6.5324999999999994E-2</v>
      </c>
      <c r="K307">
        <v>0.13039999999999999</v>
      </c>
      <c r="L307">
        <v>0.28999999999999998</v>
      </c>
      <c r="M307">
        <v>26.69706</v>
      </c>
      <c r="N307">
        <v>26.609780000000001</v>
      </c>
      <c r="O307">
        <v>28.586877000000001</v>
      </c>
      <c r="P307">
        <v>9.19</v>
      </c>
      <c r="Q307" t="s">
        <v>22</v>
      </c>
      <c r="R307" t="s">
        <v>22</v>
      </c>
      <c r="S307">
        <v>131</v>
      </c>
      <c r="T307">
        <v>99</v>
      </c>
      <c r="U307">
        <v>0.12</v>
      </c>
      <c r="W307">
        <v>2.6</v>
      </c>
      <c r="X307">
        <v>230000000</v>
      </c>
    </row>
    <row r="308" spans="1:24" x14ac:dyDescent="0.25">
      <c r="A308" t="s">
        <v>329</v>
      </c>
      <c r="B308">
        <v>307</v>
      </c>
      <c r="C308">
        <v>2.5</v>
      </c>
      <c r="D308">
        <v>-2.34</v>
      </c>
      <c r="E308">
        <v>59645575</v>
      </c>
      <c r="F308">
        <v>149116067.19999999</v>
      </c>
      <c r="G308">
        <v>51086048115</v>
      </c>
      <c r="H308">
        <v>4.83</v>
      </c>
      <c r="I308">
        <v>0.67</v>
      </c>
      <c r="J308">
        <v>1.749147</v>
      </c>
      <c r="K308">
        <v>0.01</v>
      </c>
      <c r="L308">
        <v>0.53</v>
      </c>
      <c r="M308">
        <v>8.0940890000000003</v>
      </c>
      <c r="N308">
        <v>14.802391</v>
      </c>
      <c r="O308">
        <v>6.4438380000000004</v>
      </c>
      <c r="P308">
        <v>0.4</v>
      </c>
      <c r="Q308" t="s">
        <v>22</v>
      </c>
      <c r="R308" t="s">
        <v>22</v>
      </c>
      <c r="S308">
        <v>551</v>
      </c>
      <c r="T308">
        <v>635</v>
      </c>
      <c r="U308">
        <v>-0.3</v>
      </c>
      <c r="V308">
        <v>5</v>
      </c>
      <c r="W308">
        <v>3.75</v>
      </c>
      <c r="X308">
        <v>20434419246</v>
      </c>
    </row>
    <row r="309" spans="1:24" x14ac:dyDescent="0.25">
      <c r="A309" t="s">
        <v>330</v>
      </c>
      <c r="B309">
        <v>308</v>
      </c>
      <c r="C309">
        <v>7.5</v>
      </c>
      <c r="D309">
        <v>-1.96</v>
      </c>
      <c r="E309">
        <v>163870</v>
      </c>
      <c r="F309">
        <v>1240933.55</v>
      </c>
      <c r="G309">
        <v>2747991442.5</v>
      </c>
      <c r="H309">
        <v>9.31</v>
      </c>
      <c r="I309">
        <v>1.93</v>
      </c>
      <c r="J309">
        <v>2.1586029999999998</v>
      </c>
      <c r="K309">
        <v>0.16</v>
      </c>
      <c r="L309">
        <v>0.55000000000000004</v>
      </c>
      <c r="M309">
        <v>10.036072000000001</v>
      </c>
      <c r="N309">
        <v>22.167740999999999</v>
      </c>
      <c r="O309">
        <v>3.4766279999999998</v>
      </c>
      <c r="P309">
        <v>3.87</v>
      </c>
      <c r="Q309" t="s">
        <v>22</v>
      </c>
      <c r="R309" t="s">
        <v>22</v>
      </c>
      <c r="S309">
        <v>448</v>
      </c>
      <c r="T309">
        <v>590</v>
      </c>
      <c r="U309">
        <v>0.17</v>
      </c>
      <c r="V309">
        <v>5</v>
      </c>
      <c r="W309">
        <v>3.89</v>
      </c>
      <c r="X309">
        <v>366398859</v>
      </c>
    </row>
    <row r="310" spans="1:24" x14ac:dyDescent="0.25">
      <c r="A310" t="s">
        <v>331</v>
      </c>
      <c r="B310">
        <v>309</v>
      </c>
      <c r="C310">
        <v>17.7</v>
      </c>
      <c r="D310">
        <v>0</v>
      </c>
      <c r="E310">
        <v>2041575</v>
      </c>
      <c r="F310">
        <v>36150671.899999999</v>
      </c>
      <c r="G310">
        <v>53100000000</v>
      </c>
      <c r="H310">
        <v>15.99</v>
      </c>
      <c r="I310">
        <v>2.23</v>
      </c>
      <c r="J310">
        <v>0.181871</v>
      </c>
      <c r="K310">
        <v>0.55000000000000004</v>
      </c>
      <c r="L310">
        <v>0.56999999999999995</v>
      </c>
      <c r="M310">
        <v>12.878888999999999</v>
      </c>
      <c r="N310">
        <v>14.035833</v>
      </c>
      <c r="O310">
        <v>17.160526000000001</v>
      </c>
      <c r="P310">
        <v>4.8</v>
      </c>
      <c r="Q310" t="s">
        <v>22</v>
      </c>
      <c r="R310" t="s">
        <v>22</v>
      </c>
      <c r="S310">
        <v>632</v>
      </c>
      <c r="T310">
        <v>570</v>
      </c>
      <c r="U310">
        <v>-5.45</v>
      </c>
      <c r="V310">
        <v>5</v>
      </c>
      <c r="W310">
        <v>7.93</v>
      </c>
      <c r="X310">
        <v>3000000000</v>
      </c>
    </row>
    <row r="311" spans="1:24" x14ac:dyDescent="0.25">
      <c r="A311" t="s">
        <v>332</v>
      </c>
      <c r="B311">
        <v>310</v>
      </c>
      <c r="C311">
        <v>0.36</v>
      </c>
      <c r="D311">
        <v>-2.7</v>
      </c>
      <c r="E311">
        <v>13721302</v>
      </c>
      <c r="F311">
        <v>5008144.99</v>
      </c>
      <c r="G311">
        <v>1900752819.8399999</v>
      </c>
      <c r="H311">
        <v>1795155440.96</v>
      </c>
      <c r="I311">
        <v>0.66</v>
      </c>
      <c r="J311">
        <v>25.325651000000001</v>
      </c>
      <c r="K311">
        <v>-0.1</v>
      </c>
      <c r="L311">
        <v>-0.1</v>
      </c>
      <c r="M311">
        <v>-6.3987290000000003</v>
      </c>
      <c r="N311">
        <v>-113.815021</v>
      </c>
      <c r="O311">
        <v>-3.25129</v>
      </c>
      <c r="P311">
        <v>0.62</v>
      </c>
      <c r="Q311" t="s">
        <v>22</v>
      </c>
      <c r="R311" t="s">
        <v>22</v>
      </c>
      <c r="W311">
        <v>0.55000000000000004</v>
      </c>
      <c r="X311">
        <v>5279868944</v>
      </c>
    </row>
    <row r="312" spans="1:24" x14ac:dyDescent="0.25">
      <c r="A312" t="s">
        <v>333</v>
      </c>
      <c r="B312">
        <v>311</v>
      </c>
      <c r="C312">
        <v>1.52</v>
      </c>
      <c r="D312">
        <v>1.33</v>
      </c>
      <c r="E312">
        <v>4006362</v>
      </c>
      <c r="F312">
        <v>6060504.2400000002</v>
      </c>
      <c r="G312">
        <v>3169426279.3600001</v>
      </c>
      <c r="H312">
        <v>3231980745.4000001</v>
      </c>
      <c r="I312">
        <v>0.63</v>
      </c>
      <c r="J312">
        <v>0.91594799999999998</v>
      </c>
      <c r="K312">
        <v>6.9599999999999995E-2</v>
      </c>
      <c r="L312">
        <v>0.03</v>
      </c>
      <c r="M312">
        <v>-8.7610999999999994E-2</v>
      </c>
      <c r="N312">
        <v>-3.392744</v>
      </c>
      <c r="O312">
        <v>4.0048180000000002</v>
      </c>
      <c r="P312">
        <v>0.64</v>
      </c>
      <c r="Q312" t="s">
        <v>22</v>
      </c>
      <c r="R312" t="s">
        <v>22</v>
      </c>
      <c r="V312">
        <v>5</v>
      </c>
      <c r="W312">
        <v>2.5099999999999998</v>
      </c>
      <c r="X312">
        <v>2085148868</v>
      </c>
    </row>
    <row r="313" spans="1:24" x14ac:dyDescent="0.25">
      <c r="A313" t="s">
        <v>334</v>
      </c>
      <c r="B313">
        <v>312</v>
      </c>
      <c r="C313">
        <v>1.78</v>
      </c>
      <c r="D313">
        <v>0.56000000000000005</v>
      </c>
      <c r="E313">
        <v>38900</v>
      </c>
      <c r="F313">
        <v>69093</v>
      </c>
      <c r="G313">
        <v>372020000</v>
      </c>
      <c r="H313">
        <v>9.35</v>
      </c>
      <c r="I313">
        <v>0.84</v>
      </c>
      <c r="J313">
        <v>0.45043499999999997</v>
      </c>
      <c r="K313">
        <v>0.16700000000000001</v>
      </c>
      <c r="L313">
        <v>0.06</v>
      </c>
      <c r="M313">
        <v>8.4589739999999995</v>
      </c>
      <c r="N313">
        <v>8.988524</v>
      </c>
      <c r="O313">
        <v>3.640352</v>
      </c>
      <c r="P313">
        <v>9.3800000000000008</v>
      </c>
      <c r="Q313" t="s">
        <v>22</v>
      </c>
      <c r="R313" t="s">
        <v>22</v>
      </c>
      <c r="S313">
        <v>538</v>
      </c>
      <c r="T313">
        <v>469</v>
      </c>
      <c r="U313">
        <v>-3.02</v>
      </c>
      <c r="V313">
        <v>3</v>
      </c>
      <c r="W313">
        <v>2.13</v>
      </c>
      <c r="X313">
        <v>209000000</v>
      </c>
    </row>
    <row r="314" spans="1:24" x14ac:dyDescent="0.25">
      <c r="A314" t="s">
        <v>335</v>
      </c>
      <c r="B314">
        <v>313</v>
      </c>
      <c r="C314">
        <v>1.24</v>
      </c>
      <c r="D314">
        <v>0.81</v>
      </c>
      <c r="E314">
        <v>81400</v>
      </c>
      <c r="F314">
        <v>100326</v>
      </c>
      <c r="G314">
        <v>335048000</v>
      </c>
      <c r="H314">
        <v>19.010000000000002</v>
      </c>
      <c r="I314">
        <v>0.94</v>
      </c>
      <c r="J314">
        <v>0.324347</v>
      </c>
      <c r="K314">
        <v>0.1</v>
      </c>
      <c r="L314">
        <v>0.03</v>
      </c>
      <c r="M314">
        <v>5.1903240000000004</v>
      </c>
      <c r="N314">
        <v>4.8826989999999997</v>
      </c>
      <c r="O314">
        <v>2.4777019999999998</v>
      </c>
      <c r="P314">
        <v>8.06</v>
      </c>
      <c r="Q314" t="s">
        <v>22</v>
      </c>
      <c r="R314" t="s">
        <v>22</v>
      </c>
      <c r="S314">
        <v>912</v>
      </c>
      <c r="T314">
        <v>808</v>
      </c>
      <c r="U314">
        <v>1.45</v>
      </c>
      <c r="V314">
        <v>5</v>
      </c>
      <c r="W314">
        <v>1.32</v>
      </c>
      <c r="X314">
        <v>270200000</v>
      </c>
    </row>
    <row r="315" spans="1:24" x14ac:dyDescent="0.25">
      <c r="A315" t="s">
        <v>336</v>
      </c>
      <c r="B315">
        <v>314</v>
      </c>
      <c r="C315">
        <v>0.76</v>
      </c>
      <c r="D315">
        <v>-1.3</v>
      </c>
      <c r="E315">
        <v>155709</v>
      </c>
      <c r="F315">
        <v>119325.84</v>
      </c>
      <c r="G315">
        <v>334400308.56</v>
      </c>
      <c r="H315">
        <v>338800312.62</v>
      </c>
      <c r="I315">
        <v>0.65</v>
      </c>
      <c r="J315">
        <v>0.138659</v>
      </c>
      <c r="K315">
        <v>2.4E-2</v>
      </c>
      <c r="L315">
        <v>-0.04</v>
      </c>
      <c r="M315">
        <v>-4.491994</v>
      </c>
      <c r="N315">
        <v>-4.4071280000000002</v>
      </c>
      <c r="O315">
        <v>-51.515053000000002</v>
      </c>
      <c r="P315">
        <v>0.66</v>
      </c>
      <c r="Q315" t="s">
        <v>22</v>
      </c>
      <c r="R315" t="s">
        <v>22</v>
      </c>
      <c r="V315">
        <v>3</v>
      </c>
      <c r="W315">
        <v>1.1599999999999999</v>
      </c>
      <c r="X315">
        <v>440000406</v>
      </c>
    </row>
    <row r="316" spans="1:24" x14ac:dyDescent="0.25">
      <c r="A316" t="s">
        <v>337</v>
      </c>
      <c r="B316">
        <v>315</v>
      </c>
      <c r="C316">
        <v>22.5</v>
      </c>
      <c r="D316">
        <v>1.35</v>
      </c>
      <c r="E316">
        <v>45480995</v>
      </c>
      <c r="F316">
        <v>1016769190.9</v>
      </c>
      <c r="G316">
        <v>126327417930</v>
      </c>
      <c r="H316">
        <v>123520141976</v>
      </c>
      <c r="I316">
        <v>0.95</v>
      </c>
      <c r="J316">
        <v>2.9092229999999999</v>
      </c>
      <c r="K316">
        <v>0.2</v>
      </c>
      <c r="L316">
        <v>0.48</v>
      </c>
      <c r="M316">
        <v>2.5129999999999999</v>
      </c>
      <c r="N316">
        <v>-1.7955650000000001</v>
      </c>
      <c r="O316">
        <v>1.6645989999999999</v>
      </c>
      <c r="P316">
        <v>3.11</v>
      </c>
      <c r="Q316" t="s">
        <v>22</v>
      </c>
      <c r="R316" t="s">
        <v>22</v>
      </c>
      <c r="V316">
        <v>5</v>
      </c>
      <c r="W316">
        <v>23.58</v>
      </c>
      <c r="X316">
        <v>5614551908</v>
      </c>
    </row>
    <row r="317" spans="1:24" x14ac:dyDescent="0.25">
      <c r="A317" t="s">
        <v>338</v>
      </c>
      <c r="B317">
        <v>316</v>
      </c>
      <c r="C317">
        <v>0.86</v>
      </c>
      <c r="D317">
        <v>-1.1499999999999999</v>
      </c>
      <c r="E317">
        <v>758101</v>
      </c>
      <c r="F317">
        <v>660969.87</v>
      </c>
      <c r="G317">
        <v>1256228899.0799999</v>
      </c>
      <c r="H317">
        <v>1329265462.98</v>
      </c>
      <c r="I317">
        <v>0.44</v>
      </c>
      <c r="J317">
        <v>1.120722</v>
      </c>
      <c r="K317">
        <v>0.03</v>
      </c>
      <c r="L317">
        <v>-0.08</v>
      </c>
      <c r="M317">
        <v>-8.9364880000000007</v>
      </c>
      <c r="N317">
        <v>-23.614287000000001</v>
      </c>
      <c r="O317">
        <v>-31.962738000000002</v>
      </c>
      <c r="P317">
        <v>0.46</v>
      </c>
      <c r="Q317" t="s">
        <v>22</v>
      </c>
      <c r="R317" t="s">
        <v>22</v>
      </c>
      <c r="V317">
        <v>5</v>
      </c>
      <c r="W317">
        <v>1.97</v>
      </c>
      <c r="X317">
        <v>1460731278</v>
      </c>
    </row>
    <row r="318" spans="1:24" x14ac:dyDescent="0.25">
      <c r="A318" t="s">
        <v>339</v>
      </c>
      <c r="B318">
        <v>317</v>
      </c>
      <c r="C318">
        <v>1.23</v>
      </c>
      <c r="D318">
        <v>0.82</v>
      </c>
      <c r="E318">
        <v>29100</v>
      </c>
      <c r="F318">
        <v>35152</v>
      </c>
      <c r="G318">
        <v>393600000</v>
      </c>
      <c r="H318">
        <v>5.72</v>
      </c>
      <c r="I318">
        <v>0.74</v>
      </c>
      <c r="J318">
        <v>0.52734000000000003</v>
      </c>
      <c r="K318">
        <v>5.5E-2</v>
      </c>
      <c r="L318">
        <v>0.12</v>
      </c>
      <c r="M318">
        <v>12.282866</v>
      </c>
      <c r="N318">
        <v>13.517371000000001</v>
      </c>
      <c r="O318">
        <v>16.026423000000001</v>
      </c>
      <c r="P318">
        <v>4.47</v>
      </c>
      <c r="Q318" t="s">
        <v>22</v>
      </c>
      <c r="R318" t="s">
        <v>22</v>
      </c>
      <c r="S318">
        <v>355</v>
      </c>
      <c r="T318">
        <v>267</v>
      </c>
      <c r="U318">
        <v>0.03</v>
      </c>
      <c r="W318">
        <v>1.67</v>
      </c>
      <c r="X318">
        <v>320000000</v>
      </c>
    </row>
    <row r="319" spans="1:24" x14ac:dyDescent="0.25">
      <c r="A319" t="s">
        <v>340</v>
      </c>
      <c r="B319">
        <v>318</v>
      </c>
      <c r="C319">
        <v>0.93</v>
      </c>
      <c r="D319">
        <v>-5.0999999999999996</v>
      </c>
      <c r="E319">
        <v>58351621</v>
      </c>
      <c r="F319">
        <v>55369586.359999999</v>
      </c>
      <c r="G319">
        <v>7711629475.6499996</v>
      </c>
      <c r="H319">
        <v>8374995452.0500002</v>
      </c>
      <c r="I319">
        <v>1.49</v>
      </c>
      <c r="J319">
        <v>1.226418</v>
      </c>
      <c r="K319">
        <v>0.6</v>
      </c>
      <c r="L319">
        <v>-0.18</v>
      </c>
      <c r="M319">
        <v>-10.335262</v>
      </c>
      <c r="N319">
        <v>-28.976521999999999</v>
      </c>
      <c r="O319">
        <v>-53.023173</v>
      </c>
      <c r="P319">
        <v>1.62</v>
      </c>
      <c r="Q319" t="s">
        <v>22</v>
      </c>
      <c r="R319" t="s">
        <v>22</v>
      </c>
      <c r="V319">
        <v>5</v>
      </c>
      <c r="W319">
        <v>0.63</v>
      </c>
      <c r="X319">
        <v>8292074705</v>
      </c>
    </row>
    <row r="320" spans="1:24" x14ac:dyDescent="0.25">
      <c r="A320" t="s">
        <v>341</v>
      </c>
      <c r="B320">
        <v>319</v>
      </c>
      <c r="C320">
        <v>0.12</v>
      </c>
      <c r="D320">
        <v>0</v>
      </c>
      <c r="E320">
        <v>316859</v>
      </c>
      <c r="F320">
        <v>37021.629999999997</v>
      </c>
      <c r="G320">
        <v>456329682.12</v>
      </c>
      <c r="H320">
        <v>456329682.12</v>
      </c>
      <c r="I320">
        <v>0.18</v>
      </c>
      <c r="J320">
        <v>2.8318469999999998</v>
      </c>
      <c r="K320">
        <v>-0.05</v>
      </c>
      <c r="L320">
        <v>-0.05</v>
      </c>
      <c r="M320">
        <v>1.2489779999999999</v>
      </c>
      <c r="N320">
        <v>-11.061833</v>
      </c>
      <c r="O320">
        <v>-46.338107000000001</v>
      </c>
      <c r="P320">
        <v>0.18</v>
      </c>
      <c r="Q320" t="s">
        <v>22</v>
      </c>
      <c r="R320" t="s">
        <v>22</v>
      </c>
      <c r="V320">
        <v>3</v>
      </c>
      <c r="W320">
        <v>0.66</v>
      </c>
      <c r="X320">
        <v>3802747351</v>
      </c>
    </row>
    <row r="321" spans="1:24" x14ac:dyDescent="0.25">
      <c r="A321" t="s">
        <v>342</v>
      </c>
      <c r="B321">
        <v>320</v>
      </c>
      <c r="C321">
        <v>84.5</v>
      </c>
      <c r="D321">
        <v>0.9</v>
      </c>
      <c r="E321">
        <v>1</v>
      </c>
      <c r="F321">
        <v>83.75</v>
      </c>
      <c r="G321">
        <v>1130625000</v>
      </c>
      <c r="H321">
        <v>9.0299999999999994</v>
      </c>
      <c r="I321">
        <v>0.78</v>
      </c>
      <c r="J321">
        <v>0.14027800000000001</v>
      </c>
      <c r="K321">
        <v>4.8</v>
      </c>
      <c r="L321">
        <v>5.54</v>
      </c>
      <c r="M321">
        <v>9.1988210000000006</v>
      </c>
      <c r="N321">
        <v>8.8067630000000001</v>
      </c>
      <c r="O321">
        <v>16.127452999999999</v>
      </c>
      <c r="P321">
        <v>5.73</v>
      </c>
      <c r="Q321" t="s">
        <v>22</v>
      </c>
      <c r="R321" t="s">
        <v>22</v>
      </c>
      <c r="S321">
        <v>518</v>
      </c>
      <c r="T321">
        <v>392</v>
      </c>
      <c r="U321">
        <v>0.56999999999999995</v>
      </c>
      <c r="W321">
        <v>107.43</v>
      </c>
      <c r="X321">
        <v>13500000</v>
      </c>
    </row>
    <row r="322" spans="1:24" x14ac:dyDescent="0.25">
      <c r="A322" t="s">
        <v>343</v>
      </c>
      <c r="B322">
        <v>321</v>
      </c>
      <c r="C322">
        <v>2.02</v>
      </c>
      <c r="D322">
        <v>0</v>
      </c>
      <c r="E322">
        <v>85101</v>
      </c>
      <c r="F322">
        <v>170312.02</v>
      </c>
      <c r="G322">
        <v>1212000000</v>
      </c>
      <c r="H322">
        <v>10.54</v>
      </c>
      <c r="I322">
        <v>1.65</v>
      </c>
      <c r="J322">
        <v>0.18603</v>
      </c>
      <c r="K322">
        <v>0.18</v>
      </c>
      <c r="L322">
        <v>0.09</v>
      </c>
      <c r="M322">
        <v>15.461905</v>
      </c>
      <c r="N322">
        <v>15.673944000000001</v>
      </c>
      <c r="O322">
        <v>13.649222</v>
      </c>
      <c r="P322">
        <v>8.91</v>
      </c>
      <c r="Q322" t="s">
        <v>22</v>
      </c>
      <c r="R322" t="s">
        <v>22</v>
      </c>
      <c r="S322">
        <v>526</v>
      </c>
      <c r="T322">
        <v>464</v>
      </c>
      <c r="U322">
        <v>0.18</v>
      </c>
      <c r="V322">
        <v>4</v>
      </c>
      <c r="W322">
        <v>1.23</v>
      </c>
      <c r="X322">
        <v>600000000</v>
      </c>
    </row>
    <row r="323" spans="1:24" x14ac:dyDescent="0.25">
      <c r="A323" t="s">
        <v>344</v>
      </c>
      <c r="B323">
        <v>322</v>
      </c>
      <c r="C323">
        <v>11.2</v>
      </c>
      <c r="D323">
        <v>-0.88</v>
      </c>
      <c r="E323">
        <v>3628659</v>
      </c>
      <c r="F323">
        <v>40726203.399999999</v>
      </c>
      <c r="G323">
        <v>16483170368</v>
      </c>
      <c r="H323">
        <v>16483170368</v>
      </c>
      <c r="I323">
        <v>0.9</v>
      </c>
      <c r="J323">
        <v>0.71380999999999994</v>
      </c>
      <c r="K323">
        <v>0.13500000000000001</v>
      </c>
      <c r="L323">
        <v>0.26</v>
      </c>
      <c r="M323">
        <v>2.7727520000000001</v>
      </c>
      <c r="N323">
        <v>-0.20075799999999999</v>
      </c>
      <c r="O323">
        <v>7.3276130000000004</v>
      </c>
      <c r="P323">
        <v>3.21</v>
      </c>
      <c r="Q323" t="s">
        <v>22</v>
      </c>
      <c r="R323" t="s">
        <v>22</v>
      </c>
      <c r="V323">
        <v>5</v>
      </c>
      <c r="W323">
        <v>12.39</v>
      </c>
      <c r="X323">
        <v>1471711640</v>
      </c>
    </row>
    <row r="324" spans="1:24" x14ac:dyDescent="0.25">
      <c r="A324" t="s">
        <v>345</v>
      </c>
      <c r="B324">
        <v>323</v>
      </c>
      <c r="C324">
        <v>11.2</v>
      </c>
      <c r="D324">
        <v>-1.75</v>
      </c>
      <c r="E324">
        <v>3325789</v>
      </c>
      <c r="F324">
        <v>37530115.799999997</v>
      </c>
      <c r="G324">
        <v>16349083307.200001</v>
      </c>
      <c r="H324">
        <v>17.41</v>
      </c>
      <c r="I324">
        <v>0.61</v>
      </c>
      <c r="J324">
        <v>0.33337800000000001</v>
      </c>
      <c r="K324">
        <v>0.27</v>
      </c>
      <c r="L324">
        <v>0.33</v>
      </c>
      <c r="M324">
        <v>4.0843970000000001</v>
      </c>
      <c r="N324">
        <v>3.4766219999999999</v>
      </c>
      <c r="O324">
        <v>21.622626</v>
      </c>
      <c r="P324">
        <v>5.98</v>
      </c>
      <c r="Q324" t="s">
        <v>22</v>
      </c>
      <c r="R324" t="s">
        <v>22</v>
      </c>
      <c r="S324">
        <v>1089</v>
      </c>
      <c r="T324">
        <v>1121</v>
      </c>
      <c r="U324">
        <v>-4.54</v>
      </c>
      <c r="V324">
        <v>5</v>
      </c>
      <c r="W324">
        <v>18.489999999999998</v>
      </c>
      <c r="X324">
        <v>1459739581</v>
      </c>
    </row>
    <row r="325" spans="1:24" x14ac:dyDescent="0.25">
      <c r="A325" t="s">
        <v>346</v>
      </c>
      <c r="B325">
        <v>324</v>
      </c>
      <c r="C325">
        <v>3.38</v>
      </c>
      <c r="D325">
        <v>0</v>
      </c>
      <c r="E325">
        <v>141200</v>
      </c>
      <c r="F325">
        <v>477442</v>
      </c>
      <c r="G325">
        <v>1352000000</v>
      </c>
      <c r="H325">
        <v>15.02</v>
      </c>
      <c r="I325">
        <v>1.66</v>
      </c>
      <c r="J325">
        <v>0.618116</v>
      </c>
      <c r="K325">
        <v>0.1</v>
      </c>
      <c r="L325">
        <v>0.12</v>
      </c>
      <c r="M325">
        <v>9.5851480000000002</v>
      </c>
      <c r="N325">
        <v>11.397024</v>
      </c>
      <c r="O325">
        <v>14.029047</v>
      </c>
      <c r="P325">
        <v>2.96</v>
      </c>
      <c r="Q325" t="s">
        <v>22</v>
      </c>
      <c r="R325" t="s">
        <v>22</v>
      </c>
      <c r="S325">
        <v>686</v>
      </c>
      <c r="T325">
        <v>639</v>
      </c>
      <c r="U325">
        <v>0.27</v>
      </c>
      <c r="V325">
        <v>4</v>
      </c>
      <c r="W325">
        <v>2.0299999999999998</v>
      </c>
      <c r="X325">
        <v>400000000</v>
      </c>
    </row>
    <row r="326" spans="1:24" x14ac:dyDescent="0.25">
      <c r="A326" t="s">
        <v>347</v>
      </c>
      <c r="B326">
        <v>325</v>
      </c>
      <c r="C326">
        <v>1.83</v>
      </c>
      <c r="D326">
        <v>0</v>
      </c>
      <c r="E326">
        <v>20310</v>
      </c>
      <c r="F326">
        <v>37006.5</v>
      </c>
      <c r="G326">
        <v>1390800000</v>
      </c>
      <c r="H326">
        <v>31.7</v>
      </c>
      <c r="I326">
        <v>0.82</v>
      </c>
      <c r="J326">
        <v>0.99830600000000003</v>
      </c>
      <c r="K326">
        <v>5.5E-2</v>
      </c>
      <c r="L326">
        <v>-0.05</v>
      </c>
      <c r="M326">
        <v>2.0516920000000001</v>
      </c>
      <c r="N326">
        <v>2.597985</v>
      </c>
      <c r="O326">
        <v>-6.3606179999999997</v>
      </c>
      <c r="P326">
        <v>3.01</v>
      </c>
      <c r="Q326" t="s">
        <v>22</v>
      </c>
      <c r="R326" t="s">
        <v>22</v>
      </c>
      <c r="S326">
        <v>929</v>
      </c>
      <c r="T326">
        <v>966</v>
      </c>
      <c r="U326">
        <v>-1.79</v>
      </c>
      <c r="W326">
        <v>2.2200000000000002</v>
      </c>
      <c r="X326">
        <v>760000000</v>
      </c>
    </row>
    <row r="327" spans="1:24" x14ac:dyDescent="0.25">
      <c r="A327" t="s">
        <v>348</v>
      </c>
      <c r="B327">
        <v>326</v>
      </c>
      <c r="C327">
        <v>1.74</v>
      </c>
      <c r="D327">
        <v>1.1599999999999999</v>
      </c>
      <c r="E327">
        <v>105700</v>
      </c>
      <c r="F327">
        <v>184549</v>
      </c>
      <c r="G327">
        <v>825760385.15999997</v>
      </c>
      <c r="H327">
        <v>19.239999999999998</v>
      </c>
      <c r="I327">
        <v>0.92</v>
      </c>
      <c r="J327">
        <v>0.57247099999999995</v>
      </c>
      <c r="K327">
        <v>2.12E-2</v>
      </c>
      <c r="L327">
        <v>0.02</v>
      </c>
      <c r="M327">
        <v>6.3470209999999998</v>
      </c>
      <c r="N327">
        <v>4.8022580000000001</v>
      </c>
      <c r="O327">
        <v>2.4345669999999999</v>
      </c>
      <c r="P327">
        <v>5.75</v>
      </c>
      <c r="Q327" t="s">
        <v>22</v>
      </c>
      <c r="R327" t="s">
        <v>22</v>
      </c>
      <c r="S327">
        <v>835</v>
      </c>
      <c r="T327">
        <v>680</v>
      </c>
      <c r="U327">
        <v>0.08</v>
      </c>
      <c r="V327">
        <v>4</v>
      </c>
      <c r="W327">
        <v>1.88</v>
      </c>
      <c r="X327">
        <v>474574934</v>
      </c>
    </row>
    <row r="328" spans="1:24" x14ac:dyDescent="0.25">
      <c r="A328" t="s">
        <v>349</v>
      </c>
      <c r="B328">
        <v>327</v>
      </c>
      <c r="C328">
        <v>29</v>
      </c>
      <c r="D328">
        <v>0</v>
      </c>
      <c r="E328">
        <v>452933</v>
      </c>
      <c r="F328">
        <v>13218687.75</v>
      </c>
      <c r="G328">
        <v>20263201900</v>
      </c>
      <c r="H328">
        <v>20088519125</v>
      </c>
      <c r="I328">
        <v>25.18</v>
      </c>
      <c r="J328">
        <v>2.3691759999999999</v>
      </c>
      <c r="K328">
        <v>-0.09</v>
      </c>
      <c r="L328">
        <v>-0.09</v>
      </c>
      <c r="M328">
        <v>-0.98943300000000001</v>
      </c>
      <c r="N328">
        <v>-16.728382</v>
      </c>
      <c r="O328">
        <v>-5.9182389999999998</v>
      </c>
      <c r="P328">
        <v>24.96</v>
      </c>
      <c r="Q328" t="s">
        <v>22</v>
      </c>
      <c r="R328" t="s">
        <v>22</v>
      </c>
      <c r="V328">
        <v>5</v>
      </c>
      <c r="W328">
        <v>1.1499999999999999</v>
      </c>
      <c r="X328">
        <v>698731100</v>
      </c>
    </row>
    <row r="329" spans="1:24" x14ac:dyDescent="0.25">
      <c r="A329" t="s">
        <v>350</v>
      </c>
      <c r="B329">
        <v>328</v>
      </c>
      <c r="C329">
        <v>7.8</v>
      </c>
      <c r="D329">
        <v>-1.27</v>
      </c>
      <c r="E329">
        <v>18619</v>
      </c>
      <c r="F329">
        <v>145198.20000000001</v>
      </c>
      <c r="G329">
        <v>1359330375</v>
      </c>
      <c r="H329">
        <v>11.8</v>
      </c>
      <c r="I329">
        <v>0.77</v>
      </c>
      <c r="J329">
        <v>0.26236900000000002</v>
      </c>
      <c r="K329">
        <v>0.13</v>
      </c>
      <c r="L329">
        <v>0.32</v>
      </c>
      <c r="M329">
        <v>6.8488340000000001</v>
      </c>
      <c r="N329">
        <v>6.6551090000000004</v>
      </c>
      <c r="O329">
        <v>9.4696820000000006</v>
      </c>
      <c r="P329">
        <v>3.08</v>
      </c>
      <c r="Q329" t="s">
        <v>22</v>
      </c>
      <c r="R329" t="s">
        <v>22</v>
      </c>
      <c r="S329">
        <v>760</v>
      </c>
      <c r="T329">
        <v>641</v>
      </c>
      <c r="U329">
        <v>-0.9</v>
      </c>
      <c r="V329">
        <v>4</v>
      </c>
      <c r="W329">
        <v>10.14</v>
      </c>
      <c r="X329">
        <v>174273125</v>
      </c>
    </row>
    <row r="330" spans="1:24" x14ac:dyDescent="0.25">
      <c r="A330" t="s">
        <v>351</v>
      </c>
      <c r="B330">
        <v>329</v>
      </c>
      <c r="C330">
        <v>0.97</v>
      </c>
      <c r="D330">
        <v>0</v>
      </c>
      <c r="E330">
        <v>25378</v>
      </c>
      <c r="F330">
        <v>23992.54</v>
      </c>
      <c r="G330">
        <v>490052211.05000001</v>
      </c>
      <c r="H330">
        <v>22.76</v>
      </c>
      <c r="I330">
        <v>1.54</v>
      </c>
      <c r="J330">
        <v>0.90992499999999998</v>
      </c>
      <c r="K330">
        <v>0.03</v>
      </c>
      <c r="L330">
        <v>-0.03</v>
      </c>
      <c r="M330">
        <v>7.2759819999999999</v>
      </c>
      <c r="N330">
        <v>6.6608070000000001</v>
      </c>
      <c r="O330">
        <v>-4.1793009999999997</v>
      </c>
      <c r="P330">
        <v>5.67</v>
      </c>
      <c r="Q330" t="s">
        <v>22</v>
      </c>
      <c r="R330" t="s">
        <v>22</v>
      </c>
      <c r="V330">
        <v>4</v>
      </c>
      <c r="W330">
        <v>0.63</v>
      </c>
      <c r="X330">
        <v>505208465</v>
      </c>
    </row>
    <row r="331" spans="1:24" x14ac:dyDescent="0.25">
      <c r="A331" t="s">
        <v>352</v>
      </c>
      <c r="B331">
        <v>330</v>
      </c>
      <c r="C331">
        <v>6.95</v>
      </c>
      <c r="D331">
        <v>1.46</v>
      </c>
      <c r="E331">
        <v>632564</v>
      </c>
      <c r="F331">
        <v>4376951.7</v>
      </c>
      <c r="G331">
        <v>8919147482.3500004</v>
      </c>
      <c r="H331">
        <v>13.55</v>
      </c>
      <c r="I331">
        <v>2.54</v>
      </c>
      <c r="J331">
        <v>0.41918499999999997</v>
      </c>
      <c r="K331">
        <v>0.11</v>
      </c>
      <c r="L331">
        <v>0.23</v>
      </c>
      <c r="M331">
        <v>16.426217999999999</v>
      </c>
      <c r="N331">
        <v>18.809974</v>
      </c>
      <c r="O331">
        <v>16.639424999999999</v>
      </c>
      <c r="P331">
        <v>6.35</v>
      </c>
      <c r="Q331" t="s">
        <v>22</v>
      </c>
      <c r="R331" t="s">
        <v>22</v>
      </c>
      <c r="S331">
        <v>514</v>
      </c>
      <c r="T331">
        <v>466</v>
      </c>
      <c r="U331">
        <v>0.45</v>
      </c>
      <c r="W331">
        <v>2.74</v>
      </c>
      <c r="X331">
        <v>1283330573</v>
      </c>
    </row>
    <row r="332" spans="1:24" x14ac:dyDescent="0.25">
      <c r="A332" t="s">
        <v>353</v>
      </c>
      <c r="B332">
        <v>331</v>
      </c>
      <c r="C332">
        <v>0.64</v>
      </c>
      <c r="D332">
        <v>0</v>
      </c>
      <c r="E332">
        <v>215902</v>
      </c>
      <c r="F332">
        <v>138182.29</v>
      </c>
      <c r="G332">
        <v>193827968</v>
      </c>
      <c r="H332">
        <v>184742282</v>
      </c>
      <c r="I332">
        <v>0.91</v>
      </c>
      <c r="J332">
        <v>1.956275</v>
      </c>
      <c r="K332">
        <v>-0.1</v>
      </c>
      <c r="L332">
        <v>-0.1</v>
      </c>
      <c r="M332">
        <v>-7.5791230000000001</v>
      </c>
      <c r="N332">
        <v>-27.503271000000002</v>
      </c>
      <c r="O332">
        <v>-16.978902000000001</v>
      </c>
      <c r="P332">
        <v>0.87</v>
      </c>
      <c r="Q332" t="s">
        <v>22</v>
      </c>
      <c r="R332" t="s">
        <v>22</v>
      </c>
      <c r="W332">
        <v>0.7</v>
      </c>
      <c r="X332">
        <v>302856200</v>
      </c>
    </row>
    <row r="333" spans="1:24" x14ac:dyDescent="0.25">
      <c r="A333" t="s">
        <v>354</v>
      </c>
      <c r="B333">
        <v>332</v>
      </c>
      <c r="C333">
        <v>248</v>
      </c>
      <c r="D333">
        <v>-2.75</v>
      </c>
      <c r="E333">
        <v>16183370</v>
      </c>
      <c r="F333">
        <v>4085417125</v>
      </c>
      <c r="G333">
        <v>587593243064</v>
      </c>
      <c r="H333">
        <v>11.56</v>
      </c>
      <c r="I333">
        <v>0.99</v>
      </c>
      <c r="J333">
        <v>5.8595759999999997</v>
      </c>
      <c r="K333">
        <v>12</v>
      </c>
      <c r="L333">
        <v>11.87</v>
      </c>
      <c r="M333">
        <v>2.3867970000000001</v>
      </c>
      <c r="N333">
        <v>8.9073349999999998</v>
      </c>
      <c r="O333">
        <v>25.085156000000001</v>
      </c>
      <c r="P333">
        <v>5.65</v>
      </c>
      <c r="Q333" t="s">
        <v>22</v>
      </c>
      <c r="R333" t="s">
        <v>22</v>
      </c>
      <c r="S333">
        <v>657</v>
      </c>
      <c r="T333">
        <v>994</v>
      </c>
      <c r="U333">
        <v>1.59</v>
      </c>
      <c r="V333">
        <v>5</v>
      </c>
      <c r="W333">
        <v>249.65</v>
      </c>
      <c r="X333">
        <v>2369327593</v>
      </c>
    </row>
    <row r="334" spans="1:24" x14ac:dyDescent="0.25">
      <c r="A334" t="s">
        <v>355</v>
      </c>
      <c r="B334">
        <v>333</v>
      </c>
      <c r="C334">
        <v>6.35</v>
      </c>
      <c r="D334">
        <v>0.79</v>
      </c>
      <c r="E334">
        <v>174433</v>
      </c>
      <c r="F334">
        <v>1104525.6499999999</v>
      </c>
      <c r="G334">
        <v>3810000000</v>
      </c>
      <c r="H334">
        <v>13.62</v>
      </c>
      <c r="I334">
        <v>0.72</v>
      </c>
      <c r="J334">
        <v>1.532513</v>
      </c>
      <c r="K334">
        <v>0.5</v>
      </c>
      <c r="L334">
        <v>1.03</v>
      </c>
      <c r="M334">
        <v>4.4314980000000004</v>
      </c>
      <c r="N334">
        <v>5.3073560000000004</v>
      </c>
      <c r="O334">
        <v>9.629175</v>
      </c>
      <c r="P334">
        <v>7.87</v>
      </c>
      <c r="Q334" t="s">
        <v>22</v>
      </c>
      <c r="R334" t="s">
        <v>22</v>
      </c>
      <c r="S334">
        <v>887</v>
      </c>
      <c r="T334">
        <v>866</v>
      </c>
      <c r="U334">
        <v>-0.13</v>
      </c>
      <c r="V334">
        <v>3</v>
      </c>
      <c r="W334">
        <v>8.7799999999999994</v>
      </c>
      <c r="X334">
        <v>600000000</v>
      </c>
    </row>
    <row r="335" spans="1:24" x14ac:dyDescent="0.25">
      <c r="A335" t="s">
        <v>356</v>
      </c>
      <c r="B335">
        <v>334</v>
      </c>
      <c r="C335">
        <v>0.02</v>
      </c>
      <c r="D335">
        <v>0</v>
      </c>
      <c r="E335">
        <v>707490</v>
      </c>
      <c r="F335">
        <v>14150.7</v>
      </c>
      <c r="G335">
        <v>103509744.44</v>
      </c>
      <c r="H335">
        <v>103509744.44</v>
      </c>
      <c r="I335">
        <v>2.2200000000000002</v>
      </c>
      <c r="J335">
        <v>15.908053000000001</v>
      </c>
      <c r="K335">
        <v>-0.01</v>
      </c>
      <c r="L335">
        <v>-0.01</v>
      </c>
      <c r="M335">
        <v>-16.6435</v>
      </c>
      <c r="N335">
        <v>-134.73353299999999</v>
      </c>
      <c r="O335">
        <v>-787.61427400000002</v>
      </c>
      <c r="P335">
        <v>2.2200000000000002</v>
      </c>
      <c r="Q335" t="s">
        <v>22</v>
      </c>
      <c r="R335" t="s">
        <v>22</v>
      </c>
      <c r="W335">
        <v>0.01</v>
      </c>
      <c r="X335">
        <v>5175487222</v>
      </c>
    </row>
    <row r="336" spans="1:24" x14ac:dyDescent="0.25">
      <c r="A336" t="s">
        <v>357</v>
      </c>
      <c r="B336">
        <v>335</v>
      </c>
      <c r="C336">
        <v>4.8600000000000003</v>
      </c>
      <c r="D336">
        <v>0.41</v>
      </c>
      <c r="E336">
        <v>11306</v>
      </c>
      <c r="F336">
        <v>54857.16</v>
      </c>
      <c r="G336">
        <v>1215000000</v>
      </c>
      <c r="H336">
        <v>7.92</v>
      </c>
      <c r="I336">
        <v>0.47</v>
      </c>
      <c r="J336">
        <v>0.97243500000000005</v>
      </c>
      <c r="K336">
        <v>0.16</v>
      </c>
      <c r="L336">
        <v>0.32</v>
      </c>
      <c r="M336">
        <v>5.1165520000000004</v>
      </c>
      <c r="N336">
        <v>6.0652309999999998</v>
      </c>
      <c r="O336">
        <v>7.2214340000000004</v>
      </c>
      <c r="P336">
        <v>6.79</v>
      </c>
      <c r="Q336" t="s">
        <v>22</v>
      </c>
      <c r="R336" t="s">
        <v>22</v>
      </c>
      <c r="S336">
        <v>561</v>
      </c>
      <c r="T336">
        <v>690</v>
      </c>
      <c r="U336">
        <v>2.5299999999999998</v>
      </c>
      <c r="V336">
        <v>5</v>
      </c>
      <c r="W336">
        <v>10.26</v>
      </c>
      <c r="X336">
        <v>250000000</v>
      </c>
    </row>
    <row r="337" spans="1:24" x14ac:dyDescent="0.25">
      <c r="A337" t="s">
        <v>358</v>
      </c>
      <c r="B337">
        <v>336</v>
      </c>
      <c r="C337">
        <v>2.52</v>
      </c>
      <c r="D337">
        <v>-3.82</v>
      </c>
      <c r="E337">
        <v>772833</v>
      </c>
      <c r="F337">
        <v>1970774.68</v>
      </c>
      <c r="G337">
        <v>1558202478.8399999</v>
      </c>
      <c r="H337">
        <v>3.34</v>
      </c>
      <c r="I337">
        <v>0.91</v>
      </c>
      <c r="J337">
        <v>0.87759799999999999</v>
      </c>
      <c r="K337">
        <v>6.5000000000000002E-2</v>
      </c>
      <c r="L337">
        <v>0.54</v>
      </c>
      <c r="M337">
        <v>23.319434999999999</v>
      </c>
      <c r="N337">
        <v>31.026403999999999</v>
      </c>
      <c r="O337">
        <v>61.159770999999999</v>
      </c>
      <c r="P337">
        <v>3.97</v>
      </c>
      <c r="Q337" t="s">
        <v>22</v>
      </c>
      <c r="R337" t="s">
        <v>22</v>
      </c>
      <c r="S337">
        <v>47</v>
      </c>
      <c r="T337">
        <v>54</v>
      </c>
      <c r="U337">
        <v>0.02</v>
      </c>
      <c r="V337">
        <v>5</v>
      </c>
      <c r="W337">
        <v>2.76</v>
      </c>
      <c r="X337">
        <v>618334317</v>
      </c>
    </row>
    <row r="338" spans="1:24" x14ac:dyDescent="0.25">
      <c r="A338" t="s">
        <v>359</v>
      </c>
      <c r="B338">
        <v>337</v>
      </c>
      <c r="C338">
        <v>56.75</v>
      </c>
      <c r="D338">
        <v>4.13</v>
      </c>
      <c r="E338">
        <v>24656802</v>
      </c>
      <c r="F338">
        <v>1382713326.25</v>
      </c>
      <c r="G338">
        <v>67083527823</v>
      </c>
      <c r="H338">
        <v>72.06</v>
      </c>
      <c r="I338">
        <v>5.17</v>
      </c>
      <c r="J338">
        <v>0.43371300000000002</v>
      </c>
      <c r="K338">
        <v>0.6</v>
      </c>
      <c r="L338">
        <v>0.43</v>
      </c>
      <c r="M338">
        <v>6.0797020000000002</v>
      </c>
      <c r="N338">
        <v>7.0442270000000002</v>
      </c>
      <c r="O338">
        <v>7.5928190000000004</v>
      </c>
      <c r="P338">
        <v>2.11</v>
      </c>
      <c r="Q338" t="s">
        <v>22</v>
      </c>
      <c r="R338" t="s">
        <v>22</v>
      </c>
      <c r="S338">
        <v>1122</v>
      </c>
      <c r="T338">
        <v>1055</v>
      </c>
      <c r="U338">
        <v>-3</v>
      </c>
      <c r="V338">
        <v>5</v>
      </c>
      <c r="W338">
        <v>10.97</v>
      </c>
      <c r="X338">
        <v>1182088596</v>
      </c>
    </row>
    <row r="339" spans="1:24" x14ac:dyDescent="0.25">
      <c r="A339" t="s">
        <v>360</v>
      </c>
      <c r="B339">
        <v>338</v>
      </c>
      <c r="C339">
        <v>10.5</v>
      </c>
      <c r="D339">
        <v>-0.94</v>
      </c>
      <c r="E339">
        <v>319608</v>
      </c>
      <c r="F339">
        <v>3358295.4</v>
      </c>
      <c r="G339">
        <v>5722500000</v>
      </c>
      <c r="H339">
        <v>10.24</v>
      </c>
      <c r="I339">
        <v>1.79</v>
      </c>
      <c r="J339">
        <v>0.89235799999999998</v>
      </c>
      <c r="K339">
        <v>0.17</v>
      </c>
      <c r="L339">
        <v>0.51</v>
      </c>
      <c r="M339">
        <v>12.008817000000001</v>
      </c>
      <c r="N339">
        <v>18.227139000000001</v>
      </c>
      <c r="O339">
        <v>6.7376969999999998</v>
      </c>
      <c r="P339">
        <v>4.8600000000000003</v>
      </c>
      <c r="Q339" t="s">
        <v>22</v>
      </c>
      <c r="R339" t="s">
        <v>22</v>
      </c>
      <c r="S339">
        <v>412</v>
      </c>
      <c r="T339">
        <v>415</v>
      </c>
      <c r="U339">
        <v>0.39</v>
      </c>
      <c r="V339">
        <v>5</v>
      </c>
      <c r="W339">
        <v>5.86</v>
      </c>
      <c r="X339">
        <v>545000000</v>
      </c>
    </row>
    <row r="340" spans="1:24" x14ac:dyDescent="0.25">
      <c r="A340" t="s">
        <v>361</v>
      </c>
      <c r="B340">
        <v>339</v>
      </c>
      <c r="C340">
        <v>0.3</v>
      </c>
      <c r="D340">
        <v>0</v>
      </c>
      <c r="E340">
        <v>41110</v>
      </c>
      <c r="F340">
        <v>11957.8</v>
      </c>
      <c r="G340">
        <v>204000000</v>
      </c>
      <c r="H340">
        <v>183600000</v>
      </c>
      <c r="I340">
        <v>0.52</v>
      </c>
      <c r="J340">
        <v>0.52447900000000003</v>
      </c>
      <c r="K340">
        <v>4.4999999999999997E-3</v>
      </c>
      <c r="L340">
        <v>0.01</v>
      </c>
      <c r="M340">
        <v>0.137013</v>
      </c>
      <c r="N340">
        <v>-1.66798</v>
      </c>
      <c r="O340">
        <v>2.5169670000000002</v>
      </c>
      <c r="P340">
        <v>0.47</v>
      </c>
      <c r="Q340" t="s">
        <v>22</v>
      </c>
      <c r="R340" t="s">
        <v>22</v>
      </c>
      <c r="W340">
        <v>0.57999999999999996</v>
      </c>
      <c r="X340">
        <v>680000000</v>
      </c>
    </row>
    <row r="341" spans="1:24" x14ac:dyDescent="0.25">
      <c r="A341" t="s">
        <v>362</v>
      </c>
      <c r="B341">
        <v>340</v>
      </c>
      <c r="C341">
        <v>84.5</v>
      </c>
      <c r="D341">
        <v>-0.59</v>
      </c>
      <c r="E341">
        <v>123</v>
      </c>
      <c r="F341">
        <v>10394</v>
      </c>
      <c r="G341">
        <v>1647659210</v>
      </c>
      <c r="H341">
        <v>10.48</v>
      </c>
      <c r="I341">
        <v>1.76</v>
      </c>
      <c r="J341">
        <v>0.20805399999999999</v>
      </c>
      <c r="K341">
        <v>2.7</v>
      </c>
      <c r="L341">
        <v>4.38</v>
      </c>
      <c r="M341">
        <v>17.841888000000001</v>
      </c>
      <c r="N341">
        <v>17.757026</v>
      </c>
      <c r="O341">
        <v>14.797541000000001</v>
      </c>
      <c r="P341">
        <v>3.18</v>
      </c>
      <c r="Q341" t="s">
        <v>22</v>
      </c>
      <c r="R341" t="s">
        <v>22</v>
      </c>
      <c r="S341">
        <v>384</v>
      </c>
      <c r="T341">
        <v>318</v>
      </c>
      <c r="U341">
        <v>0.22</v>
      </c>
      <c r="W341">
        <v>48.37</v>
      </c>
      <c r="X341">
        <v>19384226</v>
      </c>
    </row>
    <row r="342" spans="1:24" x14ac:dyDescent="0.25">
      <c r="A342" t="s">
        <v>363</v>
      </c>
      <c r="B342">
        <v>341</v>
      </c>
      <c r="C342">
        <v>1.58</v>
      </c>
      <c r="D342">
        <v>-1.25</v>
      </c>
      <c r="E342">
        <v>2608604</v>
      </c>
      <c r="F342">
        <v>4171483.48</v>
      </c>
      <c r="G342">
        <v>3516647356.5</v>
      </c>
      <c r="H342">
        <v>3739219974</v>
      </c>
      <c r="I342">
        <v>2.68</v>
      </c>
      <c r="J342">
        <v>0.69901800000000003</v>
      </c>
      <c r="K342">
        <v>-0.01</v>
      </c>
      <c r="L342">
        <v>-0.01</v>
      </c>
      <c r="M342">
        <v>-1.942814</v>
      </c>
      <c r="N342">
        <v>-4.068092</v>
      </c>
      <c r="O342">
        <v>-3.3774440000000001</v>
      </c>
      <c r="P342">
        <v>2.85</v>
      </c>
      <c r="Q342" t="s">
        <v>22</v>
      </c>
      <c r="R342" t="s">
        <v>22</v>
      </c>
      <c r="W342">
        <v>0.59</v>
      </c>
      <c r="X342">
        <v>2225726175</v>
      </c>
    </row>
    <row r="343" spans="1:24" x14ac:dyDescent="0.25">
      <c r="A343" t="s">
        <v>364</v>
      </c>
      <c r="B343">
        <v>342</v>
      </c>
      <c r="C343">
        <v>5.0999999999999996</v>
      </c>
      <c r="D343">
        <v>-0.97</v>
      </c>
      <c r="E343">
        <v>6730530</v>
      </c>
      <c r="F343">
        <v>34492480.5</v>
      </c>
      <c r="G343">
        <v>10157991963</v>
      </c>
      <c r="H343">
        <v>8.2200000000000006</v>
      </c>
      <c r="I343">
        <v>1.23</v>
      </c>
      <c r="J343">
        <v>1.9833670000000001</v>
      </c>
      <c r="K343">
        <v>0.31</v>
      </c>
      <c r="L343">
        <v>0.36</v>
      </c>
      <c r="M343">
        <v>7.4753740000000004</v>
      </c>
      <c r="N343">
        <v>15.615729999999999</v>
      </c>
      <c r="O343">
        <v>29.692864</v>
      </c>
      <c r="P343">
        <v>6.08</v>
      </c>
      <c r="Q343" t="s">
        <v>22</v>
      </c>
      <c r="R343" t="s">
        <v>22</v>
      </c>
      <c r="S343">
        <v>480</v>
      </c>
      <c r="T343">
        <v>678</v>
      </c>
      <c r="U343">
        <v>-0.68</v>
      </c>
      <c r="V343">
        <v>4</v>
      </c>
      <c r="W343">
        <v>4.13</v>
      </c>
      <c r="X343">
        <v>1991763130</v>
      </c>
    </row>
    <row r="344" spans="1:24" x14ac:dyDescent="0.25">
      <c r="A344" t="s">
        <v>365</v>
      </c>
      <c r="B344">
        <v>343</v>
      </c>
      <c r="C344">
        <v>0.34</v>
      </c>
      <c r="D344">
        <v>0</v>
      </c>
      <c r="E344">
        <v>275220</v>
      </c>
      <c r="F344">
        <v>93794.82</v>
      </c>
      <c r="G344">
        <v>1050738951.2</v>
      </c>
      <c r="H344">
        <v>47.24</v>
      </c>
      <c r="I344">
        <v>0.96</v>
      </c>
      <c r="J344">
        <v>0.122806</v>
      </c>
      <c r="K344">
        <v>0.02</v>
      </c>
      <c r="L344">
        <v>0.01</v>
      </c>
      <c r="M344">
        <v>2.4883060000000001</v>
      </c>
      <c r="N344">
        <v>1.948704</v>
      </c>
      <c r="O344">
        <v>6.5813389999999998</v>
      </c>
      <c r="P344">
        <v>6.05</v>
      </c>
      <c r="Q344" t="s">
        <v>22</v>
      </c>
      <c r="R344" t="s">
        <v>22</v>
      </c>
      <c r="S344">
        <v>1275</v>
      </c>
      <c r="T344">
        <v>1249</v>
      </c>
      <c r="U344">
        <v>-3.22</v>
      </c>
      <c r="W344">
        <v>0.35</v>
      </c>
      <c r="X344">
        <v>3090408680</v>
      </c>
    </row>
    <row r="345" spans="1:24" x14ac:dyDescent="0.25">
      <c r="A345" t="s">
        <v>366</v>
      </c>
      <c r="B345">
        <v>344</v>
      </c>
      <c r="C345">
        <v>3.22</v>
      </c>
      <c r="D345">
        <v>-2.42</v>
      </c>
      <c r="E345">
        <v>1263155</v>
      </c>
      <c r="F345">
        <v>4121305.8</v>
      </c>
      <c r="G345">
        <v>1932032200</v>
      </c>
      <c r="H345">
        <v>10.199999999999999</v>
      </c>
      <c r="I345">
        <v>1.88</v>
      </c>
      <c r="J345">
        <v>0.37678800000000001</v>
      </c>
      <c r="K345">
        <v>0.06</v>
      </c>
      <c r="L345">
        <v>0.13</v>
      </c>
      <c r="M345">
        <v>19.55611</v>
      </c>
      <c r="N345">
        <v>18.605606999999999</v>
      </c>
      <c r="O345">
        <v>12.425454</v>
      </c>
      <c r="P345">
        <v>7.21</v>
      </c>
      <c r="Q345" t="s">
        <v>22</v>
      </c>
      <c r="R345" t="s">
        <v>22</v>
      </c>
      <c r="S345">
        <v>443</v>
      </c>
      <c r="T345">
        <v>369</v>
      </c>
      <c r="U345">
        <v>1.35</v>
      </c>
      <c r="V345">
        <v>3</v>
      </c>
      <c r="W345">
        <v>1.71</v>
      </c>
      <c r="X345">
        <v>600010000</v>
      </c>
    </row>
    <row r="346" spans="1:24" x14ac:dyDescent="0.25">
      <c r="A346" t="s">
        <v>367</v>
      </c>
      <c r="B346">
        <v>345</v>
      </c>
      <c r="C346">
        <v>6.3</v>
      </c>
      <c r="D346">
        <v>0</v>
      </c>
      <c r="E346">
        <v>72700</v>
      </c>
      <c r="F346">
        <v>460630</v>
      </c>
      <c r="G346">
        <v>1461586140</v>
      </c>
      <c r="H346">
        <v>13.13</v>
      </c>
      <c r="I346">
        <v>2.11</v>
      </c>
      <c r="J346">
        <v>1.3349249999999999</v>
      </c>
      <c r="K346">
        <v>0.15</v>
      </c>
      <c r="L346">
        <v>0.28000000000000003</v>
      </c>
      <c r="M346">
        <v>9.8253149999999998</v>
      </c>
      <c r="N346">
        <v>16.118383999999999</v>
      </c>
      <c r="O346">
        <v>9.9285099999999993</v>
      </c>
      <c r="P346">
        <v>7.14</v>
      </c>
      <c r="Q346" t="s">
        <v>22</v>
      </c>
      <c r="R346" t="s">
        <v>22</v>
      </c>
      <c r="S346">
        <v>558</v>
      </c>
      <c r="T346">
        <v>596</v>
      </c>
      <c r="U346">
        <v>8.84</v>
      </c>
      <c r="V346">
        <v>5</v>
      </c>
      <c r="W346">
        <v>2.99</v>
      </c>
      <c r="X346">
        <v>231997800</v>
      </c>
    </row>
    <row r="347" spans="1:24" x14ac:dyDescent="0.25">
      <c r="A347" t="s">
        <v>368</v>
      </c>
      <c r="B347">
        <v>346</v>
      </c>
      <c r="C347">
        <v>0.98</v>
      </c>
      <c r="D347">
        <v>0</v>
      </c>
      <c r="E347">
        <v>48310</v>
      </c>
      <c r="F347">
        <v>47088.7</v>
      </c>
      <c r="G347">
        <v>236669962.75999999</v>
      </c>
      <c r="H347">
        <v>5.74</v>
      </c>
      <c r="I347">
        <v>1.1200000000000001</v>
      </c>
      <c r="J347">
        <v>1.705965</v>
      </c>
      <c r="K347">
        <v>1.4999999999999999E-2</v>
      </c>
      <c r="L347">
        <v>0.05</v>
      </c>
      <c r="M347">
        <v>10.670316</v>
      </c>
      <c r="N347">
        <v>21.467851</v>
      </c>
      <c r="O347">
        <v>2.1576029999999999</v>
      </c>
      <c r="P347">
        <v>1.53</v>
      </c>
      <c r="Q347" t="s">
        <v>22</v>
      </c>
      <c r="R347" t="s">
        <v>22</v>
      </c>
      <c r="S347">
        <v>174</v>
      </c>
      <c r="T347">
        <v>255</v>
      </c>
      <c r="U347">
        <v>-0.08</v>
      </c>
      <c r="V347">
        <v>3</v>
      </c>
      <c r="W347">
        <v>0.87</v>
      </c>
      <c r="X347">
        <v>241499962</v>
      </c>
    </row>
    <row r="348" spans="1:24" x14ac:dyDescent="0.25">
      <c r="A348" t="s">
        <v>369</v>
      </c>
      <c r="B348">
        <v>347</v>
      </c>
      <c r="C348">
        <v>2025</v>
      </c>
      <c r="D348">
        <v>0</v>
      </c>
      <c r="E348">
        <v>0</v>
      </c>
      <c r="F348">
        <v>0</v>
      </c>
      <c r="G348">
        <v>60</v>
      </c>
      <c r="H348">
        <v>0</v>
      </c>
      <c r="I348">
        <v>0</v>
      </c>
      <c r="J348">
        <v>0</v>
      </c>
      <c r="K348">
        <v>-0.78</v>
      </c>
      <c r="L348">
        <v>-0.78</v>
      </c>
      <c r="M348">
        <v>-13.927587000000001</v>
      </c>
      <c r="N348">
        <v>-55.149893232852982</v>
      </c>
      <c r="O348">
        <v>-55.149892999999999</v>
      </c>
      <c r="P348">
        <v>0</v>
      </c>
      <c r="Q348" t="s">
        <v>22</v>
      </c>
      <c r="R348" t="s">
        <v>22</v>
      </c>
      <c r="W348">
        <v>-1.81</v>
      </c>
      <c r="X348">
        <v>1500000000</v>
      </c>
    </row>
    <row r="349" spans="1:24" x14ac:dyDescent="0.25">
      <c r="A349" t="s">
        <v>370</v>
      </c>
      <c r="B349">
        <v>348</v>
      </c>
      <c r="C349">
        <v>117.5</v>
      </c>
      <c r="D349">
        <v>-0.42</v>
      </c>
      <c r="E349">
        <v>13131848</v>
      </c>
      <c r="F349">
        <v>1537361104.5</v>
      </c>
      <c r="G349">
        <v>105212308837.5</v>
      </c>
      <c r="H349">
        <v>13.45</v>
      </c>
      <c r="I349">
        <v>1.47</v>
      </c>
      <c r="J349">
        <v>6.6011170000000003</v>
      </c>
      <c r="K349">
        <v>4.2</v>
      </c>
      <c r="L349">
        <v>4.9400000000000004</v>
      </c>
      <c r="M349">
        <v>3.3188059999999999</v>
      </c>
      <c r="N349">
        <v>11.354213</v>
      </c>
      <c r="O349">
        <v>24.561903999999998</v>
      </c>
      <c r="P349">
        <v>4.5999999999999996</v>
      </c>
      <c r="Q349" t="s">
        <v>22</v>
      </c>
      <c r="R349" t="s">
        <v>22</v>
      </c>
      <c r="S349">
        <v>712</v>
      </c>
      <c r="T349">
        <v>1096</v>
      </c>
      <c r="U349">
        <v>30.79</v>
      </c>
      <c r="V349">
        <v>5</v>
      </c>
      <c r="W349">
        <v>80.2</v>
      </c>
      <c r="X349">
        <v>895423905</v>
      </c>
    </row>
    <row r="350" spans="1:24" x14ac:dyDescent="0.25">
      <c r="A350" t="s">
        <v>371</v>
      </c>
      <c r="B350">
        <v>349</v>
      </c>
      <c r="C350">
        <v>30.25</v>
      </c>
      <c r="D350">
        <v>-3.2</v>
      </c>
      <c r="E350">
        <v>511519</v>
      </c>
      <c r="F350">
        <v>15512444.75</v>
      </c>
      <c r="G350">
        <v>6655000000</v>
      </c>
      <c r="H350">
        <v>15.76</v>
      </c>
      <c r="I350">
        <v>3.61</v>
      </c>
      <c r="J350">
        <v>0.86719299999999999</v>
      </c>
      <c r="K350">
        <v>0.88</v>
      </c>
      <c r="L350">
        <v>1.06</v>
      </c>
      <c r="M350">
        <v>17.043081000000001</v>
      </c>
      <c r="N350">
        <v>23.595825999999999</v>
      </c>
      <c r="O350">
        <v>10.475137999999999</v>
      </c>
      <c r="P350">
        <v>4.79</v>
      </c>
      <c r="Q350" t="s">
        <v>22</v>
      </c>
      <c r="R350" t="s">
        <v>22</v>
      </c>
      <c r="S350">
        <v>527</v>
      </c>
      <c r="T350">
        <v>524</v>
      </c>
      <c r="U350">
        <v>0.71</v>
      </c>
      <c r="W350">
        <v>8.3699999999999992</v>
      </c>
      <c r="X350">
        <v>220000000</v>
      </c>
    </row>
    <row r="351" spans="1:24" x14ac:dyDescent="0.25">
      <c r="A351" t="s">
        <v>372</v>
      </c>
      <c r="B351">
        <v>350</v>
      </c>
      <c r="C351">
        <v>0.28000000000000003</v>
      </c>
      <c r="D351">
        <v>-3.45</v>
      </c>
      <c r="E351">
        <v>548133</v>
      </c>
      <c r="F351">
        <v>153759.57</v>
      </c>
      <c r="G351">
        <v>630000000</v>
      </c>
      <c r="H351">
        <v>14.45</v>
      </c>
      <c r="I351">
        <v>0.46</v>
      </c>
      <c r="J351">
        <v>0.308666</v>
      </c>
      <c r="K351">
        <v>1.2500000000000001E-2</v>
      </c>
      <c r="L351">
        <v>0.01</v>
      </c>
      <c r="M351">
        <v>3.761352</v>
      </c>
      <c r="N351">
        <v>3.1815190000000002</v>
      </c>
      <c r="O351">
        <v>7.3837169999999999</v>
      </c>
      <c r="P351">
        <v>4.46</v>
      </c>
      <c r="Q351" t="s">
        <v>22</v>
      </c>
      <c r="R351" t="s">
        <v>22</v>
      </c>
      <c r="S351">
        <v>1176</v>
      </c>
      <c r="T351">
        <v>1140</v>
      </c>
      <c r="U351">
        <v>-0.33</v>
      </c>
      <c r="W351">
        <v>0.6</v>
      </c>
      <c r="X351">
        <v>2250000000</v>
      </c>
    </row>
    <row r="352" spans="1:24" x14ac:dyDescent="0.25">
      <c r="A352" t="s">
        <v>373</v>
      </c>
      <c r="B352">
        <v>351</v>
      </c>
      <c r="C352">
        <v>1.84</v>
      </c>
      <c r="D352">
        <v>0</v>
      </c>
      <c r="E352">
        <v>1188601</v>
      </c>
      <c r="F352">
        <v>2192892.86</v>
      </c>
      <c r="G352">
        <v>8114828018.96</v>
      </c>
      <c r="H352">
        <v>8379441976.1000004</v>
      </c>
      <c r="I352">
        <v>0.37</v>
      </c>
      <c r="J352">
        <v>1.3424799999999999</v>
      </c>
      <c r="K352">
        <v>0.04</v>
      </c>
      <c r="L352">
        <v>0.1</v>
      </c>
      <c r="M352">
        <v>0.38813199999999998</v>
      </c>
      <c r="N352">
        <v>-2.2831399999999999</v>
      </c>
      <c r="O352">
        <v>5.5543690000000003</v>
      </c>
      <c r="P352">
        <v>2.17</v>
      </c>
      <c r="Q352" t="s">
        <v>22</v>
      </c>
      <c r="R352" t="s">
        <v>22</v>
      </c>
      <c r="V352">
        <v>5</v>
      </c>
      <c r="W352">
        <v>4.93</v>
      </c>
      <c r="X352">
        <v>4410232619</v>
      </c>
    </row>
    <row r="353" spans="1:24" x14ac:dyDescent="0.25">
      <c r="A353" t="s">
        <v>374</v>
      </c>
      <c r="B353">
        <v>352</v>
      </c>
      <c r="C353">
        <v>43.5</v>
      </c>
      <c r="D353">
        <v>-1.1399999999999999</v>
      </c>
      <c r="E353">
        <v>57582043</v>
      </c>
      <c r="F353">
        <v>2519422337.5</v>
      </c>
      <c r="G353">
        <v>607958664375</v>
      </c>
      <c r="H353">
        <v>12.17</v>
      </c>
      <c r="I353">
        <v>1.34</v>
      </c>
      <c r="J353">
        <v>7.1485370000000001</v>
      </c>
      <c r="K353">
        <v>2.2400000000000002</v>
      </c>
      <c r="L353">
        <v>1.76</v>
      </c>
      <c r="M353">
        <v>2.7429579999999998</v>
      </c>
      <c r="N353">
        <v>11.127613999999999</v>
      </c>
      <c r="O353">
        <v>30.532074000000001</v>
      </c>
      <c r="P353">
        <v>6.14</v>
      </c>
      <c r="Q353" t="s">
        <v>22</v>
      </c>
      <c r="R353" t="s">
        <v>22</v>
      </c>
      <c r="S353">
        <v>630</v>
      </c>
      <c r="T353">
        <v>1028</v>
      </c>
      <c r="U353">
        <v>0.54</v>
      </c>
      <c r="V353">
        <v>5</v>
      </c>
      <c r="W353">
        <v>32.39</v>
      </c>
      <c r="X353">
        <v>13976061250</v>
      </c>
    </row>
    <row r="354" spans="1:24" x14ac:dyDescent="0.25">
      <c r="A354" t="s">
        <v>375</v>
      </c>
      <c r="B354">
        <v>353</v>
      </c>
      <c r="C354">
        <v>37.5</v>
      </c>
      <c r="D354">
        <v>-1.32</v>
      </c>
      <c r="E354">
        <v>16951062</v>
      </c>
      <c r="F354">
        <v>637746655.75</v>
      </c>
      <c r="G354">
        <v>96687527625</v>
      </c>
      <c r="H354">
        <v>11.48</v>
      </c>
      <c r="I354">
        <v>2.2000000000000002</v>
      </c>
      <c r="J354">
        <v>1.430186</v>
      </c>
      <c r="K354">
        <v>1.77</v>
      </c>
      <c r="L354">
        <v>1.71</v>
      </c>
      <c r="M354">
        <v>11.902431999999999</v>
      </c>
      <c r="N354">
        <v>20.019535999999999</v>
      </c>
      <c r="O354">
        <v>32.433742000000002</v>
      </c>
      <c r="P354">
        <v>4.72</v>
      </c>
      <c r="Q354" t="s">
        <v>22</v>
      </c>
      <c r="R354" t="s">
        <v>22</v>
      </c>
      <c r="S354">
        <v>454</v>
      </c>
      <c r="T354">
        <v>622</v>
      </c>
      <c r="U354">
        <v>1.62</v>
      </c>
      <c r="V354">
        <v>5</v>
      </c>
      <c r="W354">
        <v>17.059999999999999</v>
      </c>
      <c r="X354">
        <v>2578334070</v>
      </c>
    </row>
    <row r="355" spans="1:24" x14ac:dyDescent="0.25">
      <c r="A355" t="s">
        <v>376</v>
      </c>
      <c r="B355">
        <v>354</v>
      </c>
      <c r="C355">
        <v>1.96</v>
      </c>
      <c r="D355">
        <v>0</v>
      </c>
      <c r="E355">
        <v>6701</v>
      </c>
      <c r="F355">
        <v>13133.97</v>
      </c>
      <c r="G355">
        <v>7565600019.6000004</v>
      </c>
      <c r="H355">
        <v>7218200018.6999998</v>
      </c>
      <c r="I355">
        <v>1.53</v>
      </c>
      <c r="J355">
        <v>2.281917</v>
      </c>
      <c r="K355">
        <v>0.05</v>
      </c>
      <c r="L355">
        <v>-0.09</v>
      </c>
      <c r="M355">
        <v>-3.802988</v>
      </c>
      <c r="N355">
        <v>-14.204319999999999</v>
      </c>
      <c r="O355">
        <v>-2.9165359999999998</v>
      </c>
      <c r="P355">
        <v>1.46</v>
      </c>
      <c r="Q355" t="s">
        <v>22</v>
      </c>
      <c r="R355" t="s">
        <v>22</v>
      </c>
      <c r="V355">
        <v>4</v>
      </c>
      <c r="W355">
        <v>1.28</v>
      </c>
      <c r="X355">
        <v>3860000010</v>
      </c>
    </row>
    <row r="356" spans="1:24" x14ac:dyDescent="0.25">
      <c r="A356" t="s">
        <v>377</v>
      </c>
      <c r="B356">
        <v>355</v>
      </c>
      <c r="C356">
        <v>1.35</v>
      </c>
      <c r="D356">
        <v>-0.74</v>
      </c>
      <c r="E356">
        <v>778103</v>
      </c>
      <c r="F356">
        <v>1051943.02</v>
      </c>
      <c r="G356">
        <v>405000000</v>
      </c>
      <c r="H356">
        <v>11.21</v>
      </c>
      <c r="I356">
        <v>0.74</v>
      </c>
      <c r="J356">
        <v>0.57347700000000001</v>
      </c>
      <c r="K356">
        <v>1.2999999999999999E-2</v>
      </c>
      <c r="L356">
        <v>0.04</v>
      </c>
      <c r="M356">
        <v>6.4350040000000002</v>
      </c>
      <c r="N356">
        <v>6.7755530000000004</v>
      </c>
      <c r="O356">
        <v>3.6860780000000002</v>
      </c>
      <c r="P356">
        <v>0.96</v>
      </c>
      <c r="Q356" t="s">
        <v>22</v>
      </c>
      <c r="R356" t="s">
        <v>22</v>
      </c>
      <c r="S356">
        <v>652</v>
      </c>
      <c r="T356">
        <v>553</v>
      </c>
      <c r="U356">
        <v>0.23</v>
      </c>
      <c r="V356">
        <v>4</v>
      </c>
      <c r="W356">
        <v>1.83</v>
      </c>
      <c r="X356">
        <v>300000000</v>
      </c>
    </row>
    <row r="357" spans="1:24" x14ac:dyDescent="0.25">
      <c r="A357" t="s">
        <v>378</v>
      </c>
      <c r="B357">
        <v>356</v>
      </c>
      <c r="C357">
        <v>2.12</v>
      </c>
      <c r="D357">
        <v>-2.75</v>
      </c>
      <c r="E357">
        <v>287401</v>
      </c>
      <c r="F357">
        <v>620844.16</v>
      </c>
      <c r="G357">
        <v>911600000</v>
      </c>
      <c r="H357">
        <v>9.2100000000000009</v>
      </c>
      <c r="I357">
        <v>1.39</v>
      </c>
      <c r="J357">
        <v>0.62730600000000003</v>
      </c>
      <c r="K357">
        <v>0.06</v>
      </c>
      <c r="L357">
        <v>0.15</v>
      </c>
      <c r="M357">
        <v>14.057159</v>
      </c>
      <c r="N357">
        <v>15.950421</v>
      </c>
      <c r="O357">
        <v>12.325920999999999</v>
      </c>
      <c r="P357">
        <v>2.83</v>
      </c>
      <c r="Q357" t="s">
        <v>22</v>
      </c>
      <c r="R357" t="s">
        <v>22</v>
      </c>
      <c r="S357">
        <v>582</v>
      </c>
      <c r="T357">
        <v>510</v>
      </c>
      <c r="U357">
        <v>2.06</v>
      </c>
      <c r="V357">
        <v>5</v>
      </c>
      <c r="W357">
        <v>1.52</v>
      </c>
      <c r="X357">
        <v>430000000</v>
      </c>
    </row>
    <row r="358" spans="1:24" x14ac:dyDescent="0.25">
      <c r="A358" t="s">
        <v>379</v>
      </c>
      <c r="B358">
        <v>357</v>
      </c>
      <c r="C358">
        <v>0.54</v>
      </c>
      <c r="D358">
        <v>-1.82</v>
      </c>
      <c r="E358">
        <v>68010</v>
      </c>
      <c r="F358">
        <v>37101.599999999999</v>
      </c>
      <c r="G358">
        <v>442467507.42000002</v>
      </c>
      <c r="H358">
        <v>570.1</v>
      </c>
      <c r="I358">
        <v>0.51</v>
      </c>
      <c r="J358">
        <v>2.2398189999999998</v>
      </c>
      <c r="K358">
        <v>0.01</v>
      </c>
      <c r="L358">
        <v>0.01</v>
      </c>
      <c r="M358">
        <v>0.510239</v>
      </c>
      <c r="N358">
        <v>8.9954000000000006E-2</v>
      </c>
      <c r="O358">
        <v>3.8863560000000001</v>
      </c>
      <c r="P358">
        <v>0.51</v>
      </c>
      <c r="Q358" t="s">
        <v>22</v>
      </c>
      <c r="R358" t="s">
        <v>22</v>
      </c>
      <c r="S358">
        <v>1372</v>
      </c>
      <c r="T358">
        <v>1389</v>
      </c>
      <c r="U358">
        <v>-11.29</v>
      </c>
      <c r="V358">
        <v>4</v>
      </c>
      <c r="W358">
        <v>1.05</v>
      </c>
      <c r="X358">
        <v>819384273</v>
      </c>
    </row>
    <row r="359" spans="1:24" x14ac:dyDescent="0.25">
      <c r="A359" t="s">
        <v>380</v>
      </c>
      <c r="B359">
        <v>358</v>
      </c>
      <c r="C359">
        <v>280</v>
      </c>
      <c r="D359">
        <v>0</v>
      </c>
      <c r="E359">
        <v>101</v>
      </c>
      <c r="F359">
        <v>28289</v>
      </c>
      <c r="G359">
        <v>1680000000</v>
      </c>
      <c r="H359">
        <v>16.95</v>
      </c>
      <c r="I359">
        <v>2.02</v>
      </c>
      <c r="J359">
        <v>0.17442299999999999</v>
      </c>
      <c r="K359">
        <v>11.5</v>
      </c>
      <c r="L359">
        <v>8.18</v>
      </c>
      <c r="M359">
        <v>13.049336</v>
      </c>
      <c r="N359">
        <v>12.13593</v>
      </c>
      <c r="O359">
        <v>25.566977000000001</v>
      </c>
      <c r="P359">
        <v>4.1100000000000003</v>
      </c>
      <c r="Q359" t="s">
        <v>22</v>
      </c>
      <c r="R359" t="s">
        <v>22</v>
      </c>
      <c r="S359">
        <v>712</v>
      </c>
      <c r="T359">
        <v>602</v>
      </c>
      <c r="U359">
        <v>4.9400000000000004</v>
      </c>
      <c r="V359">
        <v>3</v>
      </c>
      <c r="W359">
        <v>138.62</v>
      </c>
      <c r="X359">
        <v>6000000</v>
      </c>
    </row>
    <row r="360" spans="1:24" x14ac:dyDescent="0.25">
      <c r="A360" t="s">
        <v>381</v>
      </c>
      <c r="B360">
        <v>359</v>
      </c>
      <c r="C360">
        <v>2024</v>
      </c>
      <c r="D360">
        <v>0</v>
      </c>
      <c r="E360">
        <v>0</v>
      </c>
      <c r="F360">
        <v>0</v>
      </c>
      <c r="G360">
        <v>145</v>
      </c>
      <c r="H360">
        <v>0</v>
      </c>
      <c r="I360">
        <v>9.298754885415633</v>
      </c>
      <c r="J360">
        <v>9.2987549999999999</v>
      </c>
      <c r="K360">
        <v>-0.35</v>
      </c>
      <c r="L360">
        <v>-0.35</v>
      </c>
      <c r="M360">
        <v>-6.0622309999999997</v>
      </c>
      <c r="N360">
        <v>-94.867739999999998</v>
      </c>
      <c r="O360">
        <v>-35.275176000000002</v>
      </c>
      <c r="P360">
        <v>0</v>
      </c>
      <c r="Q360" t="s">
        <v>22</v>
      </c>
      <c r="R360" t="s">
        <v>22</v>
      </c>
      <c r="W360">
        <v>0.55000000000000004</v>
      </c>
      <c r="X360">
        <v>2901474844</v>
      </c>
    </row>
    <row r="361" spans="1:24" x14ac:dyDescent="0.25">
      <c r="A361" t="s">
        <v>382</v>
      </c>
      <c r="B361">
        <v>360</v>
      </c>
      <c r="C361">
        <v>0.9</v>
      </c>
      <c r="D361">
        <v>-3.23</v>
      </c>
      <c r="E361">
        <v>342000</v>
      </c>
      <c r="F361">
        <v>312491</v>
      </c>
      <c r="G361">
        <v>439690943.69999999</v>
      </c>
      <c r="H361">
        <v>32.79</v>
      </c>
      <c r="I361">
        <v>0.84</v>
      </c>
      <c r="J361">
        <v>0.17391400000000001</v>
      </c>
      <c r="K361">
        <v>3.0700000000000002E-2</v>
      </c>
      <c r="L361">
        <v>0.01</v>
      </c>
      <c r="M361">
        <v>2.1665760000000001</v>
      </c>
      <c r="N361">
        <v>2.5735100000000002</v>
      </c>
      <c r="O361">
        <v>3.3719579999999998</v>
      </c>
      <c r="P361">
        <v>3.41</v>
      </c>
      <c r="Q361" t="s">
        <v>22</v>
      </c>
      <c r="R361" t="s">
        <v>22</v>
      </c>
      <c r="S361">
        <v>1028</v>
      </c>
      <c r="T361">
        <v>1013</v>
      </c>
      <c r="U361">
        <v>7.72</v>
      </c>
      <c r="V361">
        <v>3</v>
      </c>
      <c r="W361">
        <v>1.07</v>
      </c>
      <c r="X361">
        <v>488545493</v>
      </c>
    </row>
    <row r="362" spans="1:24" x14ac:dyDescent="0.25">
      <c r="A362" t="s">
        <v>383</v>
      </c>
      <c r="B362">
        <v>361</v>
      </c>
      <c r="C362">
        <v>283</v>
      </c>
      <c r="D362">
        <v>-1.05</v>
      </c>
      <c r="E362">
        <v>2608</v>
      </c>
      <c r="F362">
        <v>742188</v>
      </c>
      <c r="G362">
        <v>5603400000</v>
      </c>
      <c r="H362">
        <v>9.7799999999999994</v>
      </c>
      <c r="I362">
        <v>0.61</v>
      </c>
      <c r="J362">
        <v>0.162166</v>
      </c>
      <c r="K362">
        <v>16</v>
      </c>
      <c r="L362">
        <v>-2.4900000000000002</v>
      </c>
      <c r="M362">
        <v>5.2752590000000001</v>
      </c>
      <c r="N362">
        <v>5.9231980000000002</v>
      </c>
      <c r="O362">
        <v>-3.8797570000000001</v>
      </c>
      <c r="P362">
        <v>5.65</v>
      </c>
      <c r="Q362" t="s">
        <v>22</v>
      </c>
      <c r="R362" t="s">
        <v>22</v>
      </c>
      <c r="S362">
        <v>719</v>
      </c>
      <c r="T362">
        <v>658</v>
      </c>
      <c r="U362">
        <v>0.17</v>
      </c>
      <c r="W362">
        <v>465.35</v>
      </c>
      <c r="X362">
        <v>19800000</v>
      </c>
    </row>
    <row r="363" spans="1:24" x14ac:dyDescent="0.25">
      <c r="A363" t="s">
        <v>384</v>
      </c>
      <c r="B363">
        <v>362</v>
      </c>
      <c r="C363">
        <v>1.1000000000000001</v>
      </c>
      <c r="D363">
        <v>-5.98</v>
      </c>
      <c r="E363">
        <v>88015</v>
      </c>
      <c r="F363">
        <v>95686.9</v>
      </c>
      <c r="G363">
        <v>541244081.39999998</v>
      </c>
      <c r="H363">
        <v>570766485.84000003</v>
      </c>
      <c r="I363">
        <v>0.54</v>
      </c>
      <c r="J363">
        <v>1.798136</v>
      </c>
      <c r="K363">
        <v>0.04</v>
      </c>
      <c r="L363">
        <v>-0.09</v>
      </c>
      <c r="M363">
        <v>2.2847770000000001</v>
      </c>
      <c r="N363">
        <v>-0.22220999999999999</v>
      </c>
      <c r="O363">
        <v>-4.1211880000000001</v>
      </c>
      <c r="P363">
        <v>3.64</v>
      </c>
      <c r="Q363" t="s">
        <v>22</v>
      </c>
      <c r="R363" t="s">
        <v>22</v>
      </c>
      <c r="V363">
        <v>3</v>
      </c>
      <c r="W363">
        <v>2.0299999999999998</v>
      </c>
      <c r="X363">
        <v>492040074</v>
      </c>
    </row>
    <row r="364" spans="1:24" x14ac:dyDescent="0.25">
      <c r="A364" t="s">
        <v>385</v>
      </c>
      <c r="B364">
        <v>363</v>
      </c>
      <c r="C364">
        <v>4.4800000000000004</v>
      </c>
      <c r="D364">
        <v>0.9</v>
      </c>
      <c r="E364">
        <v>93036</v>
      </c>
      <c r="F364">
        <v>415370.4</v>
      </c>
      <c r="G364">
        <v>4143997495.6799998</v>
      </c>
      <c r="H364">
        <v>10.1</v>
      </c>
      <c r="I364">
        <v>0.43</v>
      </c>
      <c r="J364">
        <v>0.825824</v>
      </c>
      <c r="K364">
        <v>0.16</v>
      </c>
      <c r="L364">
        <v>0.18</v>
      </c>
      <c r="M364">
        <v>3.1038600000000001</v>
      </c>
      <c r="N364">
        <v>4.2919770000000002</v>
      </c>
      <c r="O364">
        <v>13.383091</v>
      </c>
      <c r="P364">
        <v>6.7</v>
      </c>
      <c r="Q364" t="s">
        <v>22</v>
      </c>
      <c r="R364" t="s">
        <v>22</v>
      </c>
      <c r="S364">
        <v>721</v>
      </c>
      <c r="T364">
        <v>739</v>
      </c>
      <c r="U364">
        <v>-0.39</v>
      </c>
      <c r="V364">
        <v>4</v>
      </c>
      <c r="W364">
        <v>10.41</v>
      </c>
      <c r="X364">
        <v>924999441</v>
      </c>
    </row>
    <row r="365" spans="1:24" x14ac:dyDescent="0.25">
      <c r="A365" t="s">
        <v>386</v>
      </c>
      <c r="B365">
        <v>364</v>
      </c>
      <c r="C365">
        <v>15.3</v>
      </c>
      <c r="D365">
        <v>0</v>
      </c>
      <c r="E365">
        <v>824989</v>
      </c>
      <c r="F365">
        <v>12627719.300000001</v>
      </c>
      <c r="G365">
        <v>8032495088.6999998</v>
      </c>
      <c r="H365">
        <v>9.4</v>
      </c>
      <c r="I365">
        <v>0.94</v>
      </c>
      <c r="J365">
        <v>0.374114</v>
      </c>
      <c r="K365">
        <v>0.5</v>
      </c>
      <c r="L365">
        <v>1.0900000000000001</v>
      </c>
      <c r="M365">
        <v>13.642863</v>
      </c>
      <c r="N365">
        <v>10.204110999999999</v>
      </c>
      <c r="O365">
        <v>11.928952000000001</v>
      </c>
      <c r="P365">
        <v>6.54</v>
      </c>
      <c r="Q365" t="s">
        <v>22</v>
      </c>
      <c r="R365" t="s">
        <v>22</v>
      </c>
      <c r="S365">
        <v>479</v>
      </c>
      <c r="T365">
        <v>294</v>
      </c>
      <c r="U365">
        <v>-1.86</v>
      </c>
      <c r="V365">
        <v>4</v>
      </c>
      <c r="W365">
        <v>16.329999999999998</v>
      </c>
      <c r="X365">
        <v>524999679</v>
      </c>
    </row>
    <row r="366" spans="1:24" x14ac:dyDescent="0.25">
      <c r="A366" t="s">
        <v>387</v>
      </c>
      <c r="B366">
        <v>365</v>
      </c>
      <c r="C366">
        <v>0.24</v>
      </c>
      <c r="D366">
        <v>0</v>
      </c>
      <c r="E366">
        <v>71318</v>
      </c>
      <c r="F366">
        <v>16414.12</v>
      </c>
      <c r="G366">
        <v>144000000</v>
      </c>
      <c r="H366">
        <v>144000000</v>
      </c>
      <c r="I366">
        <v>0.64</v>
      </c>
      <c r="J366">
        <v>1.1798059999999999</v>
      </c>
      <c r="K366">
        <v>1.0999999999999999E-2</v>
      </c>
      <c r="L366">
        <v>-0.01</v>
      </c>
      <c r="M366">
        <v>3.3019E-2</v>
      </c>
      <c r="N366">
        <v>-7.9424159999999997</v>
      </c>
      <c r="O366">
        <v>-3.5682010000000002</v>
      </c>
      <c r="P366">
        <v>0.64</v>
      </c>
      <c r="Q366" t="s">
        <v>22</v>
      </c>
      <c r="R366" t="s">
        <v>22</v>
      </c>
      <c r="V366">
        <v>3</v>
      </c>
      <c r="W366">
        <v>0.37</v>
      </c>
      <c r="X366">
        <v>600000000</v>
      </c>
    </row>
    <row r="367" spans="1:24" x14ac:dyDescent="0.25">
      <c r="A367" t="s">
        <v>388</v>
      </c>
      <c r="B367">
        <v>366</v>
      </c>
      <c r="C367">
        <v>2.46</v>
      </c>
      <c r="D367">
        <v>-0.81</v>
      </c>
      <c r="E367">
        <v>20410</v>
      </c>
      <c r="F367">
        <v>50577</v>
      </c>
      <c r="G367">
        <v>2268563417.46</v>
      </c>
      <c r="H367">
        <v>10.99</v>
      </c>
      <c r="I367">
        <v>0.79</v>
      </c>
      <c r="J367">
        <v>0.12642600000000001</v>
      </c>
      <c r="K367">
        <v>0.2</v>
      </c>
      <c r="L367">
        <v>0.08</v>
      </c>
      <c r="M367">
        <v>7.3962709999999996</v>
      </c>
      <c r="N367">
        <v>7.1909530000000004</v>
      </c>
      <c r="O367">
        <v>5.3776609999999998</v>
      </c>
      <c r="P367">
        <v>8.1300000000000008</v>
      </c>
      <c r="Q367" t="s">
        <v>22</v>
      </c>
      <c r="R367" t="s">
        <v>22</v>
      </c>
      <c r="S367">
        <v>723</v>
      </c>
      <c r="T367">
        <v>592</v>
      </c>
      <c r="U367">
        <v>0.18</v>
      </c>
      <c r="V367">
        <v>3</v>
      </c>
      <c r="W367">
        <v>3.12</v>
      </c>
      <c r="X367">
        <v>922180251</v>
      </c>
    </row>
    <row r="368" spans="1:24" x14ac:dyDescent="0.25">
      <c r="A368" t="s">
        <v>389</v>
      </c>
      <c r="B368">
        <v>367</v>
      </c>
      <c r="C368">
        <v>1.93</v>
      </c>
      <c r="D368">
        <v>0.52</v>
      </c>
      <c r="E368">
        <v>37703</v>
      </c>
      <c r="F368">
        <v>72697.8</v>
      </c>
      <c r="G368">
        <v>608070046</v>
      </c>
      <c r="H368">
        <v>64.89</v>
      </c>
      <c r="I368">
        <v>0.7</v>
      </c>
      <c r="J368">
        <v>1.3985570000000001</v>
      </c>
      <c r="K368">
        <v>0.06</v>
      </c>
      <c r="L368">
        <v>0.05</v>
      </c>
      <c r="M368">
        <v>1.8598440000000001</v>
      </c>
      <c r="N368">
        <v>1.07958</v>
      </c>
      <c r="O368">
        <v>1.319874</v>
      </c>
      <c r="P368">
        <v>3.11</v>
      </c>
      <c r="Q368" t="s">
        <v>22</v>
      </c>
      <c r="R368" t="s">
        <v>22</v>
      </c>
      <c r="S368">
        <v>1336</v>
      </c>
      <c r="T368">
        <v>1305</v>
      </c>
      <c r="U368">
        <v>-2.17</v>
      </c>
      <c r="V368">
        <v>4</v>
      </c>
      <c r="W368">
        <v>2.74</v>
      </c>
      <c r="X368">
        <v>315062200</v>
      </c>
    </row>
    <row r="369" spans="1:24" x14ac:dyDescent="0.25">
      <c r="A369" t="s">
        <v>390</v>
      </c>
      <c r="B369">
        <v>368</v>
      </c>
      <c r="C369">
        <v>3.68</v>
      </c>
      <c r="D369">
        <v>0.55000000000000004</v>
      </c>
      <c r="E369">
        <v>9515162</v>
      </c>
      <c r="F369">
        <v>34922684.920000002</v>
      </c>
      <c r="G369">
        <v>43974944487.68</v>
      </c>
      <c r="H369">
        <v>16.14</v>
      </c>
      <c r="I369">
        <v>0.85</v>
      </c>
      <c r="J369">
        <v>1.7046650000000001</v>
      </c>
      <c r="K369">
        <v>0.12</v>
      </c>
      <c r="L369">
        <v>0.1</v>
      </c>
      <c r="M369">
        <v>3.3656600000000001</v>
      </c>
      <c r="N369">
        <v>5.2749940000000004</v>
      </c>
      <c r="O369">
        <v>13.112962</v>
      </c>
      <c r="P369">
        <v>6.79</v>
      </c>
      <c r="Q369" t="s">
        <v>22</v>
      </c>
      <c r="R369" t="s">
        <v>22</v>
      </c>
      <c r="S369">
        <v>781</v>
      </c>
      <c r="T369">
        <v>866</v>
      </c>
      <c r="U369">
        <v>-1.03</v>
      </c>
      <c r="V369">
        <v>5</v>
      </c>
      <c r="W369">
        <v>4.3099999999999996</v>
      </c>
      <c r="X369">
        <v>11949713176</v>
      </c>
    </row>
    <row r="370" spans="1:24" x14ac:dyDescent="0.25">
      <c r="A370" t="s">
        <v>391</v>
      </c>
      <c r="B370">
        <v>369</v>
      </c>
      <c r="C370">
        <v>1.26</v>
      </c>
      <c r="D370">
        <v>0</v>
      </c>
      <c r="E370">
        <v>2273908</v>
      </c>
      <c r="F370">
        <v>2841779.83</v>
      </c>
      <c r="G370">
        <v>26691412348.439999</v>
      </c>
      <c r="H370">
        <v>8.08</v>
      </c>
      <c r="I370">
        <v>0.63</v>
      </c>
      <c r="J370">
        <v>9.0860620000000001</v>
      </c>
      <c r="K370">
        <v>0.05</v>
      </c>
      <c r="L370">
        <v>7.0000000000000007E-2</v>
      </c>
      <c r="M370">
        <v>2.6014900000000001</v>
      </c>
      <c r="N370">
        <v>8.0304339999999996</v>
      </c>
      <c r="O370">
        <v>19.631267999999999</v>
      </c>
      <c r="P370">
        <v>4.76</v>
      </c>
      <c r="Q370" t="s">
        <v>22</v>
      </c>
      <c r="R370" t="s">
        <v>22</v>
      </c>
      <c r="S370">
        <v>543</v>
      </c>
      <c r="T370">
        <v>858</v>
      </c>
      <c r="U370">
        <v>0.4</v>
      </c>
      <c r="V370">
        <v>5</v>
      </c>
      <c r="W370">
        <v>1.99</v>
      </c>
      <c r="X370">
        <v>21183660594</v>
      </c>
    </row>
    <row r="371" spans="1:24" x14ac:dyDescent="0.25">
      <c r="A371" t="s">
        <v>392</v>
      </c>
      <c r="B371">
        <v>370</v>
      </c>
      <c r="C371">
        <v>3.58</v>
      </c>
      <c r="D371">
        <v>0</v>
      </c>
      <c r="E371">
        <v>88100</v>
      </c>
      <c r="F371">
        <v>313984</v>
      </c>
      <c r="G371">
        <v>1371140000</v>
      </c>
      <c r="H371">
        <v>10.45</v>
      </c>
      <c r="I371">
        <v>0.96</v>
      </c>
      <c r="J371">
        <v>0.436502</v>
      </c>
      <c r="K371">
        <v>0.14000000000000001</v>
      </c>
      <c r="L371">
        <v>0.11</v>
      </c>
      <c r="M371">
        <v>10.413463999999999</v>
      </c>
      <c r="N371">
        <v>9.2641100000000005</v>
      </c>
      <c r="O371">
        <v>6.8731140000000002</v>
      </c>
      <c r="P371">
        <v>7.26</v>
      </c>
      <c r="Q371" t="s">
        <v>22</v>
      </c>
      <c r="R371" t="s">
        <v>22</v>
      </c>
      <c r="S371">
        <v>644</v>
      </c>
      <c r="T371">
        <v>484</v>
      </c>
      <c r="U371">
        <v>0.68</v>
      </c>
      <c r="V371">
        <v>4</v>
      </c>
      <c r="W371">
        <v>3.74</v>
      </c>
      <c r="X371">
        <v>383000000</v>
      </c>
    </row>
    <row r="372" spans="1:24" x14ac:dyDescent="0.25">
      <c r="A372" t="s">
        <v>393</v>
      </c>
      <c r="B372">
        <v>371</v>
      </c>
      <c r="C372">
        <v>0.74</v>
      </c>
      <c r="D372">
        <v>-1.33</v>
      </c>
      <c r="E372">
        <v>251700</v>
      </c>
      <c r="F372">
        <v>187526</v>
      </c>
      <c r="G372">
        <v>327769130.92000002</v>
      </c>
      <c r="H372">
        <v>42.2</v>
      </c>
      <c r="I372">
        <v>0.59</v>
      </c>
      <c r="J372">
        <v>1.0127170000000001</v>
      </c>
      <c r="K372">
        <v>0.18</v>
      </c>
      <c r="L372">
        <v>0.01</v>
      </c>
      <c r="M372">
        <v>4.6128770000000001</v>
      </c>
      <c r="N372">
        <v>1.407009</v>
      </c>
      <c r="O372">
        <v>3.0394619999999999</v>
      </c>
      <c r="P372">
        <v>0.57999999999999996</v>
      </c>
      <c r="Q372" t="s">
        <v>22</v>
      </c>
      <c r="R372" t="s">
        <v>22</v>
      </c>
      <c r="S372">
        <v>1282</v>
      </c>
      <c r="T372">
        <v>1338</v>
      </c>
      <c r="U372">
        <v>0.86</v>
      </c>
      <c r="V372">
        <v>5</v>
      </c>
      <c r="W372">
        <v>1.26</v>
      </c>
      <c r="X372">
        <v>442931258</v>
      </c>
    </row>
    <row r="373" spans="1:24" x14ac:dyDescent="0.25">
      <c r="A373" t="s">
        <v>394</v>
      </c>
      <c r="B373">
        <v>372</v>
      </c>
      <c r="C373">
        <v>1.77</v>
      </c>
      <c r="D373">
        <v>-1.67</v>
      </c>
      <c r="E373">
        <v>2344001</v>
      </c>
      <c r="F373">
        <v>4146981.78</v>
      </c>
      <c r="G373">
        <v>4008970208.4000001</v>
      </c>
      <c r="H373">
        <v>5.9</v>
      </c>
      <c r="I373">
        <v>0.61</v>
      </c>
      <c r="J373">
        <v>0.93840000000000001</v>
      </c>
      <c r="K373">
        <v>0.08</v>
      </c>
      <c r="L373">
        <v>0.16</v>
      </c>
      <c r="M373">
        <v>7.6125990000000003</v>
      </c>
      <c r="N373">
        <v>10.754737</v>
      </c>
      <c r="O373">
        <v>6.3359220000000001</v>
      </c>
      <c r="P373">
        <v>4.5199999999999996</v>
      </c>
      <c r="Q373" t="s">
        <v>22</v>
      </c>
      <c r="R373" t="s">
        <v>22</v>
      </c>
      <c r="S373">
        <v>358</v>
      </c>
      <c r="T373">
        <v>350</v>
      </c>
      <c r="U373">
        <v>0.02</v>
      </c>
      <c r="V373">
        <v>5</v>
      </c>
      <c r="W373">
        <v>2.91</v>
      </c>
      <c r="X373">
        <v>2264954920</v>
      </c>
    </row>
    <row r="374" spans="1:24" x14ac:dyDescent="0.25">
      <c r="A374" t="s">
        <v>395</v>
      </c>
      <c r="B374">
        <v>373</v>
      </c>
      <c r="C374">
        <v>3.6</v>
      </c>
      <c r="D374">
        <v>-0.55000000000000004</v>
      </c>
      <c r="E374">
        <v>48500</v>
      </c>
      <c r="F374">
        <v>174600</v>
      </c>
      <c r="G374">
        <v>2592000000</v>
      </c>
      <c r="H374">
        <v>13.57</v>
      </c>
      <c r="I374">
        <v>1.32</v>
      </c>
      <c r="J374">
        <v>0.38266</v>
      </c>
      <c r="K374">
        <v>0.05</v>
      </c>
      <c r="L374">
        <v>0.12</v>
      </c>
      <c r="M374">
        <v>8.1891090000000002</v>
      </c>
      <c r="N374">
        <v>9.8189270000000004</v>
      </c>
      <c r="O374">
        <v>8.3883980000000005</v>
      </c>
      <c r="P374">
        <v>5</v>
      </c>
      <c r="Q374" t="s">
        <v>22</v>
      </c>
      <c r="R374" t="s">
        <v>22</v>
      </c>
      <c r="S374">
        <v>654</v>
      </c>
      <c r="T374">
        <v>582</v>
      </c>
      <c r="U374">
        <v>0.81</v>
      </c>
      <c r="W374">
        <v>2.72</v>
      </c>
      <c r="X374">
        <v>720000000</v>
      </c>
    </row>
    <row r="375" spans="1:24" x14ac:dyDescent="0.25">
      <c r="A375" t="s">
        <v>396</v>
      </c>
      <c r="B375">
        <v>374</v>
      </c>
      <c r="C375">
        <v>1.58</v>
      </c>
      <c r="D375">
        <v>-0.63</v>
      </c>
      <c r="E375">
        <v>183623</v>
      </c>
      <c r="F375">
        <v>289570.84000000003</v>
      </c>
      <c r="G375">
        <v>2297634053.4400001</v>
      </c>
      <c r="H375">
        <v>2355802004.1599998</v>
      </c>
      <c r="I375">
        <v>0.19</v>
      </c>
      <c r="J375">
        <v>0.94483799999999996</v>
      </c>
      <c r="K375">
        <v>0.05</v>
      </c>
      <c r="L375">
        <v>-0.01</v>
      </c>
      <c r="M375">
        <v>1.2047049999999999</v>
      </c>
      <c r="N375">
        <v>-0.213814</v>
      </c>
      <c r="O375">
        <v>-0.40343299999999999</v>
      </c>
      <c r="P375">
        <v>6.45</v>
      </c>
      <c r="Q375" t="s">
        <v>22</v>
      </c>
      <c r="R375" t="s">
        <v>22</v>
      </c>
      <c r="S375">
        <v>1370</v>
      </c>
      <c r="T375">
        <v>1358</v>
      </c>
      <c r="U375">
        <v>-13.2</v>
      </c>
      <c r="V375">
        <v>4</v>
      </c>
      <c r="W375">
        <v>8.3800000000000008</v>
      </c>
      <c r="X375">
        <v>1454198768</v>
      </c>
    </row>
    <row r="376" spans="1:24" x14ac:dyDescent="0.25">
      <c r="A376" t="s">
        <v>397</v>
      </c>
      <c r="B376">
        <v>375</v>
      </c>
      <c r="C376">
        <v>2026</v>
      </c>
      <c r="D376">
        <v>0</v>
      </c>
      <c r="E376">
        <v>0</v>
      </c>
      <c r="F376">
        <v>0</v>
      </c>
      <c r="G376">
        <v>5417</v>
      </c>
      <c r="H376">
        <v>0</v>
      </c>
      <c r="I376">
        <v>0.96263437161883292</v>
      </c>
      <c r="J376">
        <v>0.96263399999999999</v>
      </c>
      <c r="K376">
        <v>1.45</v>
      </c>
      <c r="L376">
        <v>3.79</v>
      </c>
      <c r="M376">
        <v>7.9326429999999997</v>
      </c>
      <c r="N376">
        <v>12.117941</v>
      </c>
      <c r="O376">
        <v>13.517984</v>
      </c>
      <c r="P376">
        <v>0</v>
      </c>
      <c r="Q376" t="s">
        <v>22</v>
      </c>
      <c r="R376" t="s">
        <v>22</v>
      </c>
      <c r="S376">
        <v>285</v>
      </c>
      <c r="T376">
        <v>334</v>
      </c>
      <c r="V376">
        <v>5</v>
      </c>
      <c r="W376">
        <v>110.3</v>
      </c>
      <c r="X376">
        <v>166682701</v>
      </c>
    </row>
    <row r="377" spans="1:24" x14ac:dyDescent="0.25">
      <c r="A377" t="s">
        <v>398</v>
      </c>
      <c r="B377">
        <v>376</v>
      </c>
      <c r="C377">
        <v>4.62</v>
      </c>
      <c r="D377">
        <v>-0.43</v>
      </c>
      <c r="E377">
        <v>16133</v>
      </c>
      <c r="F377">
        <v>74685.320000000007</v>
      </c>
      <c r="G377">
        <v>3788400000</v>
      </c>
      <c r="H377">
        <v>7.38</v>
      </c>
      <c r="I377">
        <v>0.68</v>
      </c>
      <c r="J377">
        <v>0.57340999999999998</v>
      </c>
      <c r="K377">
        <v>0.22</v>
      </c>
      <c r="L377">
        <v>0.26</v>
      </c>
      <c r="M377">
        <v>8.2548840000000006</v>
      </c>
      <c r="N377">
        <v>9.4952539999999992</v>
      </c>
      <c r="O377">
        <v>3.5432429999999999</v>
      </c>
      <c r="P377">
        <v>4.76</v>
      </c>
      <c r="Q377" t="s">
        <v>22</v>
      </c>
      <c r="R377" t="s">
        <v>22</v>
      </c>
      <c r="S377">
        <v>413</v>
      </c>
      <c r="T377">
        <v>352</v>
      </c>
      <c r="U377">
        <v>-29.74</v>
      </c>
      <c r="V377">
        <v>5</v>
      </c>
      <c r="W377">
        <v>6.78</v>
      </c>
      <c r="X377">
        <v>820000000</v>
      </c>
    </row>
    <row r="378" spans="1:24" x14ac:dyDescent="0.25">
      <c r="A378" t="s">
        <v>399</v>
      </c>
      <c r="B378">
        <v>377</v>
      </c>
      <c r="C378">
        <v>7.6</v>
      </c>
      <c r="D378">
        <v>-1.3</v>
      </c>
      <c r="E378">
        <v>105104</v>
      </c>
      <c r="F378">
        <v>796111</v>
      </c>
      <c r="G378">
        <v>1520000000</v>
      </c>
      <c r="H378">
        <v>74.08</v>
      </c>
      <c r="I378">
        <v>4.29</v>
      </c>
      <c r="J378">
        <v>0.270677</v>
      </c>
      <c r="K378">
        <v>0.15</v>
      </c>
      <c r="L378">
        <v>-0.01</v>
      </c>
      <c r="M378">
        <v>7.6608429999999998</v>
      </c>
      <c r="N378">
        <v>5.6535869999999999</v>
      </c>
      <c r="O378">
        <v>-1.291666</v>
      </c>
      <c r="P378">
        <v>1.99</v>
      </c>
      <c r="Q378" t="s">
        <v>22</v>
      </c>
      <c r="R378" t="s">
        <v>22</v>
      </c>
      <c r="S378">
        <v>1154</v>
      </c>
      <c r="T378">
        <v>929</v>
      </c>
      <c r="U378">
        <v>-7.64</v>
      </c>
      <c r="W378">
        <v>1.77</v>
      </c>
      <c r="X378">
        <v>200000000</v>
      </c>
    </row>
    <row r="379" spans="1:24" x14ac:dyDescent="0.25">
      <c r="A379" t="s">
        <v>400</v>
      </c>
      <c r="B379">
        <v>378</v>
      </c>
      <c r="C379">
        <v>2.68</v>
      </c>
      <c r="D379">
        <v>1.52</v>
      </c>
      <c r="E379">
        <v>1797100</v>
      </c>
      <c r="F379">
        <v>4856664</v>
      </c>
      <c r="G379">
        <v>639448000</v>
      </c>
      <c r="H379">
        <v>644220000</v>
      </c>
      <c r="I379">
        <v>1.35</v>
      </c>
      <c r="J379">
        <v>0.78030299999999997</v>
      </c>
      <c r="K379">
        <v>0.08</v>
      </c>
      <c r="L379">
        <v>0.08</v>
      </c>
      <c r="M379">
        <v>-2.4141029999999999</v>
      </c>
      <c r="N379">
        <v>-5.9322819999999998</v>
      </c>
      <c r="O379">
        <v>6.5051449999999997</v>
      </c>
      <c r="P379">
        <v>1.36</v>
      </c>
      <c r="Q379" t="s">
        <v>22</v>
      </c>
      <c r="R379" t="s">
        <v>22</v>
      </c>
      <c r="W379">
        <v>1.98</v>
      </c>
      <c r="X379">
        <v>238600000</v>
      </c>
    </row>
    <row r="380" spans="1:24" x14ac:dyDescent="0.25">
      <c r="A380" t="s">
        <v>401</v>
      </c>
      <c r="B380">
        <v>379</v>
      </c>
      <c r="C380">
        <v>21.1</v>
      </c>
      <c r="D380">
        <v>-1.86</v>
      </c>
      <c r="E380">
        <v>1509505</v>
      </c>
      <c r="F380">
        <v>32030821.600000001</v>
      </c>
      <c r="G380">
        <v>19430527910</v>
      </c>
      <c r="H380">
        <v>26.72</v>
      </c>
      <c r="I380">
        <v>1.48</v>
      </c>
      <c r="J380">
        <v>0.41510999999999998</v>
      </c>
      <c r="K380">
        <v>0.4</v>
      </c>
      <c r="L380">
        <v>0.43</v>
      </c>
      <c r="M380">
        <v>4.7840009999999999</v>
      </c>
      <c r="N380">
        <v>5.5137650000000002</v>
      </c>
      <c r="O380">
        <v>4.4517499999999997</v>
      </c>
      <c r="P380">
        <v>4.74</v>
      </c>
      <c r="Q380" t="s">
        <v>22</v>
      </c>
      <c r="R380" t="s">
        <v>22</v>
      </c>
      <c r="S380">
        <v>1080</v>
      </c>
      <c r="T380">
        <v>1026</v>
      </c>
      <c r="U380">
        <v>0.11</v>
      </c>
      <c r="V380">
        <v>5</v>
      </c>
      <c r="W380">
        <v>14.21</v>
      </c>
      <c r="X380">
        <v>920878100</v>
      </c>
    </row>
    <row r="381" spans="1:24" x14ac:dyDescent="0.25">
      <c r="A381" t="s">
        <v>402</v>
      </c>
      <c r="B381">
        <v>380</v>
      </c>
      <c r="C381">
        <v>19</v>
      </c>
      <c r="D381">
        <v>0</v>
      </c>
      <c r="E381">
        <v>200</v>
      </c>
      <c r="F381">
        <v>3800</v>
      </c>
      <c r="G381">
        <v>3040000000</v>
      </c>
      <c r="H381">
        <v>18.63</v>
      </c>
      <c r="I381">
        <v>1.36</v>
      </c>
      <c r="J381">
        <v>2.2605080000000002</v>
      </c>
      <c r="K381">
        <v>0.4</v>
      </c>
      <c r="L381">
        <v>0.45</v>
      </c>
      <c r="M381">
        <v>5.0516389999999998</v>
      </c>
      <c r="N381">
        <v>7.4440730000000004</v>
      </c>
      <c r="O381">
        <v>2.9154789999999999</v>
      </c>
      <c r="P381">
        <v>2.11</v>
      </c>
      <c r="Q381" t="s">
        <v>22</v>
      </c>
      <c r="R381" t="s">
        <v>22</v>
      </c>
      <c r="S381">
        <v>941</v>
      </c>
      <c r="T381">
        <v>991</v>
      </c>
      <c r="U381">
        <v>6.4</v>
      </c>
      <c r="V381">
        <v>4</v>
      </c>
      <c r="W381">
        <v>13.97</v>
      </c>
      <c r="X381">
        <v>160000000</v>
      </c>
    </row>
    <row r="382" spans="1:24" x14ac:dyDescent="0.25">
      <c r="A382" t="s">
        <v>403</v>
      </c>
      <c r="B382">
        <v>381</v>
      </c>
      <c r="C382">
        <v>1.07</v>
      </c>
      <c r="D382">
        <v>-0.93</v>
      </c>
      <c r="E382">
        <v>245700</v>
      </c>
      <c r="F382">
        <v>256552.61</v>
      </c>
      <c r="G382">
        <v>864355459.87</v>
      </c>
      <c r="H382">
        <v>920902078.74000001</v>
      </c>
      <c r="I382">
        <v>1.07</v>
      </c>
      <c r="J382">
        <v>0.55880200000000002</v>
      </c>
      <c r="K382">
        <v>7.0000000000000007E-2</v>
      </c>
      <c r="L382">
        <v>7.0000000000000007E-2</v>
      </c>
      <c r="M382">
        <v>-9.0861450000000001</v>
      </c>
      <c r="N382">
        <v>-18.201753</v>
      </c>
      <c r="O382">
        <v>6.9092469999999997</v>
      </c>
      <c r="P382">
        <v>1.1399999999999999</v>
      </c>
      <c r="Q382" t="s">
        <v>22</v>
      </c>
      <c r="R382" t="s">
        <v>22</v>
      </c>
      <c r="W382">
        <v>3.04</v>
      </c>
      <c r="X382">
        <v>807808841</v>
      </c>
    </row>
    <row r="383" spans="1:24" x14ac:dyDescent="0.25">
      <c r="A383" t="s">
        <v>404</v>
      </c>
      <c r="B383">
        <v>382</v>
      </c>
      <c r="C383">
        <v>19.100000000000001</v>
      </c>
      <c r="D383">
        <v>-1.04</v>
      </c>
      <c r="E383">
        <v>245507</v>
      </c>
      <c r="F383">
        <v>4714914</v>
      </c>
      <c r="G383">
        <v>2406600000</v>
      </c>
      <c r="H383">
        <v>15.26</v>
      </c>
      <c r="I383">
        <v>3.22</v>
      </c>
      <c r="J383">
        <v>1.654182</v>
      </c>
      <c r="K383">
        <v>0.46</v>
      </c>
      <c r="L383">
        <v>0.59</v>
      </c>
      <c r="M383">
        <v>14.03105</v>
      </c>
      <c r="N383">
        <v>22.109383000000001</v>
      </c>
      <c r="O383">
        <v>6.460413</v>
      </c>
      <c r="P383">
        <v>3.72</v>
      </c>
      <c r="Q383" t="s">
        <v>22</v>
      </c>
      <c r="R383" t="s">
        <v>22</v>
      </c>
      <c r="S383">
        <v>540</v>
      </c>
      <c r="T383">
        <v>545</v>
      </c>
      <c r="U383">
        <v>0.35</v>
      </c>
      <c r="V383">
        <v>4</v>
      </c>
      <c r="W383">
        <v>5.93</v>
      </c>
      <c r="X383">
        <v>126000000</v>
      </c>
    </row>
    <row r="384" spans="1:24" x14ac:dyDescent="0.25">
      <c r="A384" t="s">
        <v>405</v>
      </c>
      <c r="B384">
        <v>383</v>
      </c>
      <c r="C384">
        <v>7.2</v>
      </c>
      <c r="D384">
        <v>0</v>
      </c>
      <c r="E384">
        <v>693845</v>
      </c>
      <c r="F384">
        <v>4970392</v>
      </c>
      <c r="G384">
        <v>5457011774.3999996</v>
      </c>
      <c r="H384">
        <v>7.91</v>
      </c>
      <c r="I384">
        <v>1.1000000000000001</v>
      </c>
      <c r="J384">
        <v>1.71469</v>
      </c>
      <c r="K384">
        <v>0.25</v>
      </c>
      <c r="L384">
        <v>0.21</v>
      </c>
      <c r="M384">
        <v>7.4950549999999998</v>
      </c>
      <c r="N384">
        <v>13.526354</v>
      </c>
      <c r="O384">
        <v>4.5460779999999996</v>
      </c>
      <c r="P384">
        <v>3.67</v>
      </c>
      <c r="Q384" t="s">
        <v>22</v>
      </c>
      <c r="R384" t="s">
        <v>22</v>
      </c>
      <c r="S384">
        <v>318</v>
      </c>
      <c r="T384">
        <v>398</v>
      </c>
      <c r="U384">
        <v>0.17</v>
      </c>
      <c r="V384">
        <v>5</v>
      </c>
      <c r="W384">
        <v>6.56</v>
      </c>
      <c r="X384">
        <v>757918302</v>
      </c>
    </row>
    <row r="385" spans="1:24" x14ac:dyDescent="0.25">
      <c r="A385" t="s">
        <v>406</v>
      </c>
      <c r="B385">
        <v>384</v>
      </c>
      <c r="C385">
        <v>4.0199999999999996</v>
      </c>
      <c r="D385">
        <v>0.5</v>
      </c>
      <c r="E385">
        <v>181701</v>
      </c>
      <c r="F385">
        <v>727354</v>
      </c>
      <c r="G385">
        <v>2193839725.5</v>
      </c>
      <c r="H385">
        <v>26.54</v>
      </c>
      <c r="I385">
        <v>0.87</v>
      </c>
      <c r="J385">
        <v>1.0756110000000001</v>
      </c>
      <c r="K385">
        <v>0.1</v>
      </c>
      <c r="L385">
        <v>7.0000000000000007E-2</v>
      </c>
      <c r="M385">
        <v>3.9886349999999999</v>
      </c>
      <c r="N385">
        <v>3.3410869999999999</v>
      </c>
      <c r="O385">
        <v>0.88953000000000004</v>
      </c>
      <c r="P385">
        <v>0.87</v>
      </c>
      <c r="Q385" t="s">
        <v>22</v>
      </c>
      <c r="R385" t="s">
        <v>22</v>
      </c>
      <c r="S385">
        <v>922</v>
      </c>
      <c r="T385">
        <v>857</v>
      </c>
      <c r="U385">
        <v>0.31</v>
      </c>
      <c r="V385">
        <v>5</v>
      </c>
      <c r="W385">
        <v>4.5999999999999996</v>
      </c>
      <c r="X385">
        <v>545731275</v>
      </c>
    </row>
    <row r="386" spans="1:24" x14ac:dyDescent="0.25">
      <c r="A386" t="s">
        <v>407</v>
      </c>
      <c r="B386">
        <v>385</v>
      </c>
      <c r="C386">
        <v>2026</v>
      </c>
      <c r="D386">
        <v>-12.083333333333329</v>
      </c>
      <c r="E386">
        <v>1</v>
      </c>
      <c r="F386">
        <v>20.9</v>
      </c>
      <c r="G386">
        <v>567707738</v>
      </c>
      <c r="H386">
        <v>14.29</v>
      </c>
      <c r="I386">
        <v>1.1599999999999999</v>
      </c>
      <c r="J386">
        <v>0.26966099999999998</v>
      </c>
      <c r="K386">
        <v>0.25</v>
      </c>
      <c r="L386">
        <v>0.66</v>
      </c>
      <c r="M386">
        <v>8.635783</v>
      </c>
      <c r="N386">
        <v>8.4184269999999994</v>
      </c>
      <c r="O386">
        <v>10.457967</v>
      </c>
      <c r="P386">
        <v>1.18</v>
      </c>
      <c r="Q386" t="s">
        <v>22</v>
      </c>
      <c r="R386" t="s">
        <v>22</v>
      </c>
      <c r="S386">
        <v>787</v>
      </c>
      <c r="T386">
        <v>661</v>
      </c>
      <c r="U386">
        <v>-0.34</v>
      </c>
      <c r="W386">
        <v>18.12</v>
      </c>
      <c r="X386">
        <v>26905580</v>
      </c>
    </row>
    <row r="387" spans="1:24" x14ac:dyDescent="0.25">
      <c r="A387" t="s">
        <v>408</v>
      </c>
      <c r="B387">
        <v>386</v>
      </c>
      <c r="C387">
        <v>1.77</v>
      </c>
      <c r="D387">
        <v>-0.56000000000000005</v>
      </c>
      <c r="E387">
        <v>1217900</v>
      </c>
      <c r="F387">
        <v>2177070</v>
      </c>
      <c r="G387">
        <v>531000000</v>
      </c>
      <c r="H387">
        <v>10.42</v>
      </c>
      <c r="I387">
        <v>1.35</v>
      </c>
      <c r="J387">
        <v>1.367837</v>
      </c>
      <c r="K387">
        <v>0.14000000000000001</v>
      </c>
      <c r="L387">
        <v>0.11</v>
      </c>
      <c r="M387">
        <v>8.9976459999999996</v>
      </c>
      <c r="N387">
        <v>15.269952</v>
      </c>
      <c r="O387">
        <v>6.2942530000000003</v>
      </c>
      <c r="P387">
        <v>7.91</v>
      </c>
      <c r="Q387" t="s">
        <v>22</v>
      </c>
      <c r="R387" t="s">
        <v>22</v>
      </c>
      <c r="U387">
        <v>-0.37</v>
      </c>
      <c r="W387">
        <v>1.31</v>
      </c>
      <c r="X387">
        <v>300000000</v>
      </c>
    </row>
    <row r="388" spans="1:24" x14ac:dyDescent="0.25">
      <c r="A388" t="s">
        <v>409</v>
      </c>
      <c r="B388">
        <v>387</v>
      </c>
      <c r="C388">
        <v>9.1999999999999993</v>
      </c>
      <c r="D388">
        <v>0</v>
      </c>
      <c r="E388">
        <v>162745</v>
      </c>
      <c r="F388">
        <v>1490424</v>
      </c>
      <c r="G388">
        <v>2775747971.1999998</v>
      </c>
      <c r="H388">
        <v>12.89</v>
      </c>
      <c r="I388">
        <v>0.8</v>
      </c>
      <c r="J388">
        <v>0.22592100000000001</v>
      </c>
      <c r="K388">
        <v>0.4</v>
      </c>
      <c r="L388">
        <v>0.42</v>
      </c>
      <c r="M388">
        <v>6.8231780000000004</v>
      </c>
      <c r="N388">
        <v>6.3163039999999997</v>
      </c>
      <c r="O388">
        <v>13.916259</v>
      </c>
      <c r="P388">
        <v>4.3499999999999996</v>
      </c>
      <c r="Q388" t="s">
        <v>22</v>
      </c>
      <c r="R388" t="s">
        <v>22</v>
      </c>
      <c r="S388">
        <v>885</v>
      </c>
      <c r="T388">
        <v>750</v>
      </c>
      <c r="U388">
        <v>-57.74</v>
      </c>
      <c r="W388">
        <v>11.46</v>
      </c>
      <c r="X388">
        <v>301711736</v>
      </c>
    </row>
    <row r="389" spans="1:24" x14ac:dyDescent="0.25">
      <c r="A389" t="s">
        <v>410</v>
      </c>
      <c r="B389">
        <v>388</v>
      </c>
      <c r="C389">
        <v>0.8</v>
      </c>
      <c r="D389">
        <v>1.27</v>
      </c>
      <c r="E389">
        <v>4</v>
      </c>
      <c r="F389">
        <v>2.7</v>
      </c>
      <c r="G389">
        <v>625302986.39999998</v>
      </c>
      <c r="H389">
        <v>633119273.73000002</v>
      </c>
      <c r="I389">
        <v>0.52</v>
      </c>
      <c r="J389">
        <v>0.13597300000000001</v>
      </c>
      <c r="K389">
        <v>-0.03</v>
      </c>
      <c r="L389">
        <v>-0.03</v>
      </c>
      <c r="M389">
        <v>-2.4738150000000001</v>
      </c>
      <c r="N389">
        <v>-3.6794790000000002</v>
      </c>
      <c r="O389">
        <v>-17.730169</v>
      </c>
      <c r="P389">
        <v>0.52</v>
      </c>
      <c r="Q389" t="s">
        <v>22</v>
      </c>
      <c r="R389" t="s">
        <v>22</v>
      </c>
      <c r="V389">
        <v>4</v>
      </c>
      <c r="W389">
        <v>1.55</v>
      </c>
      <c r="X389">
        <v>781628733</v>
      </c>
    </row>
    <row r="390" spans="1:24" x14ac:dyDescent="0.25">
      <c r="A390" t="s">
        <v>411</v>
      </c>
      <c r="B390">
        <v>389</v>
      </c>
      <c r="C390">
        <v>3.16</v>
      </c>
      <c r="D390">
        <v>2.6</v>
      </c>
      <c r="E390">
        <v>21201</v>
      </c>
      <c r="F390">
        <v>70371.320000000007</v>
      </c>
      <c r="G390">
        <v>585703472</v>
      </c>
      <c r="H390">
        <v>611652360</v>
      </c>
      <c r="I390">
        <v>0.46</v>
      </c>
      <c r="J390">
        <v>0.22442500000000001</v>
      </c>
      <c r="K390">
        <v>0.1</v>
      </c>
      <c r="L390">
        <v>-0.12</v>
      </c>
      <c r="M390">
        <v>-4.2017329999999999</v>
      </c>
      <c r="N390">
        <v>-6.306114</v>
      </c>
      <c r="O390">
        <v>-9.4901169999999997</v>
      </c>
      <c r="P390">
        <v>3.16</v>
      </c>
      <c r="Q390" t="s">
        <v>22</v>
      </c>
      <c r="R390" t="s">
        <v>22</v>
      </c>
      <c r="W390">
        <v>6.85</v>
      </c>
      <c r="X390">
        <v>185349200</v>
      </c>
    </row>
    <row r="391" spans="1:24" x14ac:dyDescent="0.25">
      <c r="A391" t="s">
        <v>412</v>
      </c>
      <c r="B391">
        <v>390</v>
      </c>
      <c r="C391">
        <v>2.04</v>
      </c>
      <c r="D391">
        <v>0</v>
      </c>
      <c r="E391">
        <v>94600</v>
      </c>
      <c r="F391">
        <v>193594</v>
      </c>
      <c r="G391">
        <v>405506273.39999998</v>
      </c>
      <c r="H391">
        <v>6.84</v>
      </c>
      <c r="I391">
        <v>0.76</v>
      </c>
      <c r="J391">
        <v>2.0281359999999999</v>
      </c>
      <c r="K391">
        <v>0.1</v>
      </c>
      <c r="L391">
        <v>0.19</v>
      </c>
      <c r="M391">
        <v>6.1344310000000002</v>
      </c>
      <c r="N391">
        <v>11.49179</v>
      </c>
      <c r="O391">
        <v>5.0165949999999997</v>
      </c>
      <c r="P391">
        <v>4.9000000000000004</v>
      </c>
      <c r="Q391" t="s">
        <v>22</v>
      </c>
      <c r="R391" t="s">
        <v>22</v>
      </c>
      <c r="S391">
        <v>535</v>
      </c>
      <c r="T391">
        <v>623</v>
      </c>
      <c r="U391">
        <v>-0.1</v>
      </c>
      <c r="V391">
        <v>4</v>
      </c>
      <c r="W391">
        <v>2.69</v>
      </c>
      <c r="X391">
        <v>198777585</v>
      </c>
    </row>
    <row r="392" spans="1:24" x14ac:dyDescent="0.25">
      <c r="A392" t="s">
        <v>413</v>
      </c>
      <c r="B392">
        <v>391</v>
      </c>
      <c r="C392">
        <v>22.3</v>
      </c>
      <c r="D392">
        <v>-0.45</v>
      </c>
      <c r="E392">
        <v>990087</v>
      </c>
      <c r="F392">
        <v>22135977.600000001</v>
      </c>
      <c r="G392">
        <v>44189649359.800003</v>
      </c>
      <c r="H392">
        <v>9.44</v>
      </c>
      <c r="I392">
        <v>1.46</v>
      </c>
      <c r="J392">
        <v>1.1623779999999999</v>
      </c>
      <c r="K392">
        <v>0.6</v>
      </c>
      <c r="L392">
        <v>1.55</v>
      </c>
      <c r="M392">
        <v>9.1109030000000004</v>
      </c>
      <c r="N392">
        <v>17.065928</v>
      </c>
      <c r="O392">
        <v>40.631062999999997</v>
      </c>
      <c r="P392">
        <v>4.93</v>
      </c>
      <c r="Q392" t="s">
        <v>22</v>
      </c>
      <c r="R392" t="s">
        <v>22</v>
      </c>
      <c r="S392">
        <v>386</v>
      </c>
      <c r="T392">
        <v>482</v>
      </c>
      <c r="U392">
        <v>0.11</v>
      </c>
      <c r="V392">
        <v>5</v>
      </c>
      <c r="W392">
        <v>15.27</v>
      </c>
      <c r="X392">
        <v>1981598626</v>
      </c>
    </row>
    <row r="393" spans="1:24" x14ac:dyDescent="0.25">
      <c r="A393" t="s">
        <v>414</v>
      </c>
      <c r="B393">
        <v>392</v>
      </c>
      <c r="C393">
        <v>11.8</v>
      </c>
      <c r="D393">
        <v>0</v>
      </c>
      <c r="E393">
        <v>776168</v>
      </c>
      <c r="F393">
        <v>9169034.4000000004</v>
      </c>
      <c r="G393">
        <v>9345600000</v>
      </c>
      <c r="H393">
        <v>12.8</v>
      </c>
      <c r="I393">
        <v>2.61</v>
      </c>
      <c r="J393">
        <v>0.53054599999999996</v>
      </c>
      <c r="K393">
        <v>0.52</v>
      </c>
      <c r="L393">
        <v>0.75</v>
      </c>
      <c r="M393">
        <v>17.256508</v>
      </c>
      <c r="N393">
        <v>20.337410999999999</v>
      </c>
      <c r="O393">
        <v>16.888824</v>
      </c>
      <c r="P393">
        <v>8.14</v>
      </c>
      <c r="Q393" t="s">
        <v>22</v>
      </c>
      <c r="R393" t="s">
        <v>22</v>
      </c>
      <c r="S393">
        <v>451</v>
      </c>
      <c r="T393">
        <v>418</v>
      </c>
      <c r="U393">
        <v>0.86</v>
      </c>
      <c r="V393">
        <v>5</v>
      </c>
      <c r="W393">
        <v>4.51</v>
      </c>
      <c r="X393">
        <v>792000000</v>
      </c>
    </row>
    <row r="394" spans="1:24" x14ac:dyDescent="0.25">
      <c r="A394" t="s">
        <v>415</v>
      </c>
      <c r="B394">
        <v>393</v>
      </c>
      <c r="C394">
        <v>1.27</v>
      </c>
      <c r="D394">
        <v>-0.78</v>
      </c>
      <c r="E394">
        <v>18600</v>
      </c>
      <c r="F394">
        <v>23793</v>
      </c>
      <c r="G394">
        <v>292100000</v>
      </c>
      <c r="H394">
        <v>22.95</v>
      </c>
      <c r="I394">
        <v>0.94</v>
      </c>
      <c r="J394">
        <v>0.409246</v>
      </c>
      <c r="K394">
        <v>4.3999999999999997E-2</v>
      </c>
      <c r="L394">
        <v>0.02</v>
      </c>
      <c r="M394">
        <v>4.72227</v>
      </c>
      <c r="N394">
        <v>4.1322289999999997</v>
      </c>
      <c r="O394">
        <v>1.0917619999999999</v>
      </c>
      <c r="P394">
        <v>3.46</v>
      </c>
      <c r="Q394" t="s">
        <v>22</v>
      </c>
      <c r="R394" t="s">
        <v>22</v>
      </c>
      <c r="S394">
        <v>1128</v>
      </c>
      <c r="T394">
        <v>1034</v>
      </c>
      <c r="U394">
        <v>-1.68</v>
      </c>
      <c r="V394">
        <v>3</v>
      </c>
      <c r="W394">
        <v>1.34</v>
      </c>
      <c r="X394">
        <v>230000000</v>
      </c>
    </row>
    <row r="395" spans="1:24" x14ac:dyDescent="0.25">
      <c r="A395" t="s">
        <v>416</v>
      </c>
      <c r="B395">
        <v>394</v>
      </c>
      <c r="C395">
        <v>5.75</v>
      </c>
      <c r="D395">
        <v>-0.86</v>
      </c>
      <c r="E395">
        <v>111000</v>
      </c>
      <c r="F395">
        <v>634045</v>
      </c>
      <c r="G395">
        <v>3950820457.5</v>
      </c>
      <c r="H395">
        <v>3950820457.5</v>
      </c>
      <c r="I395">
        <v>0.6</v>
      </c>
      <c r="J395">
        <v>0.55711699999999997</v>
      </c>
      <c r="K395">
        <v>-0.19</v>
      </c>
      <c r="L395">
        <v>-0.19</v>
      </c>
      <c r="M395">
        <v>-2.5803020000000001</v>
      </c>
      <c r="N395">
        <v>-4.3595160000000002</v>
      </c>
      <c r="O395">
        <v>-27.107904000000001</v>
      </c>
      <c r="P395">
        <v>0.6</v>
      </c>
      <c r="Q395" t="s">
        <v>22</v>
      </c>
      <c r="R395" t="s">
        <v>22</v>
      </c>
      <c r="V395">
        <v>4</v>
      </c>
      <c r="W395">
        <v>9.6199999999999992</v>
      </c>
      <c r="X395">
        <v>687099210</v>
      </c>
    </row>
    <row r="396" spans="1:24" x14ac:dyDescent="0.25">
      <c r="A396" t="s">
        <v>417</v>
      </c>
      <c r="B396">
        <v>395</v>
      </c>
      <c r="C396">
        <v>7.85</v>
      </c>
      <c r="D396">
        <v>0.64</v>
      </c>
      <c r="E396">
        <v>138751</v>
      </c>
      <c r="F396">
        <v>1084420.3500000001</v>
      </c>
      <c r="G396">
        <v>3744450000</v>
      </c>
      <c r="H396">
        <v>4.99</v>
      </c>
      <c r="I396">
        <v>0.93</v>
      </c>
      <c r="J396">
        <v>0.38218000000000002</v>
      </c>
      <c r="K396">
        <v>0.7</v>
      </c>
      <c r="L396">
        <v>0.53</v>
      </c>
      <c r="M396">
        <v>13.173486</v>
      </c>
      <c r="N396">
        <v>18.735624999999999</v>
      </c>
      <c r="O396">
        <v>12.102969999999999</v>
      </c>
      <c r="P396">
        <v>12.1</v>
      </c>
      <c r="Q396" t="s">
        <v>22</v>
      </c>
      <c r="R396" t="s">
        <v>22</v>
      </c>
      <c r="S396">
        <v>144</v>
      </c>
      <c r="T396">
        <v>143</v>
      </c>
      <c r="U396">
        <v>7.0000000000000007E-2</v>
      </c>
      <c r="W396">
        <v>8.42</v>
      </c>
      <c r="X396">
        <v>477000000</v>
      </c>
    </row>
    <row r="397" spans="1:24" x14ac:dyDescent="0.25">
      <c r="A397" t="s">
        <v>418</v>
      </c>
      <c r="B397">
        <v>396</v>
      </c>
      <c r="C397">
        <v>3.64</v>
      </c>
      <c r="D397">
        <v>0</v>
      </c>
      <c r="E397">
        <v>804503</v>
      </c>
      <c r="F397">
        <v>2941198.9</v>
      </c>
      <c r="G397">
        <v>1731159036.8800001</v>
      </c>
      <c r="H397">
        <v>4.6399999999999997</v>
      </c>
      <c r="I397">
        <v>0.34</v>
      </c>
      <c r="J397">
        <v>8.2508999999999999E-2</v>
      </c>
      <c r="K397">
        <v>0.37</v>
      </c>
      <c r="L397">
        <v>0.37</v>
      </c>
      <c r="M397">
        <v>7.129588</v>
      </c>
      <c r="N397">
        <v>8.7604550000000003</v>
      </c>
      <c r="O397">
        <v>160.63478599999999</v>
      </c>
      <c r="P397">
        <v>0.32</v>
      </c>
      <c r="Q397" t="s">
        <v>22</v>
      </c>
      <c r="R397" t="s">
        <v>22</v>
      </c>
      <c r="S397">
        <v>393</v>
      </c>
      <c r="T397">
        <v>353</v>
      </c>
      <c r="U397">
        <v>0.12</v>
      </c>
      <c r="W397">
        <v>10.66</v>
      </c>
      <c r="X397">
        <v>475593142</v>
      </c>
    </row>
    <row r="398" spans="1:24" x14ac:dyDescent="0.25">
      <c r="A398" t="s">
        <v>419</v>
      </c>
      <c r="B398">
        <v>397</v>
      </c>
      <c r="C398">
        <v>11.6</v>
      </c>
      <c r="D398">
        <v>0.87</v>
      </c>
      <c r="E398">
        <v>599428</v>
      </c>
      <c r="F398">
        <v>6970098.7999999998</v>
      </c>
      <c r="G398">
        <v>3480000000</v>
      </c>
      <c r="H398">
        <v>9.14</v>
      </c>
      <c r="I398">
        <v>2.56</v>
      </c>
      <c r="J398">
        <v>0.24004200000000001</v>
      </c>
      <c r="K398">
        <v>1.1000000000000001</v>
      </c>
      <c r="L398">
        <v>0.64</v>
      </c>
      <c r="M398">
        <v>28.211514999999999</v>
      </c>
      <c r="N398">
        <v>28.539294000000002</v>
      </c>
      <c r="O398">
        <v>19.196539000000001</v>
      </c>
      <c r="P398">
        <v>9.48</v>
      </c>
      <c r="Q398" t="s">
        <v>22</v>
      </c>
      <c r="R398" t="s">
        <v>22</v>
      </c>
      <c r="S398">
        <v>278</v>
      </c>
      <c r="T398">
        <v>242</v>
      </c>
      <c r="U398">
        <v>1.29</v>
      </c>
      <c r="V398">
        <v>3</v>
      </c>
      <c r="W398">
        <v>4.53</v>
      </c>
      <c r="X398">
        <v>300000000</v>
      </c>
    </row>
    <row r="399" spans="1:24" x14ac:dyDescent="0.25">
      <c r="A399" t="s">
        <v>420</v>
      </c>
      <c r="B399">
        <v>398</v>
      </c>
      <c r="C399">
        <v>6.45</v>
      </c>
      <c r="D399">
        <v>0.78</v>
      </c>
      <c r="E399">
        <v>81300</v>
      </c>
      <c r="F399">
        <v>523585</v>
      </c>
      <c r="G399">
        <v>6888600000</v>
      </c>
      <c r="H399">
        <v>48.68</v>
      </c>
      <c r="I399">
        <v>2.34</v>
      </c>
      <c r="J399">
        <v>0.18398100000000001</v>
      </c>
      <c r="K399">
        <v>0.08</v>
      </c>
      <c r="L399">
        <v>7.0000000000000007E-2</v>
      </c>
      <c r="M399">
        <v>4.7509230000000002</v>
      </c>
      <c r="N399">
        <v>4.7868069999999996</v>
      </c>
      <c r="O399">
        <v>20.668469000000002</v>
      </c>
      <c r="P399">
        <v>2.48</v>
      </c>
      <c r="Q399" t="s">
        <v>22</v>
      </c>
      <c r="R399" t="s">
        <v>22</v>
      </c>
      <c r="S399">
        <v>1152</v>
      </c>
      <c r="T399">
        <v>1047</v>
      </c>
      <c r="U399">
        <v>-143.22</v>
      </c>
      <c r="V399">
        <v>3</v>
      </c>
      <c r="W399">
        <v>2.76</v>
      </c>
      <c r="X399">
        <v>1068000000</v>
      </c>
    </row>
    <row r="400" spans="1:24" x14ac:dyDescent="0.25">
      <c r="A400" t="s">
        <v>421</v>
      </c>
      <c r="B400">
        <v>399</v>
      </c>
      <c r="C400">
        <v>36</v>
      </c>
      <c r="D400">
        <v>0.7</v>
      </c>
      <c r="E400">
        <v>473482</v>
      </c>
      <c r="F400">
        <v>17033469.25</v>
      </c>
      <c r="G400">
        <v>31387302288</v>
      </c>
      <c r="H400">
        <v>14.33</v>
      </c>
      <c r="I400">
        <v>3.03</v>
      </c>
      <c r="J400">
        <v>0.54935199999999995</v>
      </c>
      <c r="K400">
        <v>0.85</v>
      </c>
      <c r="L400">
        <v>1.28</v>
      </c>
      <c r="M400">
        <v>18.892153</v>
      </c>
      <c r="N400">
        <v>21.590326999999998</v>
      </c>
      <c r="O400">
        <v>15.977964</v>
      </c>
      <c r="P400">
        <v>4.4400000000000004</v>
      </c>
      <c r="Q400" t="s">
        <v>22</v>
      </c>
      <c r="R400" t="s">
        <v>22</v>
      </c>
      <c r="S400">
        <v>571</v>
      </c>
      <c r="T400">
        <v>525</v>
      </c>
      <c r="U400">
        <v>1624</v>
      </c>
      <c r="V400">
        <v>5</v>
      </c>
      <c r="W400">
        <v>11.86</v>
      </c>
      <c r="X400">
        <v>871869508</v>
      </c>
    </row>
    <row r="401" spans="1:24" x14ac:dyDescent="0.25">
      <c r="A401" t="s">
        <v>422</v>
      </c>
      <c r="B401">
        <v>400</v>
      </c>
      <c r="C401">
        <v>0.83</v>
      </c>
      <c r="D401">
        <v>-2.35</v>
      </c>
      <c r="E401">
        <v>647100</v>
      </c>
      <c r="F401">
        <v>540506</v>
      </c>
      <c r="G401">
        <v>609220000</v>
      </c>
      <c r="H401">
        <v>8.9</v>
      </c>
      <c r="I401">
        <v>0.6</v>
      </c>
      <c r="J401">
        <v>0.43317499999999998</v>
      </c>
      <c r="K401">
        <v>1.4999999999999999E-2</v>
      </c>
      <c r="L401">
        <v>0.05</v>
      </c>
      <c r="M401">
        <v>6.0507210000000002</v>
      </c>
      <c r="N401">
        <v>6.9799379999999998</v>
      </c>
      <c r="O401">
        <v>7.9584530000000004</v>
      </c>
      <c r="P401">
        <v>1.81</v>
      </c>
      <c r="Q401" t="s">
        <v>22</v>
      </c>
      <c r="R401" t="s">
        <v>22</v>
      </c>
      <c r="S401">
        <v>566</v>
      </c>
      <c r="T401">
        <v>522</v>
      </c>
      <c r="U401">
        <v>0.39</v>
      </c>
      <c r="V401">
        <v>3</v>
      </c>
      <c r="W401">
        <v>1.37</v>
      </c>
      <c r="X401">
        <v>734000000</v>
      </c>
    </row>
    <row r="402" spans="1:24" x14ac:dyDescent="0.25">
      <c r="A402" t="s">
        <v>423</v>
      </c>
      <c r="B402">
        <v>401</v>
      </c>
      <c r="C402">
        <v>2025</v>
      </c>
      <c r="D402">
        <v>-66.666666666666657</v>
      </c>
      <c r="E402">
        <v>418950679</v>
      </c>
      <c r="F402">
        <v>10728.203380000001</v>
      </c>
      <c r="G402">
        <v>61</v>
      </c>
      <c r="H402">
        <v>0</v>
      </c>
      <c r="I402">
        <v>1.0527102127164967</v>
      </c>
      <c r="J402">
        <v>1.05271</v>
      </c>
      <c r="K402">
        <v>-0.02</v>
      </c>
      <c r="L402">
        <v>-0.02</v>
      </c>
      <c r="M402">
        <v>-0.65409700000000004</v>
      </c>
      <c r="N402">
        <v>-3.9644629999999998</v>
      </c>
      <c r="O402">
        <v>-36.983981999999997</v>
      </c>
      <c r="P402">
        <v>0</v>
      </c>
      <c r="Q402" t="s">
        <v>22</v>
      </c>
      <c r="R402" t="s">
        <v>22</v>
      </c>
      <c r="W402">
        <v>0.59</v>
      </c>
      <c r="X402">
        <v>3069491060</v>
      </c>
    </row>
    <row r="403" spans="1:24" x14ac:dyDescent="0.25">
      <c r="A403" t="s">
        <v>424</v>
      </c>
      <c r="B403">
        <v>402</v>
      </c>
      <c r="C403">
        <v>299</v>
      </c>
      <c r="D403">
        <v>-0.33</v>
      </c>
      <c r="E403">
        <v>6102</v>
      </c>
      <c r="F403">
        <v>1831900</v>
      </c>
      <c r="G403">
        <v>6248531900</v>
      </c>
      <c r="H403">
        <v>5.74</v>
      </c>
      <c r="I403">
        <v>0.85</v>
      </c>
      <c r="J403">
        <v>0.37507299999999999</v>
      </c>
      <c r="K403">
        <v>30</v>
      </c>
      <c r="L403">
        <v>36.17</v>
      </c>
      <c r="M403">
        <v>13.884698</v>
      </c>
      <c r="N403">
        <v>15.221218</v>
      </c>
      <c r="O403">
        <v>6.274991</v>
      </c>
      <c r="P403">
        <v>10.029999999999999</v>
      </c>
      <c r="Q403" t="s">
        <v>22</v>
      </c>
      <c r="R403" t="s">
        <v>22</v>
      </c>
      <c r="S403">
        <v>179</v>
      </c>
      <c r="T403">
        <v>117</v>
      </c>
      <c r="U403">
        <v>0.09</v>
      </c>
      <c r="V403">
        <v>4</v>
      </c>
      <c r="W403">
        <v>352.14</v>
      </c>
      <c r="X403">
        <v>20898100</v>
      </c>
    </row>
    <row r="404" spans="1:24" x14ac:dyDescent="0.25">
      <c r="A404" t="s">
        <v>425</v>
      </c>
      <c r="B404">
        <v>403</v>
      </c>
      <c r="C404">
        <v>22</v>
      </c>
      <c r="D404">
        <v>0</v>
      </c>
      <c r="E404">
        <v>19554</v>
      </c>
      <c r="F404">
        <v>430838</v>
      </c>
      <c r="G404">
        <v>2763545576</v>
      </c>
      <c r="H404">
        <v>7.82</v>
      </c>
      <c r="I404">
        <v>1.78</v>
      </c>
      <c r="J404">
        <v>0.51510699999999998</v>
      </c>
      <c r="K404">
        <v>1.25</v>
      </c>
      <c r="L404">
        <v>2.08</v>
      </c>
      <c r="M404">
        <v>22.008963000000001</v>
      </c>
      <c r="N404">
        <v>25.326606999999999</v>
      </c>
      <c r="O404">
        <v>24.050156999999999</v>
      </c>
      <c r="P404">
        <v>5.68</v>
      </c>
      <c r="Q404" t="s">
        <v>22</v>
      </c>
      <c r="R404" t="s">
        <v>22</v>
      </c>
      <c r="S404">
        <v>379</v>
      </c>
      <c r="T404">
        <v>379</v>
      </c>
      <c r="U404">
        <v>-2.4900000000000002</v>
      </c>
      <c r="V404">
        <v>5</v>
      </c>
      <c r="W404">
        <v>12.39</v>
      </c>
      <c r="X404">
        <v>125615708</v>
      </c>
    </row>
    <row r="405" spans="1:24" x14ac:dyDescent="0.25">
      <c r="A405" t="s">
        <v>426</v>
      </c>
      <c r="B405">
        <v>404</v>
      </c>
      <c r="C405">
        <v>6.25</v>
      </c>
      <c r="D405">
        <v>0.81</v>
      </c>
      <c r="E405">
        <v>113801</v>
      </c>
      <c r="F405">
        <v>708071.25</v>
      </c>
      <c r="G405">
        <v>2759084718.75</v>
      </c>
      <c r="H405">
        <v>9.49</v>
      </c>
      <c r="I405">
        <v>1.08</v>
      </c>
      <c r="J405">
        <v>1.3272569999999999</v>
      </c>
      <c r="K405">
        <v>0.5</v>
      </c>
      <c r="L405">
        <v>0.34</v>
      </c>
      <c r="M405">
        <v>6.5365229999999999</v>
      </c>
      <c r="N405">
        <v>11.595497999999999</v>
      </c>
      <c r="O405">
        <v>4.8096909999999999</v>
      </c>
      <c r="P405">
        <v>8</v>
      </c>
      <c r="Q405" t="s">
        <v>22</v>
      </c>
      <c r="R405" t="s">
        <v>22</v>
      </c>
      <c r="S405">
        <v>444</v>
      </c>
      <c r="T405">
        <v>548</v>
      </c>
      <c r="U405">
        <v>0.36</v>
      </c>
      <c r="V405">
        <v>5</v>
      </c>
      <c r="W405">
        <v>5.77</v>
      </c>
      <c r="X405">
        <v>441453555</v>
      </c>
    </row>
    <row r="406" spans="1:24" x14ac:dyDescent="0.25">
      <c r="A406" t="s">
        <v>427</v>
      </c>
      <c r="B406">
        <v>405</v>
      </c>
      <c r="C406">
        <v>8.1</v>
      </c>
      <c r="D406">
        <v>-1.22</v>
      </c>
      <c r="E406">
        <v>1999796</v>
      </c>
      <c r="F406">
        <v>16345045.6</v>
      </c>
      <c r="G406">
        <v>9072000000</v>
      </c>
      <c r="H406">
        <v>4.88</v>
      </c>
      <c r="I406">
        <v>1.58</v>
      </c>
      <c r="J406">
        <v>2.137254</v>
      </c>
      <c r="K406">
        <v>0.24</v>
      </c>
      <c r="L406">
        <v>0.61</v>
      </c>
      <c r="M406">
        <v>16.253481000000001</v>
      </c>
      <c r="N406">
        <v>37.617291000000002</v>
      </c>
      <c r="O406">
        <v>4.5733220000000001</v>
      </c>
      <c r="P406">
        <v>3.09</v>
      </c>
      <c r="Q406" t="s">
        <v>22</v>
      </c>
      <c r="R406" t="s">
        <v>22</v>
      </c>
      <c r="S406">
        <v>96</v>
      </c>
      <c r="T406">
        <v>170</v>
      </c>
      <c r="U406">
        <v>0.03</v>
      </c>
      <c r="V406">
        <v>5</v>
      </c>
      <c r="W406">
        <v>5.12</v>
      </c>
      <c r="X406">
        <v>1120000000</v>
      </c>
    </row>
    <row r="407" spans="1:24" x14ac:dyDescent="0.25">
      <c r="A407" t="s">
        <v>428</v>
      </c>
      <c r="B407">
        <v>406</v>
      </c>
      <c r="C407">
        <v>5.25</v>
      </c>
      <c r="D407">
        <v>0</v>
      </c>
      <c r="E407">
        <v>26000</v>
      </c>
      <c r="F407">
        <v>135823.54999999999</v>
      </c>
      <c r="G407">
        <v>1102500000</v>
      </c>
      <c r="H407">
        <v>19.39</v>
      </c>
      <c r="I407">
        <v>2.27</v>
      </c>
      <c r="J407">
        <v>0.94085799999999997</v>
      </c>
      <c r="K407">
        <v>0.25</v>
      </c>
      <c r="L407">
        <v>0.03</v>
      </c>
      <c r="M407">
        <v>9.3473439999999997</v>
      </c>
      <c r="N407">
        <v>11.699508</v>
      </c>
      <c r="O407">
        <v>1.8221339999999999</v>
      </c>
      <c r="P407">
        <v>4.76</v>
      </c>
      <c r="Q407" t="s">
        <v>22</v>
      </c>
      <c r="R407" t="s">
        <v>22</v>
      </c>
      <c r="S407">
        <v>763</v>
      </c>
      <c r="T407">
        <v>732</v>
      </c>
      <c r="U407">
        <v>1.98</v>
      </c>
      <c r="W407">
        <v>2.31</v>
      </c>
      <c r="X407">
        <v>210000000</v>
      </c>
    </row>
    <row r="408" spans="1:24" x14ac:dyDescent="0.25">
      <c r="A408" t="s">
        <v>429</v>
      </c>
      <c r="B408">
        <v>407</v>
      </c>
      <c r="C408">
        <v>2.2200000000000002</v>
      </c>
      <c r="D408">
        <v>-0.89</v>
      </c>
      <c r="E408">
        <v>376550</v>
      </c>
      <c r="F408">
        <v>833287</v>
      </c>
      <c r="G408">
        <v>888000000</v>
      </c>
      <c r="H408">
        <v>7.53</v>
      </c>
      <c r="I408">
        <v>1.2</v>
      </c>
      <c r="J408">
        <v>0.48694700000000002</v>
      </c>
      <c r="K408">
        <v>0.03</v>
      </c>
      <c r="L408">
        <v>0.17</v>
      </c>
      <c r="M408">
        <v>15.060337000000001</v>
      </c>
      <c r="N408">
        <v>16.892486999999999</v>
      </c>
      <c r="O408">
        <v>12.191128000000001</v>
      </c>
      <c r="P408">
        <v>3.83</v>
      </c>
      <c r="Q408" t="s">
        <v>22</v>
      </c>
      <c r="R408" t="s">
        <v>22</v>
      </c>
      <c r="S408">
        <v>232</v>
      </c>
      <c r="T408">
        <v>181</v>
      </c>
      <c r="U408">
        <v>-27.63</v>
      </c>
      <c r="W408">
        <v>1.85</v>
      </c>
      <c r="X408">
        <v>400000000</v>
      </c>
    </row>
    <row r="409" spans="1:24" x14ac:dyDescent="0.25">
      <c r="A409" t="s">
        <v>430</v>
      </c>
      <c r="B409">
        <v>408</v>
      </c>
      <c r="C409">
        <v>1.55</v>
      </c>
      <c r="D409">
        <v>0</v>
      </c>
      <c r="E409">
        <v>856502</v>
      </c>
      <c r="F409">
        <v>1328229.1000000001</v>
      </c>
      <c r="G409">
        <v>1449250000</v>
      </c>
      <c r="H409">
        <v>15.84</v>
      </c>
      <c r="I409">
        <v>0.79</v>
      </c>
      <c r="J409">
        <v>0.57738199999999995</v>
      </c>
      <c r="K409">
        <v>2.7E-2</v>
      </c>
      <c r="L409">
        <v>7.0000000000000007E-2</v>
      </c>
      <c r="M409">
        <v>5.9001010000000003</v>
      </c>
      <c r="N409">
        <v>5.1172769999999996</v>
      </c>
      <c r="O409">
        <v>27.427669999999999</v>
      </c>
      <c r="P409">
        <v>1.74</v>
      </c>
      <c r="Q409" t="s">
        <v>22</v>
      </c>
      <c r="R409" t="s">
        <v>22</v>
      </c>
      <c r="S409">
        <v>1112</v>
      </c>
      <c r="T409">
        <v>1167</v>
      </c>
      <c r="U409">
        <v>-0.51</v>
      </c>
      <c r="V409">
        <v>4</v>
      </c>
      <c r="W409">
        <v>1.95</v>
      </c>
      <c r="X409">
        <v>935000000</v>
      </c>
    </row>
    <row r="410" spans="1:24" x14ac:dyDescent="0.25">
      <c r="A410" t="s">
        <v>431</v>
      </c>
      <c r="B410">
        <v>409</v>
      </c>
      <c r="C410">
        <v>0.47</v>
      </c>
      <c r="D410">
        <v>0</v>
      </c>
      <c r="E410">
        <v>1081000</v>
      </c>
      <c r="F410">
        <v>513667</v>
      </c>
      <c r="G410">
        <v>1176926169.04</v>
      </c>
      <c r="H410">
        <v>1227008133.6800001</v>
      </c>
      <c r="I410">
        <v>0.38</v>
      </c>
      <c r="J410">
        <v>1.6034299999999999</v>
      </c>
      <c r="K410">
        <v>0.03</v>
      </c>
      <c r="L410">
        <v>0.03</v>
      </c>
      <c r="M410">
        <v>7.0088999999999999E-2</v>
      </c>
      <c r="N410">
        <v>-8.6686490000000003</v>
      </c>
      <c r="O410">
        <v>3.2309600000000001</v>
      </c>
      <c r="P410">
        <v>0.4</v>
      </c>
      <c r="Q410" t="s">
        <v>22</v>
      </c>
      <c r="R410" t="s">
        <v>22</v>
      </c>
      <c r="W410">
        <v>1.22</v>
      </c>
      <c r="X410">
        <v>2504098232</v>
      </c>
    </row>
    <row r="411" spans="1:24" x14ac:dyDescent="0.25">
      <c r="A411" t="s">
        <v>432</v>
      </c>
      <c r="B411">
        <v>410</v>
      </c>
      <c r="C411">
        <v>2025</v>
      </c>
      <c r="D411">
        <v>-87.500000000000014</v>
      </c>
      <c r="E411">
        <v>320303108</v>
      </c>
      <c r="F411">
        <v>8151.5344400000004</v>
      </c>
      <c r="G411">
        <v>95</v>
      </c>
      <c r="H411">
        <v>0</v>
      </c>
      <c r="I411">
        <v>39.475880570959127</v>
      </c>
      <c r="J411">
        <v>39.475881000000001</v>
      </c>
      <c r="K411">
        <v>0.01</v>
      </c>
      <c r="L411">
        <v>-7.0000000000000007E-2</v>
      </c>
      <c r="M411">
        <v>-3.5939809999999999</v>
      </c>
      <c r="N411">
        <v>-199.24409199999999</v>
      </c>
      <c r="O411">
        <v>-32.898159999999997</v>
      </c>
      <c r="P411">
        <v>0</v>
      </c>
      <c r="Q411" t="s">
        <v>22</v>
      </c>
      <c r="R411" t="s">
        <v>22</v>
      </c>
      <c r="V411">
        <v>3</v>
      </c>
      <c r="W411">
        <v>0.01</v>
      </c>
      <c r="X411">
        <v>9470894571</v>
      </c>
    </row>
    <row r="412" spans="1:24" x14ac:dyDescent="0.25">
      <c r="A412" t="s">
        <v>433</v>
      </c>
      <c r="B412">
        <v>411</v>
      </c>
      <c r="C412">
        <v>22.4</v>
      </c>
      <c r="D412">
        <v>-1.32</v>
      </c>
      <c r="E412">
        <v>17008157</v>
      </c>
      <c r="F412">
        <v>380984965.39999998</v>
      </c>
      <c r="G412">
        <v>127007484284.8</v>
      </c>
      <c r="H412">
        <v>13.31</v>
      </c>
      <c r="I412">
        <v>1.52</v>
      </c>
      <c r="J412">
        <v>3.090287</v>
      </c>
      <c r="K412">
        <v>0.3</v>
      </c>
      <c r="L412">
        <v>0.56000000000000005</v>
      </c>
      <c r="M412">
        <v>6.3558779999999997</v>
      </c>
      <c r="N412">
        <v>11.138680000000001</v>
      </c>
      <c r="O412">
        <v>5.0774559999999997</v>
      </c>
      <c r="P412">
        <v>3.14</v>
      </c>
      <c r="Q412" t="s">
        <v>22</v>
      </c>
      <c r="R412" t="s">
        <v>22</v>
      </c>
      <c r="S412">
        <v>656</v>
      </c>
      <c r="T412">
        <v>760</v>
      </c>
      <c r="U412">
        <v>-1.17</v>
      </c>
      <c r="V412">
        <v>5</v>
      </c>
      <c r="W412">
        <v>14.7</v>
      </c>
      <c r="X412">
        <v>5669976977</v>
      </c>
    </row>
    <row r="413" spans="1:24" x14ac:dyDescent="0.25">
      <c r="A413" t="s">
        <v>434</v>
      </c>
      <c r="B413">
        <v>412</v>
      </c>
      <c r="C413">
        <v>0.68</v>
      </c>
      <c r="D413">
        <v>1.49</v>
      </c>
      <c r="E413">
        <v>11654644</v>
      </c>
      <c r="F413">
        <v>8288320.3099999996</v>
      </c>
      <c r="G413">
        <v>933394403.72000003</v>
      </c>
      <c r="H413">
        <v>15.65</v>
      </c>
      <c r="I413">
        <v>0.76</v>
      </c>
      <c r="J413">
        <v>0.64654100000000003</v>
      </c>
      <c r="K413">
        <v>0.02</v>
      </c>
      <c r="L413">
        <v>0.02</v>
      </c>
      <c r="M413">
        <v>5.8299060000000003</v>
      </c>
      <c r="N413">
        <v>4.9130320000000003</v>
      </c>
      <c r="O413">
        <v>10.601132</v>
      </c>
      <c r="P413">
        <v>2.94</v>
      </c>
      <c r="Q413" t="s">
        <v>22</v>
      </c>
      <c r="R413" t="s">
        <v>22</v>
      </c>
      <c r="S413">
        <v>961</v>
      </c>
      <c r="T413">
        <v>1028</v>
      </c>
      <c r="U413">
        <v>0.14000000000000001</v>
      </c>
      <c r="V413">
        <v>3</v>
      </c>
      <c r="W413">
        <v>0.9</v>
      </c>
      <c r="X413">
        <v>1372638829</v>
      </c>
    </row>
    <row r="414" spans="1:24" x14ac:dyDescent="0.25">
      <c r="A414" t="s">
        <v>435</v>
      </c>
      <c r="B414">
        <v>413</v>
      </c>
      <c r="C414">
        <v>0.33</v>
      </c>
      <c r="D414">
        <v>0</v>
      </c>
      <c r="E414">
        <v>511900</v>
      </c>
      <c r="F414">
        <v>168926</v>
      </c>
      <c r="G414">
        <v>283935939.87</v>
      </c>
      <c r="H414">
        <v>275331820.48000002</v>
      </c>
      <c r="I414">
        <v>0.13</v>
      </c>
      <c r="J414">
        <v>4.8350989999999996</v>
      </c>
      <c r="K414">
        <v>-0.09</v>
      </c>
      <c r="L414">
        <v>-0.09</v>
      </c>
      <c r="M414">
        <v>-5.8667119999999997</v>
      </c>
      <c r="N414">
        <v>-58.898212000000001</v>
      </c>
      <c r="O414">
        <v>-5.0014130000000003</v>
      </c>
      <c r="P414">
        <v>0.13</v>
      </c>
      <c r="Q414" t="s">
        <v>22</v>
      </c>
      <c r="R414" t="s">
        <v>22</v>
      </c>
      <c r="W414">
        <v>2.54</v>
      </c>
      <c r="X414">
        <v>860411939</v>
      </c>
    </row>
    <row r="415" spans="1:24" x14ac:dyDescent="0.25">
      <c r="A415" t="s">
        <v>436</v>
      </c>
      <c r="B415">
        <v>414</v>
      </c>
      <c r="C415">
        <v>0.56999999999999995</v>
      </c>
      <c r="D415">
        <v>1.79</v>
      </c>
      <c r="E415">
        <v>43210</v>
      </c>
      <c r="F415">
        <v>24618.6</v>
      </c>
      <c r="G415">
        <v>811798468.23000002</v>
      </c>
      <c r="H415">
        <v>797556389.84000003</v>
      </c>
      <c r="I415">
        <v>0.18</v>
      </c>
      <c r="J415">
        <v>2.8362919999999998</v>
      </c>
      <c r="K415">
        <v>0.11</v>
      </c>
      <c r="L415">
        <v>-0.35</v>
      </c>
      <c r="M415">
        <v>0.17217299999999999</v>
      </c>
      <c r="N415">
        <v>-16.550391000000001</v>
      </c>
      <c r="O415">
        <v>-83.770847000000003</v>
      </c>
      <c r="P415">
        <v>0.18</v>
      </c>
      <c r="Q415" t="s">
        <v>22</v>
      </c>
      <c r="R415" t="s">
        <v>22</v>
      </c>
      <c r="V415">
        <v>3</v>
      </c>
      <c r="W415">
        <v>3.13</v>
      </c>
      <c r="X415">
        <v>1424207839</v>
      </c>
    </row>
    <row r="416" spans="1:24" x14ac:dyDescent="0.25">
      <c r="A416" t="s">
        <v>437</v>
      </c>
      <c r="B416">
        <v>415</v>
      </c>
      <c r="C416">
        <v>0.7</v>
      </c>
      <c r="D416">
        <v>2.94</v>
      </c>
      <c r="E416">
        <v>6546540</v>
      </c>
      <c r="F416">
        <v>4519007.2</v>
      </c>
      <c r="G416">
        <v>745358403.29999995</v>
      </c>
      <c r="H416">
        <v>628230654.21000004</v>
      </c>
      <c r="I416">
        <v>1.1200000000000001</v>
      </c>
      <c r="J416">
        <v>0.68111999999999995</v>
      </c>
      <c r="K416">
        <v>0.11112</v>
      </c>
      <c r="L416">
        <v>-0.01</v>
      </c>
      <c r="M416">
        <v>1.165484</v>
      </c>
      <c r="N416">
        <v>-1.7997270000000001</v>
      </c>
      <c r="O416">
        <v>-7.2726769999999998</v>
      </c>
      <c r="P416">
        <v>0.94</v>
      </c>
      <c r="Q416" t="s">
        <v>22</v>
      </c>
      <c r="R416" t="s">
        <v>22</v>
      </c>
      <c r="W416">
        <v>0.62</v>
      </c>
      <c r="X416">
        <v>1064797719</v>
      </c>
    </row>
    <row r="417" spans="1:24" x14ac:dyDescent="0.25">
      <c r="A417" t="s">
        <v>438</v>
      </c>
      <c r="B417">
        <v>416</v>
      </c>
      <c r="C417">
        <v>2.74</v>
      </c>
      <c r="D417">
        <v>0</v>
      </c>
      <c r="E417">
        <v>214275</v>
      </c>
      <c r="F417">
        <v>583085.54</v>
      </c>
      <c r="G417">
        <v>994619843.82000005</v>
      </c>
      <c r="H417">
        <v>7.02</v>
      </c>
      <c r="I417">
        <v>1.92</v>
      </c>
      <c r="J417">
        <v>7.3800000000000004E-2</v>
      </c>
      <c r="K417">
        <v>0.06</v>
      </c>
      <c r="L417">
        <v>0.19</v>
      </c>
      <c r="M417">
        <v>31.071649000000001</v>
      </c>
      <c r="N417">
        <v>26.627870000000001</v>
      </c>
      <c r="O417">
        <v>15.648837</v>
      </c>
      <c r="P417">
        <v>4.68</v>
      </c>
      <c r="Q417" t="s">
        <v>22</v>
      </c>
      <c r="R417" t="s">
        <v>22</v>
      </c>
      <c r="U417">
        <v>0.11</v>
      </c>
      <c r="W417">
        <v>1.43</v>
      </c>
      <c r="X417">
        <v>362999943</v>
      </c>
    </row>
    <row r="418" spans="1:24" x14ac:dyDescent="0.25">
      <c r="A418" t="s">
        <v>439</v>
      </c>
      <c r="B418">
        <v>417</v>
      </c>
      <c r="C418">
        <v>2</v>
      </c>
      <c r="D418">
        <v>0</v>
      </c>
      <c r="E418">
        <v>79000</v>
      </c>
      <c r="F418">
        <v>156968</v>
      </c>
      <c r="G418">
        <v>1500000000</v>
      </c>
      <c r="H418">
        <v>15.23</v>
      </c>
      <c r="I418">
        <v>0.67</v>
      </c>
      <c r="J418">
        <v>0.52778800000000003</v>
      </c>
      <c r="K418">
        <v>0.15</v>
      </c>
      <c r="L418">
        <v>4.18159231130889</v>
      </c>
      <c r="M418">
        <v>4.1815920000000002</v>
      </c>
      <c r="N418">
        <v>4.3706500000000004</v>
      </c>
      <c r="O418">
        <v>0.238201</v>
      </c>
      <c r="P418">
        <v>7.5</v>
      </c>
      <c r="Q418" t="s">
        <v>22</v>
      </c>
      <c r="R418" t="s">
        <v>22</v>
      </c>
      <c r="S418">
        <v>1089</v>
      </c>
      <c r="T418">
        <v>1043</v>
      </c>
      <c r="U418">
        <v>0.77</v>
      </c>
      <c r="V418">
        <v>5</v>
      </c>
      <c r="W418">
        <v>3</v>
      </c>
      <c r="X418">
        <v>750000000</v>
      </c>
    </row>
    <row r="419" spans="1:24" x14ac:dyDescent="0.25">
      <c r="A419" t="s">
        <v>440</v>
      </c>
      <c r="B419">
        <v>418</v>
      </c>
      <c r="C419">
        <v>0.59</v>
      </c>
      <c r="D419">
        <v>-1.67</v>
      </c>
      <c r="E419">
        <v>2989650</v>
      </c>
      <c r="F419">
        <v>1791680.14</v>
      </c>
      <c r="G419">
        <v>2047921882.4200001</v>
      </c>
      <c r="H419">
        <v>2290895665.0799999</v>
      </c>
      <c r="I419">
        <v>208.06</v>
      </c>
      <c r="J419">
        <v>237.404145</v>
      </c>
      <c r="L419">
        <v>-13.903601176738066</v>
      </c>
      <c r="M419">
        <v>-13.903601</v>
      </c>
      <c r="N419">
        <v>-191.48394999999999</v>
      </c>
      <c r="O419">
        <v>-0.63768800000000003</v>
      </c>
      <c r="P419">
        <v>232.74</v>
      </c>
      <c r="Q419" t="s">
        <v>22</v>
      </c>
      <c r="R419" t="s">
        <v>22</v>
      </c>
      <c r="V419">
        <v>5</v>
      </c>
      <c r="X419">
        <v>3471054038</v>
      </c>
    </row>
    <row r="420" spans="1:24" x14ac:dyDescent="0.25">
      <c r="A420" t="s">
        <v>441</v>
      </c>
      <c r="B420">
        <v>419</v>
      </c>
      <c r="C420">
        <v>2.34</v>
      </c>
      <c r="D420">
        <v>0.86</v>
      </c>
      <c r="E420">
        <v>95995</v>
      </c>
      <c r="F420">
        <v>223777.54</v>
      </c>
      <c r="G420">
        <v>789621922.44000006</v>
      </c>
      <c r="H420">
        <v>12.32</v>
      </c>
      <c r="I420">
        <v>0.78</v>
      </c>
      <c r="J420">
        <v>0.29117700000000002</v>
      </c>
      <c r="K420">
        <v>0.16</v>
      </c>
      <c r="L420">
        <v>0.08</v>
      </c>
      <c r="M420">
        <v>5.1989520000000002</v>
      </c>
      <c r="N420">
        <v>6.30769</v>
      </c>
      <c r="O420">
        <v>6.0606669999999996</v>
      </c>
      <c r="P420">
        <v>9.76</v>
      </c>
      <c r="Q420" t="s">
        <v>22</v>
      </c>
      <c r="R420" t="s">
        <v>22</v>
      </c>
      <c r="S420">
        <v>840</v>
      </c>
      <c r="T420">
        <v>810</v>
      </c>
      <c r="U420">
        <v>4.8</v>
      </c>
      <c r="V420">
        <v>5</v>
      </c>
      <c r="W420">
        <v>3.01</v>
      </c>
      <c r="X420">
        <v>337445266</v>
      </c>
    </row>
    <row r="421" spans="1:24" x14ac:dyDescent="0.25">
      <c r="A421" t="s">
        <v>442</v>
      </c>
      <c r="B421">
        <v>420</v>
      </c>
      <c r="C421">
        <v>7.0000000000000007E-2</v>
      </c>
      <c r="D421">
        <v>16.670000000000002</v>
      </c>
      <c r="E421">
        <v>752800</v>
      </c>
      <c r="F421">
        <v>50836</v>
      </c>
      <c r="G421">
        <v>502372390.87</v>
      </c>
      <c r="H421">
        <v>28.08</v>
      </c>
      <c r="I421">
        <v>0.49</v>
      </c>
      <c r="J421">
        <v>7.8675999999999996E-2</v>
      </c>
      <c r="L421">
        <v>2.5806531183611296</v>
      </c>
      <c r="M421">
        <v>2.5806529999999999</v>
      </c>
      <c r="N421">
        <v>1.748785</v>
      </c>
      <c r="O421">
        <v>17.490355999999998</v>
      </c>
      <c r="P421">
        <v>0.49</v>
      </c>
      <c r="Q421" t="s">
        <v>22</v>
      </c>
      <c r="R421" t="s">
        <v>22</v>
      </c>
      <c r="S421">
        <v>1211</v>
      </c>
      <c r="T421">
        <v>1175</v>
      </c>
      <c r="U421">
        <v>-0.08</v>
      </c>
      <c r="W421">
        <v>0.14000000000000001</v>
      </c>
      <c r="X421">
        <v>7176748441</v>
      </c>
    </row>
    <row r="422" spans="1:24" x14ac:dyDescent="0.25">
      <c r="A422" t="s">
        <v>443</v>
      </c>
      <c r="B422">
        <v>421</v>
      </c>
      <c r="C422">
        <v>39</v>
      </c>
      <c r="D422">
        <v>-1.89</v>
      </c>
      <c r="E422">
        <v>810800</v>
      </c>
      <c r="F422">
        <v>31973876</v>
      </c>
      <c r="G422">
        <v>12869998206</v>
      </c>
      <c r="H422">
        <v>17.57</v>
      </c>
      <c r="I422">
        <v>4.8</v>
      </c>
      <c r="J422">
        <v>0.88444699999999998</v>
      </c>
      <c r="K422">
        <v>1.22</v>
      </c>
      <c r="L422">
        <v>1.07</v>
      </c>
      <c r="M422">
        <v>21.013047</v>
      </c>
      <c r="N422">
        <v>29.138513</v>
      </c>
      <c r="O422">
        <v>18.114958999999999</v>
      </c>
      <c r="P422">
        <v>3.13</v>
      </c>
      <c r="Q422" t="s">
        <v>22</v>
      </c>
      <c r="R422" t="s">
        <v>22</v>
      </c>
      <c r="S422">
        <v>573</v>
      </c>
      <c r="T422">
        <v>555</v>
      </c>
      <c r="U422">
        <v>0.48</v>
      </c>
      <c r="V422">
        <v>5</v>
      </c>
      <c r="W422">
        <v>8.1199999999999992</v>
      </c>
      <c r="X422">
        <v>329999954</v>
      </c>
    </row>
    <row r="423" spans="1:24" x14ac:dyDescent="0.25">
      <c r="A423" t="s">
        <v>444</v>
      </c>
      <c r="B423">
        <v>422</v>
      </c>
      <c r="C423">
        <v>1.1399999999999999</v>
      </c>
      <c r="D423">
        <v>-0.87</v>
      </c>
      <c r="E423">
        <v>195101</v>
      </c>
      <c r="F423">
        <v>221106.14</v>
      </c>
      <c r="G423">
        <v>326040000</v>
      </c>
      <c r="H423">
        <v>12.72</v>
      </c>
      <c r="I423">
        <v>1.21</v>
      </c>
      <c r="J423">
        <v>0.99098399999999998</v>
      </c>
      <c r="K423">
        <v>3.4000000000000002E-2</v>
      </c>
      <c r="L423">
        <v>0.05</v>
      </c>
      <c r="M423">
        <v>7.3671179999999996</v>
      </c>
      <c r="N423">
        <v>9.7612500000000004</v>
      </c>
      <c r="O423">
        <v>1.865972</v>
      </c>
      <c r="P423">
        <v>2.98</v>
      </c>
      <c r="Q423" t="s">
        <v>22</v>
      </c>
      <c r="R423" t="s">
        <v>22</v>
      </c>
      <c r="S423">
        <v>631</v>
      </c>
      <c r="T423">
        <v>642</v>
      </c>
      <c r="U423">
        <v>2.1800000000000002</v>
      </c>
      <c r="W423">
        <v>0.95</v>
      </c>
      <c r="X423">
        <v>286000000</v>
      </c>
    </row>
    <row r="424" spans="1:24" x14ac:dyDescent="0.25">
      <c r="A424" t="s">
        <v>445</v>
      </c>
      <c r="B424">
        <v>423</v>
      </c>
      <c r="C424">
        <v>4.5199999999999996</v>
      </c>
      <c r="D424">
        <v>0</v>
      </c>
      <c r="E424">
        <v>163900</v>
      </c>
      <c r="F424">
        <v>733212</v>
      </c>
      <c r="G424">
        <v>904000000</v>
      </c>
      <c r="H424">
        <v>7.19</v>
      </c>
      <c r="I424">
        <v>1.22</v>
      </c>
      <c r="J424">
        <v>1.108295</v>
      </c>
      <c r="K424">
        <v>0.34</v>
      </c>
      <c r="L424">
        <v>0.37</v>
      </c>
      <c r="M424">
        <v>12.281591000000001</v>
      </c>
      <c r="N424">
        <v>17.560288</v>
      </c>
      <c r="O424">
        <v>12.174659</v>
      </c>
      <c r="P424">
        <v>7.52</v>
      </c>
      <c r="Q424" t="s">
        <v>22</v>
      </c>
      <c r="R424" t="s">
        <v>22</v>
      </c>
      <c r="S424">
        <v>268</v>
      </c>
      <c r="T424">
        <v>264</v>
      </c>
      <c r="U424">
        <v>0.46</v>
      </c>
      <c r="V424">
        <v>3</v>
      </c>
      <c r="W424">
        <v>3.72</v>
      </c>
      <c r="X424">
        <v>200000000</v>
      </c>
    </row>
    <row r="425" spans="1:24" x14ac:dyDescent="0.25">
      <c r="A425" t="s">
        <v>446</v>
      </c>
      <c r="B425">
        <v>424</v>
      </c>
      <c r="C425">
        <v>9.6</v>
      </c>
      <c r="D425">
        <v>1.05</v>
      </c>
      <c r="E425">
        <v>2679698</v>
      </c>
      <c r="F425">
        <v>25534632.199999999</v>
      </c>
      <c r="G425">
        <v>57764131200</v>
      </c>
      <c r="H425">
        <v>19.989999999999998</v>
      </c>
      <c r="I425">
        <v>5.54</v>
      </c>
      <c r="J425">
        <v>0.86249900000000002</v>
      </c>
      <c r="K425">
        <v>6.5000000000000002E-2</v>
      </c>
      <c r="L425">
        <v>0.24</v>
      </c>
      <c r="M425">
        <v>23.17136</v>
      </c>
      <c r="N425">
        <v>36.074511000000001</v>
      </c>
      <c r="O425">
        <v>12.669067999999999</v>
      </c>
      <c r="P425">
        <v>1.1499999999999999</v>
      </c>
      <c r="Q425" t="s">
        <v>22</v>
      </c>
      <c r="R425" t="s">
        <v>22</v>
      </c>
      <c r="S425">
        <v>575</v>
      </c>
      <c r="T425">
        <v>567</v>
      </c>
      <c r="U425">
        <v>0.43</v>
      </c>
      <c r="W425">
        <v>1.73</v>
      </c>
      <c r="X425">
        <v>6017097000</v>
      </c>
    </row>
    <row r="426" spans="1:24" x14ac:dyDescent="0.25">
      <c r="A426" t="s">
        <v>447</v>
      </c>
      <c r="B426">
        <v>425</v>
      </c>
      <c r="C426">
        <v>5.65</v>
      </c>
      <c r="D426">
        <v>-1.74</v>
      </c>
      <c r="E426">
        <v>80334</v>
      </c>
      <c r="F426">
        <v>456342.2</v>
      </c>
      <c r="G426">
        <v>2034000000</v>
      </c>
      <c r="H426">
        <v>12.5</v>
      </c>
      <c r="I426">
        <v>0.9</v>
      </c>
      <c r="J426">
        <v>1.272092</v>
      </c>
      <c r="K426">
        <v>0.35</v>
      </c>
      <c r="L426">
        <v>0.36</v>
      </c>
      <c r="M426">
        <v>4.9172700000000003</v>
      </c>
      <c r="N426">
        <v>7.2203549999999996</v>
      </c>
      <c r="O426">
        <v>2.4466709999999998</v>
      </c>
      <c r="P426">
        <v>6.19</v>
      </c>
      <c r="Q426" t="s">
        <v>22</v>
      </c>
      <c r="R426" t="s">
        <v>22</v>
      </c>
      <c r="S426">
        <v>784</v>
      </c>
      <c r="T426">
        <v>827</v>
      </c>
      <c r="U426">
        <v>-14.55</v>
      </c>
      <c r="V426">
        <v>5</v>
      </c>
      <c r="W426">
        <v>6.31</v>
      </c>
      <c r="X426">
        <v>360000000</v>
      </c>
    </row>
    <row r="427" spans="1:24" x14ac:dyDescent="0.25">
      <c r="A427" t="s">
        <v>448</v>
      </c>
      <c r="B427">
        <v>426</v>
      </c>
      <c r="C427">
        <v>7.85</v>
      </c>
      <c r="D427">
        <v>1.29</v>
      </c>
      <c r="E427">
        <v>62801</v>
      </c>
      <c r="F427">
        <v>489902.9</v>
      </c>
      <c r="G427">
        <v>4480893825</v>
      </c>
      <c r="H427">
        <v>12.98</v>
      </c>
      <c r="I427">
        <v>0.85</v>
      </c>
      <c r="J427">
        <v>2.0412210000000002</v>
      </c>
      <c r="K427">
        <v>0.17</v>
      </c>
      <c r="L427">
        <v>0.45</v>
      </c>
      <c r="M427">
        <v>4.6238130000000002</v>
      </c>
      <c r="N427">
        <v>6.7180929999999996</v>
      </c>
      <c r="O427">
        <v>19.150186999999999</v>
      </c>
      <c r="P427">
        <v>3.69</v>
      </c>
      <c r="Q427" t="s">
        <v>22</v>
      </c>
      <c r="R427" t="s">
        <v>22</v>
      </c>
      <c r="S427">
        <v>838</v>
      </c>
      <c r="T427">
        <v>1025</v>
      </c>
      <c r="U427">
        <v>-0.65</v>
      </c>
      <c r="V427">
        <v>5</v>
      </c>
      <c r="W427">
        <v>9.18</v>
      </c>
      <c r="X427">
        <v>570814500</v>
      </c>
    </row>
    <row r="428" spans="1:24" x14ac:dyDescent="0.25">
      <c r="A428" t="s">
        <v>449</v>
      </c>
      <c r="B428">
        <v>427</v>
      </c>
      <c r="C428">
        <v>32</v>
      </c>
      <c r="D428">
        <v>-1.54</v>
      </c>
      <c r="E428">
        <v>8404583</v>
      </c>
      <c r="F428">
        <v>270730153.25</v>
      </c>
      <c r="G428">
        <v>67840000000</v>
      </c>
      <c r="H428">
        <v>9.3800000000000008</v>
      </c>
      <c r="I428">
        <v>1.47</v>
      </c>
      <c r="J428">
        <v>3.2407149999999998</v>
      </c>
      <c r="K428">
        <v>0.28999999999999998</v>
      </c>
      <c r="L428">
        <v>1.76</v>
      </c>
      <c r="M428">
        <v>8.2299419999999994</v>
      </c>
      <c r="N428">
        <v>16.907259</v>
      </c>
      <c r="O428">
        <v>23.207391999999999</v>
      </c>
      <c r="P428">
        <v>0.91</v>
      </c>
      <c r="Q428" t="s">
        <v>22</v>
      </c>
      <c r="R428" t="s">
        <v>22</v>
      </c>
      <c r="S428">
        <v>400</v>
      </c>
      <c r="T428">
        <v>796</v>
      </c>
      <c r="U428">
        <v>1.25</v>
      </c>
      <c r="V428">
        <v>5</v>
      </c>
      <c r="W428">
        <v>21.71</v>
      </c>
      <c r="X428">
        <v>2120000000</v>
      </c>
    </row>
    <row r="429" spans="1:24" x14ac:dyDescent="0.25">
      <c r="A429" t="s">
        <v>450</v>
      </c>
      <c r="B429">
        <v>428</v>
      </c>
      <c r="C429">
        <v>19.100000000000001</v>
      </c>
      <c r="D429">
        <v>6.11</v>
      </c>
      <c r="E429">
        <v>270220</v>
      </c>
      <c r="F429">
        <v>5111377.0999999996</v>
      </c>
      <c r="G429">
        <v>11269000000</v>
      </c>
      <c r="H429">
        <v>10.82</v>
      </c>
      <c r="I429">
        <v>1.28</v>
      </c>
      <c r="J429">
        <v>2.3282539999999998</v>
      </c>
      <c r="K429">
        <v>0.81</v>
      </c>
      <c r="L429">
        <v>1.1299999999999999</v>
      </c>
      <c r="M429">
        <v>4.4957750000000001</v>
      </c>
      <c r="N429">
        <v>12.768471</v>
      </c>
      <c r="O429">
        <v>6.4175050000000002</v>
      </c>
      <c r="P429">
        <v>4.24</v>
      </c>
      <c r="Q429" t="s">
        <v>22</v>
      </c>
      <c r="R429" t="s">
        <v>22</v>
      </c>
      <c r="S429">
        <v>437</v>
      </c>
      <c r="T429">
        <v>776</v>
      </c>
      <c r="U429">
        <v>0.5</v>
      </c>
      <c r="V429">
        <v>5</v>
      </c>
      <c r="W429">
        <v>14.9</v>
      </c>
      <c r="X429">
        <v>590000000</v>
      </c>
    </row>
    <row r="430" spans="1:24" x14ac:dyDescent="0.25">
      <c r="A430" t="s">
        <v>451</v>
      </c>
      <c r="B430">
        <v>429</v>
      </c>
      <c r="C430">
        <v>1.1499999999999999</v>
      </c>
      <c r="D430">
        <v>-0.86</v>
      </c>
      <c r="E430">
        <v>1037300</v>
      </c>
      <c r="F430">
        <v>1204454</v>
      </c>
      <c r="G430">
        <v>1011148564.15</v>
      </c>
      <c r="H430">
        <v>888052217.21000004</v>
      </c>
      <c r="I430">
        <v>1.42</v>
      </c>
      <c r="J430">
        <v>0.42377399999999998</v>
      </c>
      <c r="K430">
        <v>3.0099999999999998E-2</v>
      </c>
      <c r="L430">
        <v>0.01</v>
      </c>
      <c r="M430">
        <v>-0.36930800000000003</v>
      </c>
      <c r="N430">
        <v>-2.0211359999999998</v>
      </c>
      <c r="O430">
        <v>4.6490179999999999</v>
      </c>
      <c r="P430">
        <v>2.62</v>
      </c>
      <c r="Q430" t="s">
        <v>22</v>
      </c>
      <c r="R430" t="s">
        <v>22</v>
      </c>
      <c r="W430">
        <v>0.81</v>
      </c>
      <c r="X430">
        <v>879259621</v>
      </c>
    </row>
    <row r="431" spans="1:24" x14ac:dyDescent="0.25">
      <c r="A431" t="s">
        <v>452</v>
      </c>
      <c r="B431">
        <v>430</v>
      </c>
      <c r="C431">
        <v>0.83</v>
      </c>
      <c r="D431">
        <v>-1.19</v>
      </c>
      <c r="E431">
        <v>2231</v>
      </c>
      <c r="F431">
        <v>1766.94</v>
      </c>
      <c r="G431">
        <v>874311002.5</v>
      </c>
      <c r="H431">
        <v>905912605</v>
      </c>
      <c r="I431">
        <v>1.08</v>
      </c>
      <c r="J431">
        <v>3.2641559999999998</v>
      </c>
      <c r="K431">
        <v>-0.23</v>
      </c>
      <c r="L431">
        <v>-0.23</v>
      </c>
      <c r="M431">
        <v>-18.483021999999998</v>
      </c>
      <c r="N431">
        <v>-63.767839000000002</v>
      </c>
      <c r="O431">
        <v>-24.096767</v>
      </c>
      <c r="P431">
        <v>1.1200000000000001</v>
      </c>
      <c r="Q431" t="s">
        <v>22</v>
      </c>
      <c r="R431" t="s">
        <v>22</v>
      </c>
      <c r="W431">
        <v>0.77</v>
      </c>
      <c r="X431">
        <v>1053386750</v>
      </c>
    </row>
    <row r="432" spans="1:24" x14ac:dyDescent="0.25">
      <c r="A432" t="s">
        <v>453</v>
      </c>
      <c r="B432">
        <v>431</v>
      </c>
      <c r="C432">
        <v>2025</v>
      </c>
      <c r="D432">
        <v>-76.92307692307692</v>
      </c>
      <c r="E432">
        <v>138790451</v>
      </c>
      <c r="F432">
        <v>9886.5979900000002</v>
      </c>
      <c r="G432">
        <v>20</v>
      </c>
      <c r="H432">
        <v>0</v>
      </c>
      <c r="I432">
        <v>11.0815497483781</v>
      </c>
      <c r="J432">
        <v>11.08155</v>
      </c>
      <c r="K432">
        <v>-0.34</v>
      </c>
      <c r="L432">
        <v>-0.34</v>
      </c>
      <c r="M432">
        <v>-56.144634000000003</v>
      </c>
      <c r="N432">
        <v>-168.97532200000001</v>
      </c>
      <c r="O432">
        <v>-31.755807000000001</v>
      </c>
      <c r="P432">
        <v>0</v>
      </c>
      <c r="Q432" t="s">
        <v>22</v>
      </c>
      <c r="R432" t="s">
        <v>22</v>
      </c>
      <c r="V432">
        <v>4</v>
      </c>
      <c r="W432">
        <v>0.05</v>
      </c>
      <c r="X432">
        <v>337259283</v>
      </c>
    </row>
    <row r="433" spans="1:24" x14ac:dyDescent="0.25">
      <c r="A433" t="s">
        <v>454</v>
      </c>
      <c r="B433">
        <v>432</v>
      </c>
      <c r="C433">
        <v>3.28</v>
      </c>
      <c r="D433">
        <v>-0.61</v>
      </c>
      <c r="E433">
        <v>12400</v>
      </c>
      <c r="F433">
        <v>40714</v>
      </c>
      <c r="G433">
        <v>2296000000</v>
      </c>
      <c r="H433">
        <v>28.23</v>
      </c>
      <c r="I433">
        <v>1.1399999999999999</v>
      </c>
      <c r="J433">
        <v>0.375662</v>
      </c>
      <c r="K433">
        <v>0.03</v>
      </c>
      <c r="L433">
        <v>0.05</v>
      </c>
      <c r="M433">
        <v>4.3335520000000001</v>
      </c>
      <c r="N433">
        <v>4.0325009999999999</v>
      </c>
      <c r="O433">
        <v>4.9795740000000004</v>
      </c>
      <c r="P433">
        <v>3.96</v>
      </c>
      <c r="Q433" t="s">
        <v>22</v>
      </c>
      <c r="R433" t="s">
        <v>22</v>
      </c>
      <c r="S433">
        <v>1189</v>
      </c>
      <c r="T433">
        <v>1137</v>
      </c>
      <c r="U433">
        <v>-1.2</v>
      </c>
      <c r="V433">
        <v>3</v>
      </c>
      <c r="W433">
        <v>2.88</v>
      </c>
      <c r="X433">
        <v>700000000</v>
      </c>
    </row>
    <row r="434" spans="1:24" x14ac:dyDescent="0.25">
      <c r="A434" t="s">
        <v>455</v>
      </c>
      <c r="B434">
        <v>433</v>
      </c>
      <c r="C434">
        <v>1.56</v>
      </c>
      <c r="D434">
        <v>0</v>
      </c>
      <c r="E434">
        <v>51200</v>
      </c>
      <c r="F434">
        <v>79783</v>
      </c>
      <c r="G434">
        <v>511680000</v>
      </c>
      <c r="H434">
        <v>554320000</v>
      </c>
      <c r="I434">
        <v>0.77</v>
      </c>
      <c r="J434">
        <v>0.34021400000000002</v>
      </c>
      <c r="K434">
        <v>0.13</v>
      </c>
      <c r="L434">
        <v>-0.02</v>
      </c>
      <c r="M434">
        <v>0.30491000000000001</v>
      </c>
      <c r="N434">
        <v>-0.58271600000000001</v>
      </c>
      <c r="O434">
        <v>-1.8756109999999999</v>
      </c>
      <c r="P434">
        <v>0.83</v>
      </c>
      <c r="Q434" t="s">
        <v>22</v>
      </c>
      <c r="R434" t="s">
        <v>22</v>
      </c>
      <c r="S434">
        <v>1339</v>
      </c>
      <c r="T434">
        <v>1335</v>
      </c>
      <c r="U434">
        <v>-3.39</v>
      </c>
      <c r="W434">
        <v>2.04</v>
      </c>
      <c r="X434">
        <v>328000000</v>
      </c>
    </row>
    <row r="435" spans="1:24" x14ac:dyDescent="0.25">
      <c r="A435" t="s">
        <v>456</v>
      </c>
      <c r="B435">
        <v>434</v>
      </c>
      <c r="C435">
        <v>0.03</v>
      </c>
      <c r="D435">
        <v>-25</v>
      </c>
      <c r="E435">
        <v>153200</v>
      </c>
      <c r="F435">
        <v>4798</v>
      </c>
      <c r="G435">
        <v>530813617.68000001</v>
      </c>
      <c r="H435">
        <v>707751490.24000001</v>
      </c>
      <c r="I435">
        <v>6.56</v>
      </c>
      <c r="J435">
        <v>8.8825109999999992</v>
      </c>
      <c r="L435">
        <v>-0.83953799694903641</v>
      </c>
      <c r="M435">
        <v>-0.83953800000000001</v>
      </c>
      <c r="N435">
        <v>-4.6704486161839318</v>
      </c>
      <c r="O435">
        <v>-4.6704489999999996</v>
      </c>
      <c r="P435">
        <v>8.75</v>
      </c>
      <c r="Q435" t="s">
        <v>22</v>
      </c>
      <c r="R435" t="s">
        <v>22</v>
      </c>
      <c r="V435">
        <v>3</v>
      </c>
      <c r="X435">
        <v>17693787256</v>
      </c>
    </row>
    <row r="436" spans="1:24" x14ac:dyDescent="0.25">
      <c r="A436" t="s">
        <v>302</v>
      </c>
      <c r="B436">
        <v>435</v>
      </c>
      <c r="C436">
        <v>1.77</v>
      </c>
      <c r="D436">
        <v>1.1399999999999999</v>
      </c>
      <c r="E436">
        <v>13136</v>
      </c>
      <c r="F436">
        <v>23413</v>
      </c>
      <c r="G436">
        <v>271449814.88</v>
      </c>
      <c r="H436">
        <v>279074809.68000001</v>
      </c>
      <c r="I436">
        <v>0.56999999999999995</v>
      </c>
      <c r="J436">
        <v>0.64455499999999999</v>
      </c>
      <c r="K436">
        <v>0.01</v>
      </c>
      <c r="L436">
        <v>0.01</v>
      </c>
      <c r="M436">
        <v>0.80670399999999998</v>
      </c>
      <c r="N436">
        <v>-0.35583399999999998</v>
      </c>
      <c r="O436">
        <v>0.36484499999999997</v>
      </c>
      <c r="P436">
        <v>0.56000000000000005</v>
      </c>
      <c r="Q436" t="s">
        <v>22</v>
      </c>
      <c r="R436" t="s">
        <v>22</v>
      </c>
      <c r="S436">
        <v>1345</v>
      </c>
      <c r="T436">
        <v>1322</v>
      </c>
      <c r="U436">
        <v>-2.63</v>
      </c>
      <c r="V436">
        <v>4</v>
      </c>
      <c r="W436">
        <v>3.13</v>
      </c>
      <c r="X436">
        <v>152499896</v>
      </c>
    </row>
    <row r="437" spans="1:24" x14ac:dyDescent="0.25">
      <c r="A437" t="s">
        <v>457</v>
      </c>
      <c r="B437">
        <v>436</v>
      </c>
      <c r="C437">
        <v>3.56</v>
      </c>
      <c r="D437">
        <v>-1.1100000000000001</v>
      </c>
      <c r="E437">
        <v>8701540</v>
      </c>
      <c r="F437">
        <v>31411888.079999998</v>
      </c>
      <c r="G437">
        <v>4806000000</v>
      </c>
      <c r="H437">
        <v>7.39</v>
      </c>
      <c r="I437">
        <v>0.86</v>
      </c>
      <c r="J437">
        <v>1.031698</v>
      </c>
      <c r="K437">
        <v>4.1099999999999998E-2</v>
      </c>
      <c r="L437">
        <v>0.28000000000000003</v>
      </c>
      <c r="M437">
        <v>9.6605000000000008</v>
      </c>
      <c r="N437">
        <v>12.374233</v>
      </c>
      <c r="O437">
        <v>32.352262000000003</v>
      </c>
      <c r="P437">
        <v>1.1499999999999999</v>
      </c>
      <c r="Q437" t="s">
        <v>22</v>
      </c>
      <c r="R437" t="s">
        <v>22</v>
      </c>
      <c r="S437">
        <v>341</v>
      </c>
      <c r="T437">
        <v>505</v>
      </c>
      <c r="U437">
        <v>0.24</v>
      </c>
      <c r="V437">
        <v>3</v>
      </c>
      <c r="W437">
        <v>4.12</v>
      </c>
      <c r="X437">
        <v>1350000000</v>
      </c>
    </row>
    <row r="438" spans="1:24" x14ac:dyDescent="0.25">
      <c r="A438" t="s">
        <v>458</v>
      </c>
      <c r="B438">
        <v>437</v>
      </c>
      <c r="C438">
        <v>0.45</v>
      </c>
      <c r="D438">
        <v>0</v>
      </c>
      <c r="E438">
        <v>206705</v>
      </c>
      <c r="F438">
        <v>95080.3</v>
      </c>
      <c r="G438">
        <v>560377660.95000005</v>
      </c>
      <c r="H438">
        <v>547924824.03999996</v>
      </c>
      <c r="I438">
        <v>0.19</v>
      </c>
      <c r="J438">
        <v>0.59988699999999995</v>
      </c>
      <c r="K438">
        <v>0.05</v>
      </c>
      <c r="L438">
        <v>-0.03</v>
      </c>
      <c r="M438">
        <v>-1.6363859999999999</v>
      </c>
      <c r="N438">
        <v>-3.944734</v>
      </c>
      <c r="O438">
        <v>-8.7931600000000003</v>
      </c>
      <c r="P438">
        <v>0.19</v>
      </c>
      <c r="Q438" t="s">
        <v>22</v>
      </c>
      <c r="R438" t="s">
        <v>22</v>
      </c>
      <c r="V438">
        <v>4</v>
      </c>
      <c r="W438">
        <v>2.3199999999999998</v>
      </c>
      <c r="X438">
        <v>1245283691</v>
      </c>
    </row>
    <row r="439" spans="1:24" x14ac:dyDescent="0.25">
      <c r="A439" t="s">
        <v>459</v>
      </c>
      <c r="B439">
        <v>438</v>
      </c>
      <c r="C439">
        <v>0.08</v>
      </c>
      <c r="D439">
        <v>0</v>
      </c>
      <c r="E439">
        <v>1155000</v>
      </c>
      <c r="F439">
        <v>94195</v>
      </c>
      <c r="G439">
        <v>57538719.439999998</v>
      </c>
      <c r="H439">
        <v>93500419.090000004</v>
      </c>
      <c r="I439">
        <v>10.15</v>
      </c>
      <c r="J439">
        <v>87.182085999999998</v>
      </c>
      <c r="K439">
        <v>-7.0000000000000007E-2</v>
      </c>
      <c r="L439">
        <v>-7.0000000000000007E-2</v>
      </c>
      <c r="M439">
        <v>-16.529736</v>
      </c>
      <c r="N439">
        <v>-299.18800299999998</v>
      </c>
      <c r="O439">
        <v>-27.809411999999998</v>
      </c>
      <c r="P439">
        <v>16.489999999999998</v>
      </c>
      <c r="Q439" t="s">
        <v>22</v>
      </c>
      <c r="R439" t="s">
        <v>22</v>
      </c>
      <c r="V439">
        <v>4</v>
      </c>
      <c r="W439">
        <v>0.01</v>
      </c>
      <c r="X439">
        <v>719233993</v>
      </c>
    </row>
    <row r="440" spans="1:24" x14ac:dyDescent="0.25">
      <c r="A440" t="s">
        <v>460</v>
      </c>
      <c r="B440">
        <v>439</v>
      </c>
      <c r="C440">
        <v>1.02</v>
      </c>
      <c r="D440">
        <v>-1.92</v>
      </c>
      <c r="E440">
        <v>7500</v>
      </c>
      <c r="F440">
        <v>7663</v>
      </c>
      <c r="G440">
        <v>183600000</v>
      </c>
      <c r="H440">
        <v>9.9</v>
      </c>
      <c r="I440">
        <v>1.05</v>
      </c>
      <c r="J440">
        <v>0.31154500000000002</v>
      </c>
      <c r="K440">
        <v>5.7000000000000002E-2</v>
      </c>
      <c r="L440">
        <v>0.05</v>
      </c>
      <c r="M440">
        <v>10.320307</v>
      </c>
      <c r="N440">
        <v>10.505267999999999</v>
      </c>
      <c r="O440">
        <v>8.6071010000000001</v>
      </c>
      <c r="P440">
        <v>11.03</v>
      </c>
      <c r="Q440" t="s">
        <v>22</v>
      </c>
      <c r="R440" t="s">
        <v>22</v>
      </c>
      <c r="S440">
        <v>531</v>
      </c>
      <c r="T440">
        <v>426</v>
      </c>
      <c r="U440">
        <v>0.34</v>
      </c>
      <c r="W440">
        <v>0.97</v>
      </c>
      <c r="X440">
        <v>180000000</v>
      </c>
    </row>
    <row r="441" spans="1:24" x14ac:dyDescent="0.25">
      <c r="A441" t="s">
        <v>461</v>
      </c>
      <c r="B441">
        <v>440</v>
      </c>
      <c r="C441">
        <v>1.72</v>
      </c>
      <c r="D441">
        <v>1.18</v>
      </c>
      <c r="E441">
        <v>88900</v>
      </c>
      <c r="F441">
        <v>152124</v>
      </c>
      <c r="G441">
        <v>785853603.60000002</v>
      </c>
      <c r="H441">
        <v>15.55</v>
      </c>
      <c r="I441">
        <v>0.77</v>
      </c>
      <c r="J441">
        <v>0.32389699999999999</v>
      </c>
      <c r="K441">
        <v>3.5000000000000003E-2</v>
      </c>
      <c r="L441">
        <v>0.08</v>
      </c>
      <c r="M441">
        <v>5.5197620000000001</v>
      </c>
      <c r="N441">
        <v>5.1271440000000004</v>
      </c>
      <c r="O441">
        <v>6.3469470000000001</v>
      </c>
      <c r="P441">
        <v>2.0299999999999998</v>
      </c>
      <c r="Q441" t="s">
        <v>22</v>
      </c>
      <c r="R441" t="s">
        <v>22</v>
      </c>
      <c r="S441">
        <v>1200</v>
      </c>
      <c r="T441">
        <v>1146</v>
      </c>
      <c r="U441">
        <v>2.0699999999999998</v>
      </c>
      <c r="V441">
        <v>4</v>
      </c>
      <c r="W441">
        <v>2.2200000000000002</v>
      </c>
      <c r="X441">
        <v>456891630</v>
      </c>
    </row>
    <row r="442" spans="1:24" x14ac:dyDescent="0.25">
      <c r="A442" t="s">
        <v>462</v>
      </c>
      <c r="B442">
        <v>441</v>
      </c>
      <c r="C442">
        <v>23.7</v>
      </c>
      <c r="D442">
        <v>-1.25</v>
      </c>
      <c r="E442">
        <v>167228</v>
      </c>
      <c r="F442">
        <v>3977259.1</v>
      </c>
      <c r="G442">
        <v>7110000000</v>
      </c>
      <c r="H442">
        <v>13.43</v>
      </c>
      <c r="I442">
        <v>1.41</v>
      </c>
      <c r="J442">
        <v>1.5289999999999999</v>
      </c>
      <c r="K442">
        <v>1.35</v>
      </c>
      <c r="L442">
        <v>1.01</v>
      </c>
      <c r="M442">
        <v>6.4267380000000003</v>
      </c>
      <c r="N442">
        <v>10.563255</v>
      </c>
      <c r="O442">
        <v>5.3145519999999999</v>
      </c>
      <c r="P442">
        <v>5.7</v>
      </c>
      <c r="Q442" t="s">
        <v>22</v>
      </c>
      <c r="R442" t="s">
        <v>22</v>
      </c>
      <c r="S442">
        <v>896</v>
      </c>
      <c r="T442">
        <v>925</v>
      </c>
      <c r="U442">
        <v>-1.58</v>
      </c>
      <c r="V442">
        <v>4</v>
      </c>
      <c r="W442">
        <v>16.86</v>
      </c>
      <c r="X442">
        <v>300000000</v>
      </c>
    </row>
    <row r="443" spans="1:24" x14ac:dyDescent="0.25">
      <c r="A443" t="s">
        <v>463</v>
      </c>
      <c r="B443">
        <v>442</v>
      </c>
      <c r="C443">
        <v>0.22</v>
      </c>
      <c r="D443">
        <v>-8.33</v>
      </c>
      <c r="E443">
        <v>25300</v>
      </c>
      <c r="F443">
        <v>5779</v>
      </c>
      <c r="G443">
        <v>511583729.36000001</v>
      </c>
      <c r="H443">
        <v>10.97</v>
      </c>
      <c r="I443">
        <v>0.82</v>
      </c>
      <c r="J443">
        <v>2.0382000000000001E-2</v>
      </c>
      <c r="K443">
        <v>0.02</v>
      </c>
      <c r="L443">
        <v>0.02</v>
      </c>
      <c r="M443">
        <v>7.6112549999999999</v>
      </c>
      <c r="N443">
        <v>7.7547610000000002</v>
      </c>
      <c r="O443">
        <v>145.85673600000001</v>
      </c>
      <c r="P443">
        <v>0.82</v>
      </c>
      <c r="Q443" t="s">
        <v>22</v>
      </c>
      <c r="R443" t="s">
        <v>22</v>
      </c>
      <c r="S443">
        <v>1295</v>
      </c>
      <c r="T443">
        <v>1317</v>
      </c>
      <c r="U443">
        <v>-1.62</v>
      </c>
      <c r="V443">
        <v>5</v>
      </c>
      <c r="W443">
        <v>0.27</v>
      </c>
      <c r="X443">
        <v>2325380588</v>
      </c>
    </row>
    <row r="444" spans="1:24" x14ac:dyDescent="0.25">
      <c r="A444" t="s">
        <v>464</v>
      </c>
      <c r="B444">
        <v>443</v>
      </c>
      <c r="C444">
        <v>4.6399999999999997</v>
      </c>
      <c r="D444">
        <v>1.75</v>
      </c>
      <c r="E444">
        <v>23037522</v>
      </c>
      <c r="F444">
        <v>106329445.78</v>
      </c>
      <c r="G444">
        <v>8573863804</v>
      </c>
      <c r="H444">
        <v>6.07</v>
      </c>
      <c r="I444">
        <v>0.86</v>
      </c>
      <c r="J444">
        <v>1.156793</v>
      </c>
      <c r="K444">
        <v>0.05</v>
      </c>
      <c r="L444">
        <v>0.37</v>
      </c>
      <c r="M444">
        <v>9.5376890000000003</v>
      </c>
      <c r="N444">
        <v>14.870926000000001</v>
      </c>
      <c r="O444">
        <v>4.8107049999999996</v>
      </c>
      <c r="P444">
        <v>6.68</v>
      </c>
      <c r="Q444" t="s">
        <v>22</v>
      </c>
      <c r="R444" t="s">
        <v>22</v>
      </c>
      <c r="S444">
        <v>219</v>
      </c>
      <c r="T444">
        <v>254</v>
      </c>
      <c r="U444">
        <v>6.14</v>
      </c>
      <c r="V444">
        <v>5</v>
      </c>
      <c r="W444">
        <v>5.37</v>
      </c>
      <c r="X444">
        <v>1847815475</v>
      </c>
    </row>
    <row r="445" spans="1:24" x14ac:dyDescent="0.25">
      <c r="A445" t="s">
        <v>465</v>
      </c>
      <c r="B445">
        <v>444</v>
      </c>
      <c r="C445">
        <v>12.5</v>
      </c>
      <c r="D445">
        <v>0.81</v>
      </c>
      <c r="E445">
        <v>486051</v>
      </c>
      <c r="F445">
        <v>6111452.5</v>
      </c>
      <c r="G445">
        <v>2500000000</v>
      </c>
      <c r="H445">
        <v>12.89</v>
      </c>
      <c r="I445">
        <v>5.97</v>
      </c>
      <c r="J445">
        <v>0.37432799999999999</v>
      </c>
      <c r="K445">
        <v>0.8</v>
      </c>
      <c r="L445">
        <v>0.37</v>
      </c>
      <c r="M445">
        <v>38.213129000000002</v>
      </c>
      <c r="N445">
        <v>43.897567000000002</v>
      </c>
      <c r="O445">
        <v>26.308779999999999</v>
      </c>
      <c r="P445">
        <v>9.6</v>
      </c>
      <c r="Q445" t="s">
        <v>22</v>
      </c>
      <c r="R445" t="s">
        <v>22</v>
      </c>
      <c r="S445">
        <v>375</v>
      </c>
      <c r="T445">
        <v>361</v>
      </c>
      <c r="U445">
        <v>0.97</v>
      </c>
      <c r="W445">
        <v>2.1</v>
      </c>
      <c r="X445">
        <v>200000000</v>
      </c>
    </row>
    <row r="446" spans="1:24" x14ac:dyDescent="0.25">
      <c r="A446" t="s">
        <v>466</v>
      </c>
      <c r="B446">
        <v>445</v>
      </c>
      <c r="C446">
        <v>92.75</v>
      </c>
      <c r="D446">
        <v>-2.37</v>
      </c>
      <c r="E446">
        <v>1</v>
      </c>
      <c r="F446">
        <v>120.5</v>
      </c>
      <c r="G446">
        <v>927500000</v>
      </c>
      <c r="H446">
        <v>22.82</v>
      </c>
      <c r="I446">
        <v>1.77</v>
      </c>
      <c r="J446">
        <v>0.220415</v>
      </c>
      <c r="K446">
        <v>1.6</v>
      </c>
      <c r="L446">
        <v>1.75</v>
      </c>
      <c r="M446">
        <v>8.2865929999999999</v>
      </c>
      <c r="N446">
        <v>7.9236909999999998</v>
      </c>
      <c r="O446">
        <v>7.6467400000000003</v>
      </c>
      <c r="P446">
        <v>1.73</v>
      </c>
      <c r="Q446" t="s">
        <v>22</v>
      </c>
      <c r="R446" t="s">
        <v>22</v>
      </c>
      <c r="S446">
        <v>947</v>
      </c>
      <c r="T446">
        <v>807</v>
      </c>
      <c r="U446">
        <v>0.1</v>
      </c>
      <c r="W446">
        <v>52.5</v>
      </c>
      <c r="X446">
        <v>10000000</v>
      </c>
    </row>
    <row r="447" spans="1:24" x14ac:dyDescent="0.25">
      <c r="A447" t="s">
        <v>467</v>
      </c>
      <c r="B447">
        <v>446</v>
      </c>
      <c r="C447">
        <v>0.99</v>
      </c>
      <c r="D447">
        <v>0</v>
      </c>
      <c r="E447">
        <v>3573850</v>
      </c>
      <c r="F447">
        <v>3524376.64</v>
      </c>
      <c r="G447">
        <v>5929505280.2700005</v>
      </c>
      <c r="H447">
        <v>5989399273</v>
      </c>
      <c r="I447">
        <v>1.46</v>
      </c>
      <c r="J447">
        <v>0.483236</v>
      </c>
      <c r="K447">
        <v>-0.04</v>
      </c>
      <c r="L447">
        <v>-0.04</v>
      </c>
      <c r="M447">
        <v>-18.650706</v>
      </c>
      <c r="N447">
        <v>-24.477509000000001</v>
      </c>
      <c r="O447">
        <v>-41.236567999999998</v>
      </c>
      <c r="P447">
        <v>1.47</v>
      </c>
      <c r="Q447" t="s">
        <v>22</v>
      </c>
      <c r="R447" t="s">
        <v>22</v>
      </c>
      <c r="W447">
        <v>0.68</v>
      </c>
      <c r="X447">
        <v>5989399273</v>
      </c>
    </row>
    <row r="448" spans="1:24" x14ac:dyDescent="0.25">
      <c r="A448" t="s">
        <v>468</v>
      </c>
      <c r="B448">
        <v>447</v>
      </c>
      <c r="C448">
        <v>2026</v>
      </c>
      <c r="D448">
        <v>0</v>
      </c>
      <c r="E448">
        <v>0</v>
      </c>
      <c r="F448">
        <v>0</v>
      </c>
      <c r="G448">
        <v>1349</v>
      </c>
      <c r="H448">
        <v>0</v>
      </c>
      <c r="I448">
        <v>3.0486559288155775</v>
      </c>
      <c r="J448">
        <v>3.0486559999999998</v>
      </c>
      <c r="K448">
        <v>0.18</v>
      </c>
      <c r="L448">
        <v>0.19</v>
      </c>
      <c r="M448">
        <v>7.5575260000000002</v>
      </c>
      <c r="N448">
        <v>13.980321999999999</v>
      </c>
      <c r="O448">
        <v>13.488106</v>
      </c>
      <c r="P448">
        <v>0</v>
      </c>
      <c r="Q448" t="s">
        <v>22</v>
      </c>
      <c r="R448" t="s">
        <v>22</v>
      </c>
      <c r="S448">
        <v>1097</v>
      </c>
      <c r="T448">
        <v>1079</v>
      </c>
      <c r="U448">
        <v>10.81</v>
      </c>
      <c r="W448">
        <v>1.87</v>
      </c>
      <c r="X448">
        <v>1087833099</v>
      </c>
    </row>
    <row r="449" spans="1:24" x14ac:dyDescent="0.25">
      <c r="A449" t="s">
        <v>469</v>
      </c>
      <c r="B449">
        <v>448</v>
      </c>
      <c r="C449">
        <v>2026</v>
      </c>
      <c r="D449">
        <v>-3.5532994923857832</v>
      </c>
      <c r="E449">
        <v>646620</v>
      </c>
      <c r="F449">
        <v>9399.7878500000006</v>
      </c>
      <c r="G449">
        <v>985000000</v>
      </c>
      <c r="H449">
        <v>950000000</v>
      </c>
      <c r="I449">
        <v>0.49</v>
      </c>
      <c r="J449">
        <v>1.441773</v>
      </c>
      <c r="K449">
        <v>1.5</v>
      </c>
      <c r="L449">
        <v>2.2200000000000002</v>
      </c>
      <c r="M449">
        <v>-1.762672</v>
      </c>
      <c r="N449">
        <v>-3.9570989999999999</v>
      </c>
      <c r="O449">
        <v>5.2954549999999996</v>
      </c>
      <c r="P449">
        <v>0.48</v>
      </c>
      <c r="Q449" t="s">
        <v>22</v>
      </c>
      <c r="R449" t="s">
        <v>22</v>
      </c>
      <c r="V449">
        <v>5</v>
      </c>
      <c r="W449">
        <v>39.840000000000003</v>
      </c>
      <c r="X449">
        <v>50000000</v>
      </c>
    </row>
    <row r="450" spans="1:24" x14ac:dyDescent="0.25">
      <c r="A450" t="s">
        <v>470</v>
      </c>
      <c r="B450">
        <v>449</v>
      </c>
      <c r="C450">
        <v>3.7</v>
      </c>
      <c r="D450">
        <v>0</v>
      </c>
      <c r="E450">
        <v>151000</v>
      </c>
      <c r="F450">
        <v>558578</v>
      </c>
      <c r="G450">
        <v>1979500000</v>
      </c>
      <c r="H450">
        <v>17.02</v>
      </c>
      <c r="I450">
        <v>1.02</v>
      </c>
      <c r="J450">
        <v>0.43687199999999998</v>
      </c>
      <c r="K450">
        <v>0.18</v>
      </c>
      <c r="L450">
        <v>0.04</v>
      </c>
      <c r="M450">
        <v>6.7815669999999999</v>
      </c>
      <c r="N450">
        <v>6.0089319999999997</v>
      </c>
      <c r="O450">
        <v>1.9322029999999999</v>
      </c>
      <c r="P450">
        <v>4.8600000000000003</v>
      </c>
      <c r="Q450" t="s">
        <v>22</v>
      </c>
      <c r="R450" t="s">
        <v>22</v>
      </c>
      <c r="S450">
        <v>972</v>
      </c>
      <c r="T450">
        <v>817</v>
      </c>
      <c r="U450">
        <v>-1.04</v>
      </c>
      <c r="W450">
        <v>3.63</v>
      </c>
      <c r="X450">
        <v>535000000</v>
      </c>
    </row>
    <row r="451" spans="1:24" x14ac:dyDescent="0.25">
      <c r="A451" t="s">
        <v>471</v>
      </c>
      <c r="B451">
        <v>450</v>
      </c>
      <c r="C451">
        <v>0.61</v>
      </c>
      <c r="D451">
        <v>0</v>
      </c>
      <c r="E451">
        <v>24200</v>
      </c>
      <c r="F451">
        <v>14808</v>
      </c>
      <c r="G451">
        <v>305000000</v>
      </c>
      <c r="H451">
        <v>305000000</v>
      </c>
      <c r="I451">
        <v>0.41</v>
      </c>
      <c r="J451">
        <v>0.60894899999999996</v>
      </c>
      <c r="K451">
        <v>0.04</v>
      </c>
      <c r="L451">
        <v>-0.06</v>
      </c>
      <c r="M451">
        <v>-2.5800640000000001</v>
      </c>
      <c r="N451">
        <v>-3.7882799999999999</v>
      </c>
      <c r="O451">
        <v>-5.4865310000000003</v>
      </c>
      <c r="P451">
        <v>0.41</v>
      </c>
      <c r="Q451" t="s">
        <v>22</v>
      </c>
      <c r="R451" t="s">
        <v>22</v>
      </c>
      <c r="V451">
        <v>4</v>
      </c>
      <c r="W451">
        <v>1.5</v>
      </c>
      <c r="X451">
        <v>500000000</v>
      </c>
    </row>
    <row r="452" spans="1:24" x14ac:dyDescent="0.25">
      <c r="A452" t="s">
        <v>472</v>
      </c>
      <c r="B452">
        <v>451</v>
      </c>
      <c r="C452">
        <v>1.81</v>
      </c>
      <c r="D452">
        <v>1.1200000000000001</v>
      </c>
      <c r="E452">
        <v>71717</v>
      </c>
      <c r="F452">
        <v>129252.44</v>
      </c>
      <c r="G452">
        <v>3707341300.2199998</v>
      </c>
      <c r="H452">
        <v>6.51</v>
      </c>
      <c r="I452">
        <v>0.9</v>
      </c>
      <c r="J452">
        <v>0.30479200000000001</v>
      </c>
      <c r="K452">
        <v>7.0000000000000007E-2</v>
      </c>
      <c r="L452">
        <v>0.19</v>
      </c>
      <c r="M452">
        <v>13.827531</v>
      </c>
      <c r="N452">
        <v>14.410488000000001</v>
      </c>
      <c r="O452">
        <v>32.530735</v>
      </c>
      <c r="P452">
        <v>6.08</v>
      </c>
      <c r="Q452" t="s">
        <v>22</v>
      </c>
      <c r="R452" t="s">
        <v>22</v>
      </c>
      <c r="S452">
        <v>800</v>
      </c>
      <c r="T452">
        <v>705</v>
      </c>
      <c r="U452">
        <v>5.24</v>
      </c>
      <c r="W452">
        <v>2.0099999999999998</v>
      </c>
      <c r="X452">
        <v>2048254862</v>
      </c>
    </row>
    <row r="453" spans="1:24" x14ac:dyDescent="0.25">
      <c r="A453" t="s">
        <v>473</v>
      </c>
      <c r="B453">
        <v>452</v>
      </c>
      <c r="C453">
        <v>1.62</v>
      </c>
      <c r="D453">
        <v>-1.22</v>
      </c>
      <c r="E453">
        <v>2381562</v>
      </c>
      <c r="F453">
        <v>3873677.43</v>
      </c>
      <c r="G453">
        <v>2218450179.4200001</v>
      </c>
      <c r="H453">
        <v>11.27</v>
      </c>
      <c r="I453">
        <v>0.35</v>
      </c>
      <c r="J453">
        <v>2.515838</v>
      </c>
      <c r="K453">
        <v>0.104</v>
      </c>
      <c r="L453">
        <v>-0.27</v>
      </c>
      <c r="M453">
        <v>3.489554</v>
      </c>
      <c r="N453">
        <v>3.132517</v>
      </c>
      <c r="O453">
        <v>-14.074631</v>
      </c>
      <c r="P453">
        <v>0.37</v>
      </c>
      <c r="Q453" t="s">
        <v>22</v>
      </c>
      <c r="R453" t="s">
        <v>22</v>
      </c>
      <c r="S453">
        <v>373</v>
      </c>
      <c r="T453">
        <v>506</v>
      </c>
      <c r="U453">
        <v>0.54</v>
      </c>
      <c r="V453">
        <v>5</v>
      </c>
      <c r="W453">
        <v>4.66</v>
      </c>
      <c r="X453">
        <v>1369413691</v>
      </c>
    </row>
    <row r="454" spans="1:24" x14ac:dyDescent="0.25">
      <c r="A454" t="s">
        <v>474</v>
      </c>
      <c r="B454">
        <v>453</v>
      </c>
      <c r="C454">
        <v>6.3</v>
      </c>
      <c r="D454">
        <v>12.5</v>
      </c>
      <c r="E454">
        <v>8</v>
      </c>
      <c r="F454">
        <v>49.65</v>
      </c>
      <c r="G454">
        <v>720972027.60000002</v>
      </c>
      <c r="H454">
        <v>656494854.39999998</v>
      </c>
      <c r="I454">
        <v>0.61</v>
      </c>
      <c r="J454">
        <v>2.4619149999999999</v>
      </c>
      <c r="K454">
        <v>1.1100000000000001</v>
      </c>
      <c r="L454">
        <v>-0.63</v>
      </c>
      <c r="M454">
        <v>0.860599</v>
      </c>
      <c r="N454">
        <v>-9.5387020000000007</v>
      </c>
      <c r="O454">
        <v>-20.048824</v>
      </c>
      <c r="P454">
        <v>0.56000000000000005</v>
      </c>
      <c r="Q454" t="s">
        <v>22</v>
      </c>
      <c r="R454" t="s">
        <v>22</v>
      </c>
      <c r="V454">
        <v>3</v>
      </c>
      <c r="W454">
        <v>10.07</v>
      </c>
      <c r="X454">
        <v>117231224</v>
      </c>
    </row>
    <row r="455" spans="1:24" x14ac:dyDescent="0.25">
      <c r="A455" t="s">
        <v>475</v>
      </c>
      <c r="B455">
        <v>454</v>
      </c>
      <c r="C455">
        <v>12.5</v>
      </c>
      <c r="D455">
        <v>0</v>
      </c>
      <c r="E455">
        <v>1</v>
      </c>
      <c r="F455">
        <v>12.5</v>
      </c>
      <c r="G455">
        <v>129000000</v>
      </c>
      <c r="H455">
        <v>13.22</v>
      </c>
      <c r="I455">
        <v>0.28999999999999998</v>
      </c>
      <c r="J455">
        <v>0.13095499999999999</v>
      </c>
      <c r="K455">
        <v>0.25</v>
      </c>
      <c r="L455">
        <v>-0.21</v>
      </c>
      <c r="M455">
        <v>3.0164490000000002</v>
      </c>
      <c r="N455">
        <v>2.2076039999999999</v>
      </c>
      <c r="O455">
        <v>-1.6008659999999999</v>
      </c>
      <c r="P455">
        <v>1.94</v>
      </c>
      <c r="Q455" t="s">
        <v>22</v>
      </c>
      <c r="R455" t="s">
        <v>22</v>
      </c>
      <c r="S455">
        <v>667</v>
      </c>
      <c r="T455">
        <v>623</v>
      </c>
      <c r="U455">
        <v>-0.04</v>
      </c>
      <c r="V455">
        <v>3</v>
      </c>
      <c r="W455">
        <v>44.58</v>
      </c>
      <c r="X455">
        <v>10000000</v>
      </c>
    </row>
    <row r="456" spans="1:24" x14ac:dyDescent="0.25">
      <c r="A456" t="s">
        <v>476</v>
      </c>
      <c r="B456">
        <v>455</v>
      </c>
      <c r="C456">
        <v>0.23</v>
      </c>
      <c r="D456">
        <v>0</v>
      </c>
      <c r="E456">
        <v>699791</v>
      </c>
      <c r="F456">
        <v>155090.85999999999</v>
      </c>
      <c r="G456">
        <v>345880272.32999998</v>
      </c>
      <c r="H456">
        <v>330841999.62</v>
      </c>
      <c r="I456">
        <v>0.43</v>
      </c>
      <c r="J456">
        <v>4.3262999999999998</v>
      </c>
      <c r="K456">
        <v>0.03</v>
      </c>
      <c r="L456">
        <v>-0.04</v>
      </c>
      <c r="M456">
        <v>-5.2209029999999998</v>
      </c>
      <c r="N456">
        <v>-29.712657</v>
      </c>
      <c r="O456">
        <v>-5.1830109999999996</v>
      </c>
      <c r="P456">
        <v>0.41</v>
      </c>
      <c r="Q456" t="s">
        <v>22</v>
      </c>
      <c r="R456" t="s">
        <v>22</v>
      </c>
      <c r="V456">
        <v>5</v>
      </c>
      <c r="W456">
        <v>0.54</v>
      </c>
      <c r="X456">
        <v>1503827271</v>
      </c>
    </row>
    <row r="457" spans="1:24" x14ac:dyDescent="0.25">
      <c r="A457" t="s">
        <v>477</v>
      </c>
      <c r="B457">
        <v>456</v>
      </c>
      <c r="C457">
        <v>23.1</v>
      </c>
      <c r="D457">
        <v>0</v>
      </c>
      <c r="E457">
        <v>634485</v>
      </c>
      <c r="F457">
        <v>14699172.4</v>
      </c>
      <c r="G457">
        <v>6930000000</v>
      </c>
      <c r="H457">
        <v>11.91</v>
      </c>
      <c r="I457">
        <v>2.98</v>
      </c>
      <c r="J457">
        <v>0.78129400000000004</v>
      </c>
      <c r="K457">
        <v>0.55000000000000004</v>
      </c>
      <c r="L457">
        <v>1.04</v>
      </c>
      <c r="M457">
        <v>19.295632999999999</v>
      </c>
      <c r="N457">
        <v>26.535727000000001</v>
      </c>
      <c r="O457">
        <v>8.317895</v>
      </c>
      <c r="P457">
        <v>4.55</v>
      </c>
      <c r="Q457" t="s">
        <v>22</v>
      </c>
      <c r="R457" t="s">
        <v>22</v>
      </c>
      <c r="S457">
        <v>362</v>
      </c>
      <c r="T457">
        <v>344</v>
      </c>
      <c r="U457">
        <v>0.33</v>
      </c>
      <c r="V457">
        <v>4</v>
      </c>
      <c r="W457">
        <v>7.76</v>
      </c>
      <c r="X457">
        <v>300000000</v>
      </c>
    </row>
    <row r="458" spans="1:24" x14ac:dyDescent="0.25">
      <c r="A458" t="s">
        <v>478</v>
      </c>
      <c r="B458">
        <v>457</v>
      </c>
      <c r="C458">
        <v>13</v>
      </c>
      <c r="D458">
        <v>0.78</v>
      </c>
      <c r="E458">
        <v>399901</v>
      </c>
      <c r="F458">
        <v>5178063</v>
      </c>
      <c r="G458">
        <v>2600000000</v>
      </c>
      <c r="H458">
        <v>7.64</v>
      </c>
      <c r="I458">
        <v>3.68</v>
      </c>
      <c r="J458">
        <v>0.82770699999999997</v>
      </c>
      <c r="K458">
        <v>0.1145</v>
      </c>
      <c r="L458">
        <v>1.38</v>
      </c>
      <c r="M458">
        <v>39.417175999999998</v>
      </c>
      <c r="N458">
        <v>55.465898000000003</v>
      </c>
      <c r="O458">
        <v>10.393815</v>
      </c>
      <c r="P458">
        <v>0.88</v>
      </c>
      <c r="Q458" t="s">
        <v>22</v>
      </c>
      <c r="R458" t="s">
        <v>22</v>
      </c>
      <c r="U458">
        <v>0.03</v>
      </c>
      <c r="W458">
        <v>3.54</v>
      </c>
      <c r="X458">
        <v>200000000</v>
      </c>
    </row>
    <row r="459" spans="1:24" x14ac:dyDescent="0.25">
      <c r="A459" t="s">
        <v>479</v>
      </c>
      <c r="B459">
        <v>458</v>
      </c>
      <c r="C459">
        <v>6.7</v>
      </c>
      <c r="D459">
        <v>-0.74</v>
      </c>
      <c r="E459">
        <v>208456</v>
      </c>
      <c r="F459">
        <v>1402295.2</v>
      </c>
      <c r="G459">
        <v>893331207.20000005</v>
      </c>
      <c r="H459">
        <v>6.99</v>
      </c>
      <c r="I459">
        <v>0.78</v>
      </c>
      <c r="J459">
        <v>0.25116500000000003</v>
      </c>
      <c r="K459">
        <v>0.3</v>
      </c>
      <c r="L459">
        <v>0.5</v>
      </c>
      <c r="M459">
        <v>11.601614</v>
      </c>
      <c r="N459">
        <v>11.542947</v>
      </c>
      <c r="O459">
        <v>10.474216</v>
      </c>
      <c r="P459">
        <v>4.4800000000000004</v>
      </c>
      <c r="Q459" t="s">
        <v>22</v>
      </c>
      <c r="R459" t="s">
        <v>22</v>
      </c>
      <c r="S459">
        <v>339</v>
      </c>
      <c r="T459">
        <v>246</v>
      </c>
      <c r="U459">
        <v>0.4</v>
      </c>
      <c r="V459">
        <v>4</v>
      </c>
      <c r="W459">
        <v>8.64</v>
      </c>
      <c r="X459">
        <v>133333016</v>
      </c>
    </row>
    <row r="460" spans="1:24" x14ac:dyDescent="0.25">
      <c r="A460" t="s">
        <v>480</v>
      </c>
      <c r="B460">
        <v>459</v>
      </c>
      <c r="C460">
        <v>19</v>
      </c>
      <c r="D460">
        <v>0</v>
      </c>
      <c r="E460">
        <v>48534</v>
      </c>
      <c r="F460">
        <v>911840.5</v>
      </c>
      <c r="G460">
        <v>3040000000</v>
      </c>
      <c r="H460">
        <v>13.44</v>
      </c>
      <c r="I460">
        <v>1.1100000000000001</v>
      </c>
      <c r="J460">
        <v>0.119018</v>
      </c>
      <c r="K460">
        <v>1.04</v>
      </c>
      <c r="L460">
        <v>0.51</v>
      </c>
      <c r="M460">
        <v>8.5269410000000008</v>
      </c>
      <c r="N460">
        <v>8.3657509999999995</v>
      </c>
      <c r="O460">
        <v>7.5918380000000001</v>
      </c>
      <c r="P460">
        <v>5.47</v>
      </c>
      <c r="Q460" t="s">
        <v>22</v>
      </c>
      <c r="R460" t="s">
        <v>22</v>
      </c>
      <c r="S460">
        <v>743</v>
      </c>
      <c r="T460">
        <v>623</v>
      </c>
      <c r="U460">
        <v>0.62</v>
      </c>
      <c r="V460">
        <v>4</v>
      </c>
      <c r="W460">
        <v>17.079999999999998</v>
      </c>
      <c r="X460">
        <v>160000000</v>
      </c>
    </row>
    <row r="461" spans="1:24" x14ac:dyDescent="0.25">
      <c r="A461" t="s">
        <v>481</v>
      </c>
      <c r="B461">
        <v>460</v>
      </c>
      <c r="C461">
        <v>4.82</v>
      </c>
      <c r="D461">
        <v>-2.0299999999999998</v>
      </c>
      <c r="E461">
        <v>239561</v>
      </c>
      <c r="F461">
        <v>1160024.8400000001</v>
      </c>
      <c r="G461">
        <v>578400000</v>
      </c>
      <c r="H461">
        <v>12.17</v>
      </c>
      <c r="I461">
        <v>1.1399999999999999</v>
      </c>
      <c r="J461">
        <v>0.36322700000000002</v>
      </c>
      <c r="K461">
        <v>0.4</v>
      </c>
      <c r="L461">
        <v>0.27</v>
      </c>
      <c r="M461">
        <v>9.31386</v>
      </c>
      <c r="N461">
        <v>9.1217439999999996</v>
      </c>
      <c r="O461">
        <v>5.795884</v>
      </c>
      <c r="P461">
        <v>10.99</v>
      </c>
      <c r="Q461" t="s">
        <v>22</v>
      </c>
      <c r="R461" t="s">
        <v>22</v>
      </c>
      <c r="S461">
        <v>710</v>
      </c>
      <c r="T461">
        <v>594</v>
      </c>
      <c r="U461">
        <v>2.39</v>
      </c>
      <c r="W461">
        <v>4.24</v>
      </c>
      <c r="X461">
        <v>120000000</v>
      </c>
    </row>
    <row r="462" spans="1:24" x14ac:dyDescent="0.25">
      <c r="A462" t="s">
        <v>482</v>
      </c>
      <c r="B462">
        <v>461</v>
      </c>
      <c r="C462">
        <v>0.54</v>
      </c>
      <c r="D462">
        <v>0</v>
      </c>
      <c r="E462">
        <v>365200</v>
      </c>
      <c r="F462">
        <v>198068</v>
      </c>
      <c r="G462">
        <v>324000000</v>
      </c>
      <c r="H462">
        <v>324000000</v>
      </c>
      <c r="I462">
        <v>0.28999999999999998</v>
      </c>
      <c r="J462">
        <v>0.105353</v>
      </c>
      <c r="K462">
        <v>0.35</v>
      </c>
      <c r="L462">
        <v>-0.04</v>
      </c>
      <c r="M462">
        <v>-3.4390260000000001</v>
      </c>
      <c r="N462">
        <v>-3.9773000000000001</v>
      </c>
      <c r="O462">
        <v>-4.9751659999999998</v>
      </c>
      <c r="P462">
        <v>0.28999999999999998</v>
      </c>
      <c r="Q462" t="s">
        <v>22</v>
      </c>
      <c r="R462" t="s">
        <v>22</v>
      </c>
      <c r="V462">
        <v>5</v>
      </c>
      <c r="W462">
        <v>1.87</v>
      </c>
      <c r="X462">
        <v>600000000</v>
      </c>
    </row>
    <row r="463" spans="1:24" x14ac:dyDescent="0.25">
      <c r="A463" t="s">
        <v>483</v>
      </c>
      <c r="B463">
        <v>462</v>
      </c>
      <c r="C463">
        <v>0.77</v>
      </c>
      <c r="D463">
        <v>2.67</v>
      </c>
      <c r="E463">
        <v>2500</v>
      </c>
      <c r="F463">
        <v>1940</v>
      </c>
      <c r="G463">
        <v>1425964191.1900001</v>
      </c>
      <c r="H463">
        <v>8.15</v>
      </c>
      <c r="I463">
        <v>0.25</v>
      </c>
      <c r="J463">
        <v>1.6899219999999999</v>
      </c>
      <c r="K463">
        <v>2.5999999999999999E-2</v>
      </c>
      <c r="L463">
        <v>2.38671480569734</v>
      </c>
      <c r="M463">
        <v>2.3867150000000001</v>
      </c>
      <c r="N463">
        <v>3.154293</v>
      </c>
      <c r="O463">
        <v>0.98745099999999997</v>
      </c>
      <c r="P463">
        <v>0.26</v>
      </c>
      <c r="Q463" t="s">
        <v>22</v>
      </c>
      <c r="R463" t="s">
        <v>22</v>
      </c>
      <c r="S463">
        <v>756</v>
      </c>
      <c r="T463">
        <v>774</v>
      </c>
      <c r="U463">
        <v>-1.28</v>
      </c>
      <c r="V463">
        <v>5</v>
      </c>
      <c r="W463">
        <v>3.04</v>
      </c>
      <c r="X463">
        <v>1851901547</v>
      </c>
    </row>
    <row r="464" spans="1:24" x14ac:dyDescent="0.25">
      <c r="A464" t="s">
        <v>484</v>
      </c>
      <c r="B464">
        <v>463</v>
      </c>
      <c r="C464">
        <v>2026</v>
      </c>
      <c r="D464">
        <v>0</v>
      </c>
      <c r="E464">
        <v>0</v>
      </c>
      <c r="F464">
        <v>0</v>
      </c>
      <c r="G464">
        <v>78</v>
      </c>
      <c r="H464">
        <v>0</v>
      </c>
      <c r="I464">
        <v>0</v>
      </c>
      <c r="J464">
        <v>0</v>
      </c>
      <c r="K464">
        <v>-0.22</v>
      </c>
      <c r="L464">
        <v>-0.22</v>
      </c>
      <c r="M464">
        <v>-10.710982</v>
      </c>
      <c r="N464">
        <v>-13.620032930237985</v>
      </c>
      <c r="O464">
        <v>-13.620032999999999</v>
      </c>
      <c r="P464">
        <v>0</v>
      </c>
      <c r="Q464" t="s">
        <v>22</v>
      </c>
      <c r="R464" t="s">
        <v>22</v>
      </c>
      <c r="V464">
        <v>5</v>
      </c>
      <c r="W464">
        <v>-1.5</v>
      </c>
      <c r="X464">
        <v>2585481515</v>
      </c>
    </row>
    <row r="465" spans="1:24" x14ac:dyDescent="0.25">
      <c r="A465" t="s">
        <v>485</v>
      </c>
      <c r="B465">
        <v>464</v>
      </c>
      <c r="C465">
        <v>4.0199999999999996</v>
      </c>
      <c r="D465">
        <v>0.5</v>
      </c>
      <c r="E465">
        <v>708958</v>
      </c>
      <c r="F465">
        <v>2853682.8</v>
      </c>
      <c r="G465">
        <v>4984800000</v>
      </c>
      <c r="H465">
        <v>7.47</v>
      </c>
      <c r="I465">
        <v>1.52</v>
      </c>
      <c r="J465">
        <v>1.013352</v>
      </c>
      <c r="K465">
        <v>0.5</v>
      </c>
      <c r="L465">
        <v>0.19</v>
      </c>
      <c r="M465">
        <v>14.823205</v>
      </c>
      <c r="N465">
        <v>20.418296000000002</v>
      </c>
      <c r="O465">
        <v>22.973324000000002</v>
      </c>
      <c r="P465">
        <v>12.44</v>
      </c>
      <c r="Q465" t="s">
        <v>22</v>
      </c>
      <c r="R465" t="s">
        <v>22</v>
      </c>
      <c r="S465">
        <v>198</v>
      </c>
      <c r="T465">
        <v>188</v>
      </c>
      <c r="U465">
        <v>0.24</v>
      </c>
      <c r="V465">
        <v>5</v>
      </c>
      <c r="W465">
        <v>2.65</v>
      </c>
      <c r="X465">
        <v>1240000000</v>
      </c>
    </row>
    <row r="466" spans="1:24" x14ac:dyDescent="0.25">
      <c r="A466" t="s">
        <v>486</v>
      </c>
      <c r="B466">
        <v>465</v>
      </c>
      <c r="C466">
        <v>9.5500000000000007</v>
      </c>
      <c r="D466">
        <v>-0.52</v>
      </c>
      <c r="E466">
        <v>170</v>
      </c>
      <c r="F466">
        <v>1623.5</v>
      </c>
      <c r="G466">
        <v>573000000</v>
      </c>
      <c r="H466">
        <v>576000000</v>
      </c>
      <c r="I466">
        <v>0.56000000000000005</v>
      </c>
      <c r="J466">
        <v>0.17491300000000001</v>
      </c>
      <c r="K466">
        <v>0.05</v>
      </c>
      <c r="L466">
        <v>0.08</v>
      </c>
      <c r="M466">
        <v>0.30823899999999999</v>
      </c>
      <c r="N466">
        <v>-4.3993999999999998E-2</v>
      </c>
      <c r="O466">
        <v>1.1502790000000001</v>
      </c>
      <c r="P466">
        <v>0.52</v>
      </c>
      <c r="Q466" t="s">
        <v>22</v>
      </c>
      <c r="R466" t="s">
        <v>22</v>
      </c>
      <c r="V466">
        <v>5</v>
      </c>
      <c r="W466">
        <v>17.170000000000002</v>
      </c>
      <c r="X466">
        <v>60000000</v>
      </c>
    </row>
    <row r="467" spans="1:24" x14ac:dyDescent="0.25">
      <c r="A467" t="s">
        <v>487</v>
      </c>
      <c r="B467">
        <v>466</v>
      </c>
      <c r="C467">
        <v>8.8000000000000007</v>
      </c>
      <c r="D467">
        <v>-1.68</v>
      </c>
      <c r="E467">
        <v>1000</v>
      </c>
      <c r="F467">
        <v>8800</v>
      </c>
      <c r="G467">
        <v>187710292</v>
      </c>
      <c r="H467">
        <v>191976435</v>
      </c>
      <c r="I467">
        <v>0.11</v>
      </c>
      <c r="J467">
        <v>1.2660450000000001</v>
      </c>
      <c r="K467">
        <v>0.56999999999999995</v>
      </c>
      <c r="L467">
        <v>-4.3899999999999997</v>
      </c>
      <c r="M467">
        <v>-2.4264679999999998</v>
      </c>
      <c r="N467">
        <v>-7.6531669999999998</v>
      </c>
      <c r="O467">
        <v>-11.954541000000001</v>
      </c>
      <c r="P467">
        <v>0.11</v>
      </c>
      <c r="Q467" t="s">
        <v>22</v>
      </c>
      <c r="R467" t="s">
        <v>22</v>
      </c>
      <c r="V467">
        <v>3</v>
      </c>
      <c r="W467">
        <v>79.53</v>
      </c>
      <c r="X467">
        <v>21330715</v>
      </c>
    </row>
    <row r="468" spans="1:24" x14ac:dyDescent="0.25">
      <c r="A468" t="s">
        <v>488</v>
      </c>
      <c r="B468">
        <v>467</v>
      </c>
      <c r="C468">
        <v>275</v>
      </c>
      <c r="D468">
        <v>4.17</v>
      </c>
      <c r="E468">
        <v>1</v>
      </c>
      <c r="F468">
        <v>280</v>
      </c>
      <c r="G468">
        <v>4000917000</v>
      </c>
      <c r="H468">
        <v>10.95</v>
      </c>
      <c r="I468">
        <v>1.32</v>
      </c>
      <c r="J468">
        <v>0.91287399999999996</v>
      </c>
      <c r="K468">
        <v>14.82</v>
      </c>
      <c r="L468">
        <v>14.82</v>
      </c>
      <c r="M468">
        <v>8.8496400000000008</v>
      </c>
      <c r="N468">
        <v>12.85482</v>
      </c>
      <c r="O468">
        <v>15.266019</v>
      </c>
      <c r="P468">
        <v>1.32</v>
      </c>
      <c r="Q468" t="s">
        <v>22</v>
      </c>
      <c r="R468" t="s">
        <v>22</v>
      </c>
      <c r="S468">
        <v>601</v>
      </c>
      <c r="T468">
        <v>613</v>
      </c>
      <c r="U468">
        <v>0.4</v>
      </c>
      <c r="W468">
        <v>200.47</v>
      </c>
      <c r="X468">
        <v>15097800</v>
      </c>
    </row>
    <row r="469" spans="1:24" x14ac:dyDescent="0.25">
      <c r="A469" t="s">
        <v>489</v>
      </c>
      <c r="B469">
        <v>468</v>
      </c>
      <c r="C469">
        <v>3.38</v>
      </c>
      <c r="D469">
        <v>0.6</v>
      </c>
      <c r="E469">
        <v>491052</v>
      </c>
      <c r="F469">
        <v>1663897.36</v>
      </c>
      <c r="G469">
        <v>2058420000</v>
      </c>
      <c r="H469">
        <v>1997520000</v>
      </c>
      <c r="I469">
        <v>1.28</v>
      </c>
      <c r="J469">
        <v>0.45737499999999998</v>
      </c>
      <c r="K469">
        <v>7.0000000000000007E-2</v>
      </c>
      <c r="L469">
        <v>-0.09</v>
      </c>
      <c r="M469">
        <v>-3.0397989999999999</v>
      </c>
      <c r="N469">
        <v>-4.3375769999999996</v>
      </c>
      <c r="O469">
        <v>-4.7689380000000003</v>
      </c>
      <c r="P469">
        <v>2.0699999999999998</v>
      </c>
      <c r="Q469" t="s">
        <v>22</v>
      </c>
      <c r="R469" t="s">
        <v>22</v>
      </c>
      <c r="V469">
        <v>4</v>
      </c>
      <c r="W469">
        <v>2.65</v>
      </c>
      <c r="X469">
        <v>609000000</v>
      </c>
    </row>
    <row r="470" spans="1:24" x14ac:dyDescent="0.25">
      <c r="A470" t="s">
        <v>490</v>
      </c>
      <c r="B470">
        <v>469</v>
      </c>
      <c r="C470">
        <v>3</v>
      </c>
      <c r="D470">
        <v>2.04</v>
      </c>
      <c r="E470">
        <v>1409757</v>
      </c>
      <c r="F470">
        <v>4159056.58</v>
      </c>
      <c r="G470">
        <v>7143750000</v>
      </c>
      <c r="H470">
        <v>13.88</v>
      </c>
      <c r="I470">
        <v>1.03</v>
      </c>
      <c r="J470">
        <v>0.54436300000000004</v>
      </c>
      <c r="K470">
        <v>0.02</v>
      </c>
      <c r="L470">
        <v>0.05</v>
      </c>
      <c r="M470">
        <v>5.6036460000000003</v>
      </c>
      <c r="N470">
        <v>7.4277150000000001</v>
      </c>
      <c r="O470">
        <v>2.8368159999999998</v>
      </c>
      <c r="P470">
        <v>6</v>
      </c>
      <c r="Q470" t="s">
        <v>22</v>
      </c>
      <c r="R470" t="s">
        <v>22</v>
      </c>
      <c r="S470">
        <v>799</v>
      </c>
      <c r="T470">
        <v>802</v>
      </c>
      <c r="U470">
        <v>-1.04</v>
      </c>
      <c r="V470">
        <v>5</v>
      </c>
      <c r="W470">
        <v>2.93</v>
      </c>
      <c r="X470">
        <v>2381250000</v>
      </c>
    </row>
    <row r="471" spans="1:24" x14ac:dyDescent="0.25">
      <c r="A471" t="s">
        <v>491</v>
      </c>
      <c r="B471">
        <v>470</v>
      </c>
      <c r="C471">
        <v>1.03</v>
      </c>
      <c r="D471">
        <v>0</v>
      </c>
      <c r="E471">
        <v>783000</v>
      </c>
      <c r="F471">
        <v>808926</v>
      </c>
      <c r="G471">
        <v>309000000</v>
      </c>
      <c r="H471">
        <v>19.47</v>
      </c>
      <c r="I471">
        <v>0.76</v>
      </c>
      <c r="J471">
        <v>1.415762</v>
      </c>
      <c r="K471">
        <v>1.9E-2</v>
      </c>
      <c r="L471">
        <v>0.03</v>
      </c>
      <c r="M471">
        <v>4.3326549999999999</v>
      </c>
      <c r="N471">
        <v>4.9134849999999997</v>
      </c>
      <c r="O471">
        <v>5.9653790000000004</v>
      </c>
      <c r="P471">
        <v>1.84</v>
      </c>
      <c r="Q471" t="s">
        <v>22</v>
      </c>
      <c r="R471" t="s">
        <v>22</v>
      </c>
      <c r="U471">
        <v>-0.34</v>
      </c>
      <c r="W471">
        <v>1.36</v>
      </c>
      <c r="X471">
        <v>300000000</v>
      </c>
    </row>
    <row r="472" spans="1:24" x14ac:dyDescent="0.25">
      <c r="A472" t="s">
        <v>492</v>
      </c>
      <c r="B472">
        <v>471</v>
      </c>
      <c r="C472">
        <v>12.7</v>
      </c>
      <c r="D472">
        <v>0</v>
      </c>
      <c r="E472">
        <v>10353213</v>
      </c>
      <c r="F472">
        <v>131477329</v>
      </c>
      <c r="G472">
        <v>152400000000</v>
      </c>
      <c r="H472">
        <v>28.58</v>
      </c>
      <c r="I472">
        <v>1.39</v>
      </c>
      <c r="J472">
        <v>1.0438369999999999</v>
      </c>
      <c r="K472">
        <v>0.3</v>
      </c>
      <c r="L472">
        <v>0.05</v>
      </c>
      <c r="M472">
        <v>3.550386</v>
      </c>
      <c r="N472">
        <v>4.7737129999999999</v>
      </c>
      <c r="O472">
        <v>0.167771</v>
      </c>
      <c r="P472">
        <v>4.72</v>
      </c>
      <c r="Q472" t="s">
        <v>22</v>
      </c>
      <c r="R472" t="s">
        <v>22</v>
      </c>
      <c r="S472">
        <v>1124</v>
      </c>
      <c r="T472">
        <v>1139</v>
      </c>
      <c r="U472">
        <v>7.93</v>
      </c>
      <c r="V472">
        <v>5</v>
      </c>
      <c r="W472">
        <v>9.17</v>
      </c>
      <c r="X472">
        <v>12000000000</v>
      </c>
    </row>
    <row r="473" spans="1:24" x14ac:dyDescent="0.25">
      <c r="A473" t="s">
        <v>493</v>
      </c>
      <c r="B473">
        <v>472</v>
      </c>
      <c r="C473">
        <v>1.83</v>
      </c>
      <c r="D473">
        <v>0</v>
      </c>
      <c r="E473">
        <v>1036305</v>
      </c>
      <c r="F473">
        <v>1896239.46</v>
      </c>
      <c r="G473">
        <v>4491044088.9899998</v>
      </c>
      <c r="H473">
        <v>8.26</v>
      </c>
      <c r="I473">
        <v>0.22</v>
      </c>
      <c r="J473">
        <v>1.8762259999999999</v>
      </c>
      <c r="K473">
        <v>4.9000000000000002E-2</v>
      </c>
      <c r="L473">
        <v>0.1</v>
      </c>
      <c r="M473">
        <v>2.2632699999999999</v>
      </c>
      <c r="N473">
        <v>2.6755040000000001</v>
      </c>
      <c r="O473">
        <v>7.3289429999999998</v>
      </c>
      <c r="P473">
        <v>3.83</v>
      </c>
      <c r="Q473" t="s">
        <v>22</v>
      </c>
      <c r="R473" t="s">
        <v>22</v>
      </c>
      <c r="S473">
        <v>662</v>
      </c>
      <c r="T473">
        <v>673</v>
      </c>
      <c r="U473">
        <v>-0.27</v>
      </c>
      <c r="V473">
        <v>5</v>
      </c>
      <c r="W473">
        <v>8.35</v>
      </c>
      <c r="X473">
        <v>2454122453</v>
      </c>
    </row>
    <row r="474" spans="1:24" x14ac:dyDescent="0.25">
      <c r="A474" t="s">
        <v>494</v>
      </c>
      <c r="B474">
        <v>473</v>
      </c>
      <c r="C474">
        <v>0.88</v>
      </c>
      <c r="D474">
        <v>1.1499999999999999</v>
      </c>
      <c r="E474">
        <v>750401</v>
      </c>
      <c r="F474">
        <v>663221.87</v>
      </c>
      <c r="G474">
        <v>1320000000</v>
      </c>
      <c r="H474">
        <v>5.0199999999999996</v>
      </c>
      <c r="I474">
        <v>0.49</v>
      </c>
      <c r="J474">
        <v>1.579998</v>
      </c>
      <c r="K474">
        <v>0.02</v>
      </c>
      <c r="L474">
        <v>7.0000000000000007E-2</v>
      </c>
      <c r="M474">
        <v>5.386406</v>
      </c>
      <c r="N474">
        <v>10.096045</v>
      </c>
      <c r="O474">
        <v>8.9836320000000001</v>
      </c>
      <c r="P474">
        <v>2.27</v>
      </c>
      <c r="Q474" t="s">
        <v>22</v>
      </c>
      <c r="R474" t="s">
        <v>22</v>
      </c>
      <c r="S474">
        <v>389</v>
      </c>
      <c r="T474">
        <v>502</v>
      </c>
      <c r="U474">
        <v>0.3</v>
      </c>
      <c r="V474">
        <v>5</v>
      </c>
      <c r="W474">
        <v>1.81</v>
      </c>
      <c r="X474">
        <v>1500000000</v>
      </c>
    </row>
    <row r="475" spans="1:24" x14ac:dyDescent="0.25">
      <c r="A475" t="s">
        <v>495</v>
      </c>
      <c r="B475">
        <v>474</v>
      </c>
      <c r="C475">
        <v>17.100000000000001</v>
      </c>
      <c r="D475">
        <v>-5</v>
      </c>
      <c r="E475">
        <v>23309557</v>
      </c>
      <c r="F475">
        <v>402488721.60000002</v>
      </c>
      <c r="G475">
        <v>51364125000</v>
      </c>
      <c r="H475">
        <v>14.08</v>
      </c>
      <c r="I475">
        <v>3.1</v>
      </c>
      <c r="J475">
        <v>0.41976000000000002</v>
      </c>
      <c r="K475">
        <v>0.45</v>
      </c>
      <c r="L475">
        <v>0.75</v>
      </c>
      <c r="M475">
        <v>18.713508000000001</v>
      </c>
      <c r="N475">
        <v>21.919284999999999</v>
      </c>
      <c r="O475">
        <v>18.453161999999999</v>
      </c>
      <c r="P475">
        <v>4.68</v>
      </c>
      <c r="Q475" t="s">
        <v>22</v>
      </c>
      <c r="R475" t="s">
        <v>22</v>
      </c>
      <c r="S475">
        <v>518</v>
      </c>
      <c r="T475">
        <v>487</v>
      </c>
      <c r="U475">
        <v>0.78</v>
      </c>
      <c r="V475">
        <v>5</v>
      </c>
      <c r="W475">
        <v>5.51</v>
      </c>
      <c r="X475">
        <v>3003750000</v>
      </c>
    </row>
    <row r="476" spans="1:24" x14ac:dyDescent="0.25">
      <c r="A476" t="s">
        <v>496</v>
      </c>
      <c r="B476">
        <v>475</v>
      </c>
      <c r="C476">
        <v>1.46</v>
      </c>
      <c r="D476">
        <v>0</v>
      </c>
      <c r="E476">
        <v>693100</v>
      </c>
      <c r="F476">
        <v>1022694</v>
      </c>
      <c r="G476">
        <v>1460000178.1199999</v>
      </c>
      <c r="H476">
        <v>12.97</v>
      </c>
      <c r="I476">
        <v>1.54</v>
      </c>
      <c r="J476">
        <v>0.229181</v>
      </c>
      <c r="K476">
        <v>0.05</v>
      </c>
      <c r="L476">
        <v>0.06</v>
      </c>
      <c r="M476">
        <v>9.7248699999999992</v>
      </c>
      <c r="N476">
        <v>11.680738</v>
      </c>
      <c r="O476">
        <v>13.890234</v>
      </c>
      <c r="P476">
        <v>10.27</v>
      </c>
      <c r="Q476" t="s">
        <v>22</v>
      </c>
      <c r="R476" t="s">
        <v>22</v>
      </c>
      <c r="S476">
        <v>611</v>
      </c>
      <c r="T476">
        <v>565</v>
      </c>
      <c r="U476">
        <v>1.05</v>
      </c>
      <c r="V476">
        <v>3</v>
      </c>
      <c r="W476">
        <v>0.95</v>
      </c>
      <c r="X476">
        <v>1000000122</v>
      </c>
    </row>
    <row r="477" spans="1:24" x14ac:dyDescent="0.25">
      <c r="A477" t="s">
        <v>497</v>
      </c>
      <c r="B477">
        <v>476</v>
      </c>
      <c r="C477">
        <v>0.95</v>
      </c>
      <c r="D477">
        <v>-2.06</v>
      </c>
      <c r="E477">
        <v>9566246</v>
      </c>
      <c r="F477">
        <v>9427930.2899999991</v>
      </c>
      <c r="G477">
        <v>513000000</v>
      </c>
      <c r="H477">
        <v>21.13</v>
      </c>
      <c r="I477">
        <v>0.79</v>
      </c>
      <c r="J477">
        <v>0.92414099999999999</v>
      </c>
      <c r="K477">
        <v>0.01</v>
      </c>
      <c r="L477">
        <v>0.05</v>
      </c>
      <c r="M477">
        <v>3.857888</v>
      </c>
      <c r="N477">
        <v>3.884665</v>
      </c>
      <c r="O477">
        <v>2.5208819999999998</v>
      </c>
      <c r="P477">
        <v>1.05</v>
      </c>
      <c r="Q477" t="s">
        <v>22</v>
      </c>
      <c r="R477" t="s">
        <v>22</v>
      </c>
      <c r="S477">
        <v>1131</v>
      </c>
      <c r="T477">
        <v>1065</v>
      </c>
      <c r="U477">
        <v>-0.05</v>
      </c>
      <c r="W477">
        <v>1.21</v>
      </c>
      <c r="X477">
        <v>540000000</v>
      </c>
    </row>
    <row r="478" spans="1:24" x14ac:dyDescent="0.25">
      <c r="A478" t="s">
        <v>498</v>
      </c>
      <c r="B478">
        <v>477</v>
      </c>
      <c r="C478">
        <v>1.19</v>
      </c>
      <c r="D478">
        <v>0</v>
      </c>
      <c r="E478">
        <v>21205</v>
      </c>
      <c r="F478">
        <v>24881.9</v>
      </c>
      <c r="G478">
        <v>226100000</v>
      </c>
      <c r="H478">
        <v>30.21</v>
      </c>
      <c r="I478">
        <v>0.79</v>
      </c>
      <c r="J478">
        <v>0.111385</v>
      </c>
      <c r="K478">
        <v>3.3000000000000002E-2</v>
      </c>
      <c r="L478">
        <v>0.01</v>
      </c>
      <c r="M478">
        <v>3.2101829999999998</v>
      </c>
      <c r="N478">
        <v>2.6274869999999999</v>
      </c>
      <c r="O478">
        <v>2.7348210000000002</v>
      </c>
      <c r="P478">
        <v>2.77</v>
      </c>
      <c r="Q478" t="s">
        <v>22</v>
      </c>
      <c r="R478" t="s">
        <v>22</v>
      </c>
      <c r="S478">
        <v>1218</v>
      </c>
      <c r="T478">
        <v>1164</v>
      </c>
      <c r="U478">
        <v>-4.49</v>
      </c>
      <c r="V478">
        <v>3</v>
      </c>
      <c r="W478">
        <v>1.5</v>
      </c>
      <c r="X478">
        <v>190000000</v>
      </c>
    </row>
    <row r="479" spans="1:24" x14ac:dyDescent="0.25">
      <c r="A479" t="s">
        <v>499</v>
      </c>
      <c r="B479">
        <v>478</v>
      </c>
      <c r="C479">
        <v>3.24</v>
      </c>
      <c r="D479">
        <v>-1.82</v>
      </c>
      <c r="E479">
        <v>608803</v>
      </c>
      <c r="F479">
        <v>1971099.84</v>
      </c>
      <c r="G479">
        <v>2138400000</v>
      </c>
      <c r="H479">
        <v>4.9800000000000004</v>
      </c>
      <c r="I479">
        <v>0.93</v>
      </c>
      <c r="J479">
        <v>0.92664000000000002</v>
      </c>
      <c r="K479">
        <v>0.09</v>
      </c>
      <c r="L479">
        <v>0.65</v>
      </c>
      <c r="M479">
        <v>10.892130999999999</v>
      </c>
      <c r="N479">
        <v>20.598123999999999</v>
      </c>
      <c r="O479">
        <v>10.01028</v>
      </c>
      <c r="P479">
        <v>2.4700000000000002</v>
      </c>
      <c r="Q479" t="s">
        <v>22</v>
      </c>
      <c r="R479" t="s">
        <v>22</v>
      </c>
      <c r="S479">
        <v>111</v>
      </c>
      <c r="T479">
        <v>180</v>
      </c>
      <c r="U479">
        <v>-0.15</v>
      </c>
      <c r="V479">
        <v>5</v>
      </c>
      <c r="W479">
        <v>3.47</v>
      </c>
      <c r="X479">
        <v>660000000</v>
      </c>
    </row>
    <row r="480" spans="1:24" x14ac:dyDescent="0.25">
      <c r="A480" t="s">
        <v>500</v>
      </c>
      <c r="B480">
        <v>479</v>
      </c>
      <c r="C480">
        <v>6.15</v>
      </c>
      <c r="D480">
        <v>0</v>
      </c>
      <c r="E480">
        <v>5435</v>
      </c>
      <c r="F480">
        <v>33426.25</v>
      </c>
      <c r="G480">
        <v>875587800</v>
      </c>
      <c r="H480">
        <v>14.77</v>
      </c>
      <c r="I480">
        <v>1.95</v>
      </c>
      <c r="J480">
        <v>0.23554900000000001</v>
      </c>
      <c r="K480">
        <v>0.45</v>
      </c>
      <c r="L480">
        <v>0.23</v>
      </c>
      <c r="M480">
        <v>13.562124000000001</v>
      </c>
      <c r="N480">
        <v>13.219315</v>
      </c>
      <c r="O480">
        <v>13.476336</v>
      </c>
      <c r="P480">
        <v>7.32</v>
      </c>
      <c r="Q480" t="s">
        <v>22</v>
      </c>
      <c r="R480" t="s">
        <v>22</v>
      </c>
      <c r="S480">
        <v>636</v>
      </c>
      <c r="T480">
        <v>534</v>
      </c>
      <c r="U480">
        <v>-7.4</v>
      </c>
      <c r="V480">
        <v>4</v>
      </c>
      <c r="W480">
        <v>3.15</v>
      </c>
      <c r="X480">
        <v>142372000</v>
      </c>
    </row>
    <row r="481" spans="1:24" x14ac:dyDescent="0.25">
      <c r="A481" t="s">
        <v>501</v>
      </c>
      <c r="B481">
        <v>480</v>
      </c>
      <c r="C481">
        <v>48</v>
      </c>
      <c r="D481">
        <v>0</v>
      </c>
      <c r="E481">
        <v>2902</v>
      </c>
      <c r="F481">
        <v>138471</v>
      </c>
      <c r="G481">
        <v>21600000000</v>
      </c>
      <c r="H481">
        <v>18.3</v>
      </c>
      <c r="I481">
        <v>1.65</v>
      </c>
      <c r="J481">
        <v>7.7565999999999996E-2</v>
      </c>
      <c r="K481">
        <v>0.79</v>
      </c>
      <c r="L481">
        <v>1.23</v>
      </c>
      <c r="M481">
        <v>9.7340090000000004</v>
      </c>
      <c r="N481">
        <v>9.2019520000000004</v>
      </c>
      <c r="O481">
        <v>16.013041000000001</v>
      </c>
      <c r="P481">
        <v>3.13</v>
      </c>
      <c r="Q481" t="s">
        <v>22</v>
      </c>
      <c r="R481" t="s">
        <v>22</v>
      </c>
      <c r="S481">
        <v>817</v>
      </c>
      <c r="T481">
        <v>683</v>
      </c>
      <c r="U481">
        <v>-2.68</v>
      </c>
      <c r="V481">
        <v>5</v>
      </c>
      <c r="W481">
        <v>29.05</v>
      </c>
      <c r="X481">
        <v>450000000</v>
      </c>
    </row>
    <row r="482" spans="1:24" x14ac:dyDescent="0.25">
      <c r="A482" t="s">
        <v>502</v>
      </c>
      <c r="B482">
        <v>481</v>
      </c>
      <c r="C482">
        <v>3.1</v>
      </c>
      <c r="D482">
        <v>2.65</v>
      </c>
      <c r="E482">
        <v>2546603</v>
      </c>
      <c r="F482">
        <v>7819921.1399999997</v>
      </c>
      <c r="G482">
        <v>3802519210</v>
      </c>
      <c r="H482">
        <v>10.72</v>
      </c>
      <c r="I482">
        <v>1.1000000000000001</v>
      </c>
      <c r="J482">
        <v>0.68549599999999999</v>
      </c>
      <c r="K482">
        <v>0.14000000000000001</v>
      </c>
      <c r="L482">
        <v>0.18</v>
      </c>
      <c r="M482">
        <v>8.2704170000000001</v>
      </c>
      <c r="N482">
        <v>10.404446</v>
      </c>
      <c r="O482">
        <v>12.201836999999999</v>
      </c>
      <c r="P482">
        <v>7.1</v>
      </c>
      <c r="Q482" t="s">
        <v>22</v>
      </c>
      <c r="R482" t="s">
        <v>22</v>
      </c>
      <c r="S482">
        <v>533</v>
      </c>
      <c r="T482">
        <v>499</v>
      </c>
      <c r="U482">
        <v>0.84</v>
      </c>
      <c r="V482">
        <v>5</v>
      </c>
      <c r="W482">
        <v>2.83</v>
      </c>
      <c r="X482">
        <v>1226619100</v>
      </c>
    </row>
    <row r="483" spans="1:24" x14ac:dyDescent="0.25">
      <c r="A483" t="s">
        <v>503</v>
      </c>
      <c r="B483">
        <v>482</v>
      </c>
      <c r="C483">
        <v>2.1800000000000002</v>
      </c>
      <c r="D483">
        <v>0</v>
      </c>
      <c r="E483">
        <v>2228300</v>
      </c>
      <c r="F483">
        <v>4861878</v>
      </c>
      <c r="G483">
        <v>5995000000</v>
      </c>
      <c r="H483">
        <v>16.3</v>
      </c>
      <c r="I483">
        <v>1.18</v>
      </c>
      <c r="J483">
        <v>0.67961899999999997</v>
      </c>
      <c r="K483">
        <v>0.08</v>
      </c>
      <c r="L483">
        <v>0.08</v>
      </c>
      <c r="M483">
        <v>5.140828</v>
      </c>
      <c r="N483">
        <v>7.3040339999999997</v>
      </c>
      <c r="O483">
        <v>1.8136060000000001</v>
      </c>
      <c r="P483">
        <v>3.67</v>
      </c>
      <c r="Q483" t="s">
        <v>22</v>
      </c>
      <c r="R483" t="s">
        <v>22</v>
      </c>
      <c r="S483">
        <v>1064</v>
      </c>
      <c r="T483">
        <v>1032</v>
      </c>
      <c r="U483">
        <v>0.88</v>
      </c>
      <c r="V483">
        <v>3</v>
      </c>
      <c r="W483">
        <v>1.85</v>
      </c>
      <c r="X483">
        <v>2750000000</v>
      </c>
    </row>
    <row r="484" spans="1:24" x14ac:dyDescent="0.25">
      <c r="A484" t="s">
        <v>504</v>
      </c>
      <c r="B484">
        <v>483</v>
      </c>
      <c r="C484">
        <v>2.9</v>
      </c>
      <c r="D484">
        <v>-0.68</v>
      </c>
      <c r="E484">
        <v>305805</v>
      </c>
      <c r="F484">
        <v>890904.8</v>
      </c>
      <c r="G484">
        <v>4422500000</v>
      </c>
      <c r="H484">
        <v>10.07</v>
      </c>
      <c r="I484">
        <v>0.83</v>
      </c>
      <c r="J484">
        <v>0.13199</v>
      </c>
      <c r="K484">
        <v>0.1</v>
      </c>
      <c r="L484">
        <v>0.12</v>
      </c>
      <c r="M484">
        <v>7.2359340000000003</v>
      </c>
      <c r="N484">
        <v>8.2986450000000005</v>
      </c>
      <c r="O484">
        <v>14.394129</v>
      </c>
      <c r="P484">
        <v>9.31</v>
      </c>
      <c r="Q484" t="s">
        <v>22</v>
      </c>
      <c r="R484" t="s">
        <v>22</v>
      </c>
      <c r="S484">
        <v>643</v>
      </c>
      <c r="T484">
        <v>580</v>
      </c>
      <c r="U484">
        <v>3.06</v>
      </c>
      <c r="V484">
        <v>5</v>
      </c>
      <c r="W484">
        <v>3.48</v>
      </c>
      <c r="X484">
        <v>1525000000</v>
      </c>
    </row>
    <row r="485" spans="1:24" x14ac:dyDescent="0.25">
      <c r="A485" t="s">
        <v>505</v>
      </c>
      <c r="B485">
        <v>484</v>
      </c>
      <c r="C485">
        <v>3.18</v>
      </c>
      <c r="D485">
        <v>0.63</v>
      </c>
      <c r="E485">
        <v>29527</v>
      </c>
      <c r="F485">
        <v>93309.86</v>
      </c>
      <c r="G485">
        <v>944459774.22000003</v>
      </c>
      <c r="H485">
        <v>11.58</v>
      </c>
      <c r="I485">
        <v>1.53</v>
      </c>
      <c r="J485">
        <v>0.22504299999999999</v>
      </c>
      <c r="K485">
        <v>0.11</v>
      </c>
      <c r="L485">
        <v>0.13</v>
      </c>
      <c r="M485">
        <v>13.677042</v>
      </c>
      <c r="N485">
        <v>13.226240000000001</v>
      </c>
      <c r="O485">
        <v>11.769318999999999</v>
      </c>
      <c r="P485">
        <v>8.81</v>
      </c>
      <c r="Q485" t="s">
        <v>22</v>
      </c>
      <c r="R485" t="s">
        <v>22</v>
      </c>
      <c r="S485">
        <v>519</v>
      </c>
      <c r="T485">
        <v>422</v>
      </c>
      <c r="U485">
        <v>0.44</v>
      </c>
      <c r="V485">
        <v>4</v>
      </c>
      <c r="W485">
        <v>2.0699999999999998</v>
      </c>
      <c r="X485">
        <v>296999929</v>
      </c>
    </row>
    <row r="486" spans="1:24" x14ac:dyDescent="0.25">
      <c r="A486" t="s">
        <v>506</v>
      </c>
      <c r="B486">
        <v>485</v>
      </c>
      <c r="C486">
        <v>1.06</v>
      </c>
      <c r="D486">
        <v>0</v>
      </c>
      <c r="E486">
        <v>4103</v>
      </c>
      <c r="F486">
        <v>4340.24</v>
      </c>
      <c r="G486">
        <v>628504511.03999996</v>
      </c>
      <c r="H486">
        <v>592928784</v>
      </c>
      <c r="I486">
        <v>0.33</v>
      </c>
      <c r="J486">
        <v>0.82519900000000002</v>
      </c>
      <c r="K486">
        <v>0.1</v>
      </c>
      <c r="L486">
        <v>-0.02</v>
      </c>
      <c r="M486">
        <v>-4.1765400000000001</v>
      </c>
      <c r="N486">
        <v>-10.235393999999999</v>
      </c>
      <c r="O486">
        <v>-0.76303500000000002</v>
      </c>
      <c r="P486">
        <v>0.31</v>
      </c>
      <c r="Q486" t="s">
        <v>22</v>
      </c>
      <c r="R486" t="s">
        <v>22</v>
      </c>
      <c r="V486">
        <v>5</v>
      </c>
      <c r="W486">
        <v>3.22</v>
      </c>
      <c r="X486">
        <v>592928784</v>
      </c>
    </row>
    <row r="487" spans="1:24" x14ac:dyDescent="0.25">
      <c r="A487" t="s">
        <v>507</v>
      </c>
      <c r="B487">
        <v>486</v>
      </c>
      <c r="C487">
        <v>1.49</v>
      </c>
      <c r="D487">
        <v>1.36</v>
      </c>
      <c r="E487">
        <v>5400</v>
      </c>
      <c r="F487">
        <v>7986</v>
      </c>
      <c r="G487">
        <v>750956532.76999998</v>
      </c>
      <c r="H487">
        <v>14.72</v>
      </c>
      <c r="I487">
        <v>0.34</v>
      </c>
      <c r="J487">
        <v>0.738873</v>
      </c>
      <c r="K487">
        <v>0.06</v>
      </c>
      <c r="L487">
        <v>7.0000000000000007E-2</v>
      </c>
      <c r="M487">
        <v>2.036851</v>
      </c>
      <c r="N487">
        <v>2.3009210000000002</v>
      </c>
      <c r="O487">
        <v>5.5582710000000004</v>
      </c>
      <c r="P487">
        <v>4.03</v>
      </c>
      <c r="Q487" t="s">
        <v>22</v>
      </c>
      <c r="R487" t="s">
        <v>22</v>
      </c>
      <c r="S487">
        <v>1298</v>
      </c>
      <c r="T487">
        <v>1315</v>
      </c>
      <c r="U487">
        <v>-1.3</v>
      </c>
      <c r="V487">
        <v>4</v>
      </c>
      <c r="W487">
        <v>4.42</v>
      </c>
      <c r="X487">
        <v>503997673</v>
      </c>
    </row>
    <row r="488" spans="1:24" x14ac:dyDescent="0.25">
      <c r="A488" t="s">
        <v>508</v>
      </c>
      <c r="B488">
        <v>487</v>
      </c>
      <c r="C488">
        <v>0.09</v>
      </c>
      <c r="D488">
        <v>0</v>
      </c>
      <c r="E488">
        <v>281302</v>
      </c>
      <c r="F488">
        <v>24319.200000000001</v>
      </c>
      <c r="G488">
        <v>94943383.109999999</v>
      </c>
      <c r="H488">
        <v>105492647.90000001</v>
      </c>
      <c r="I488">
        <v>0.15</v>
      </c>
      <c r="J488">
        <v>0.46408100000000002</v>
      </c>
      <c r="K488">
        <v>0.02</v>
      </c>
      <c r="L488">
        <v>0.02</v>
      </c>
      <c r="M488">
        <v>-23.011856000000002</v>
      </c>
      <c r="N488">
        <v>-29.81765</v>
      </c>
      <c r="O488">
        <v>7.0306829999999998</v>
      </c>
      <c r="P488">
        <v>0.17</v>
      </c>
      <c r="Q488" t="s">
        <v>22</v>
      </c>
      <c r="R488" t="s">
        <v>22</v>
      </c>
      <c r="V488">
        <v>4</v>
      </c>
      <c r="W488">
        <v>0.59</v>
      </c>
      <c r="X488">
        <v>1054926479</v>
      </c>
    </row>
    <row r="489" spans="1:24" x14ac:dyDescent="0.25">
      <c r="A489" t="s">
        <v>509</v>
      </c>
      <c r="B489">
        <v>488</v>
      </c>
      <c r="C489">
        <v>0.26</v>
      </c>
      <c r="D489">
        <v>4</v>
      </c>
      <c r="E489">
        <v>10300</v>
      </c>
      <c r="F489">
        <v>2678</v>
      </c>
      <c r="G489">
        <v>199331261.22</v>
      </c>
      <c r="H489">
        <v>176331500.31</v>
      </c>
      <c r="I489">
        <v>0.84</v>
      </c>
      <c r="J489">
        <v>14.608183</v>
      </c>
      <c r="K489">
        <v>0.12</v>
      </c>
      <c r="L489">
        <v>-0.06</v>
      </c>
      <c r="M489">
        <v>0.2092</v>
      </c>
      <c r="N489">
        <v>-39.222090999999999</v>
      </c>
      <c r="O489">
        <v>-2.6026630000000002</v>
      </c>
      <c r="P489">
        <v>0.74</v>
      </c>
      <c r="Q489" t="s">
        <v>22</v>
      </c>
      <c r="R489" t="s">
        <v>22</v>
      </c>
      <c r="W489">
        <v>0.31</v>
      </c>
      <c r="X489">
        <v>766658697</v>
      </c>
    </row>
    <row r="490" spans="1:24" x14ac:dyDescent="0.25">
      <c r="A490" t="s">
        <v>510</v>
      </c>
      <c r="B490">
        <v>489</v>
      </c>
      <c r="C490">
        <v>2026</v>
      </c>
      <c r="D490">
        <v>-33.333333333333329</v>
      </c>
      <c r="E490">
        <v>956670807</v>
      </c>
      <c r="F490">
        <v>40365.588949999998</v>
      </c>
      <c r="G490">
        <v>400443224.16000003</v>
      </c>
      <c r="H490">
        <v>400443224.16000003</v>
      </c>
      <c r="I490">
        <v>0.05</v>
      </c>
      <c r="J490">
        <v>3.9909919999999999</v>
      </c>
      <c r="K490">
        <v>1.2999999999999999E-2</v>
      </c>
      <c r="L490">
        <v>-0.05</v>
      </c>
      <c r="M490">
        <v>-3.1807460000000001</v>
      </c>
      <c r="N490">
        <v>-32.264558000000001</v>
      </c>
      <c r="O490">
        <v>-56.348340999999998</v>
      </c>
      <c r="P490">
        <v>0.05</v>
      </c>
      <c r="Q490" t="s">
        <v>22</v>
      </c>
      <c r="R490" t="s">
        <v>22</v>
      </c>
      <c r="W490">
        <v>0.8</v>
      </c>
      <c r="X490">
        <v>10011080604</v>
      </c>
    </row>
    <row r="491" spans="1:24" x14ac:dyDescent="0.25">
      <c r="A491" t="s">
        <v>511</v>
      </c>
      <c r="B491">
        <v>490</v>
      </c>
      <c r="C491">
        <v>6.5</v>
      </c>
      <c r="D491">
        <v>-0.76</v>
      </c>
      <c r="E491">
        <v>14200</v>
      </c>
      <c r="F491">
        <v>91090</v>
      </c>
      <c r="G491">
        <v>624000000</v>
      </c>
      <c r="H491">
        <v>19.73</v>
      </c>
      <c r="I491">
        <v>0.46</v>
      </c>
      <c r="J491">
        <v>0.11512600000000001</v>
      </c>
      <c r="K491">
        <v>0.5</v>
      </c>
      <c r="L491">
        <v>0.19</v>
      </c>
      <c r="M491">
        <v>2.400515</v>
      </c>
      <c r="N491">
        <v>2.3235420000000002</v>
      </c>
      <c r="O491">
        <v>5.6907990000000002</v>
      </c>
      <c r="P491">
        <v>7.69</v>
      </c>
      <c r="Q491" t="s">
        <v>22</v>
      </c>
      <c r="R491" t="s">
        <v>22</v>
      </c>
      <c r="S491">
        <v>1363</v>
      </c>
      <c r="T491">
        <v>1391</v>
      </c>
      <c r="U491">
        <v>-3.89</v>
      </c>
      <c r="V491">
        <v>5</v>
      </c>
      <c r="W491">
        <v>14.17</v>
      </c>
      <c r="X491">
        <v>96000000</v>
      </c>
    </row>
    <row r="492" spans="1:24" x14ac:dyDescent="0.25">
      <c r="A492" t="s">
        <v>512</v>
      </c>
      <c r="B492">
        <v>491</v>
      </c>
      <c r="C492">
        <v>10.3</v>
      </c>
      <c r="D492">
        <v>0</v>
      </c>
      <c r="E492">
        <v>45700</v>
      </c>
      <c r="F492">
        <v>466710</v>
      </c>
      <c r="G492">
        <v>3090000000</v>
      </c>
      <c r="H492">
        <v>13.17</v>
      </c>
      <c r="I492">
        <v>1.48</v>
      </c>
      <c r="J492">
        <v>0.19322600000000001</v>
      </c>
      <c r="K492">
        <v>0.7</v>
      </c>
      <c r="L492">
        <v>0.3</v>
      </c>
      <c r="M492">
        <v>11.584961</v>
      </c>
      <c r="N492">
        <v>11.289175</v>
      </c>
      <c r="O492">
        <v>7.4821569999999999</v>
      </c>
      <c r="P492">
        <v>6.8</v>
      </c>
      <c r="Q492" t="s">
        <v>22</v>
      </c>
      <c r="R492" t="s">
        <v>22</v>
      </c>
      <c r="S492">
        <v>636</v>
      </c>
      <c r="T492">
        <v>534</v>
      </c>
      <c r="U492">
        <v>4.7300000000000004</v>
      </c>
      <c r="V492">
        <v>3</v>
      </c>
      <c r="W492">
        <v>6.96</v>
      </c>
      <c r="X492">
        <v>300000000</v>
      </c>
    </row>
    <row r="493" spans="1:24" x14ac:dyDescent="0.25">
      <c r="A493" t="s">
        <v>513</v>
      </c>
      <c r="B493">
        <v>492</v>
      </c>
      <c r="C493">
        <v>3.24</v>
      </c>
      <c r="D493">
        <v>-0.61</v>
      </c>
      <c r="E493">
        <v>74550</v>
      </c>
      <c r="F493">
        <v>242563.5</v>
      </c>
      <c r="G493">
        <v>656100751.67999995</v>
      </c>
      <c r="H493">
        <v>8.92</v>
      </c>
      <c r="I493">
        <v>1.55</v>
      </c>
      <c r="J493">
        <v>0.725414</v>
      </c>
      <c r="K493">
        <v>0.12</v>
      </c>
      <c r="L493">
        <v>0.19</v>
      </c>
      <c r="M493">
        <v>13.446555999999999</v>
      </c>
      <c r="N493">
        <v>17.877773000000001</v>
      </c>
      <c r="O493">
        <v>7.1436330000000003</v>
      </c>
      <c r="P493">
        <v>7.72</v>
      </c>
      <c r="Q493" t="s">
        <v>22</v>
      </c>
      <c r="R493" t="s">
        <v>22</v>
      </c>
      <c r="S493">
        <v>347</v>
      </c>
      <c r="T493">
        <v>322</v>
      </c>
      <c r="U493">
        <v>-2.99</v>
      </c>
      <c r="V493">
        <v>5</v>
      </c>
      <c r="W493">
        <v>2.09</v>
      </c>
      <c r="X493">
        <v>202500232</v>
      </c>
    </row>
    <row r="494" spans="1:24" x14ac:dyDescent="0.25">
      <c r="A494" t="s">
        <v>514</v>
      </c>
      <c r="B494">
        <v>493</v>
      </c>
      <c r="C494">
        <v>2026</v>
      </c>
      <c r="D494">
        <v>-3.6697247706422047</v>
      </c>
      <c r="E494">
        <v>26902651</v>
      </c>
      <c r="F494">
        <v>86193.416979999995</v>
      </c>
      <c r="G494">
        <v>904</v>
      </c>
      <c r="H494">
        <v>0</v>
      </c>
      <c r="I494">
        <v>0.67462087940372228</v>
      </c>
      <c r="J494">
        <v>0.67462100000000003</v>
      </c>
      <c r="K494">
        <v>0.05</v>
      </c>
      <c r="L494">
        <v>-0.1</v>
      </c>
      <c r="M494">
        <v>3.0540039999999999</v>
      </c>
      <c r="N494">
        <v>5.1902780000000002</v>
      </c>
      <c r="O494">
        <v>-5.1251040000000003</v>
      </c>
      <c r="P494">
        <v>0</v>
      </c>
      <c r="Q494" t="s">
        <v>22</v>
      </c>
      <c r="R494" t="s">
        <v>22</v>
      </c>
      <c r="V494">
        <v>3</v>
      </c>
      <c r="W494">
        <v>1.86</v>
      </c>
      <c r="X494">
        <v>215294559</v>
      </c>
    </row>
    <row r="495" spans="1:24" x14ac:dyDescent="0.25">
      <c r="A495" t="s">
        <v>515</v>
      </c>
      <c r="B495">
        <v>494</v>
      </c>
      <c r="C495">
        <v>1.39</v>
      </c>
      <c r="D495">
        <v>0</v>
      </c>
      <c r="E495">
        <v>2135462</v>
      </c>
      <c r="F495">
        <v>2928569.84</v>
      </c>
      <c r="G495">
        <v>1053113023.91</v>
      </c>
      <c r="H495">
        <v>9.9600000000000009</v>
      </c>
      <c r="I495">
        <v>0.89</v>
      </c>
      <c r="J495">
        <v>0.230936</v>
      </c>
      <c r="K495">
        <v>2.5999999999999999E-2</v>
      </c>
      <c r="L495">
        <v>0.08</v>
      </c>
      <c r="M495">
        <v>9.3764990000000008</v>
      </c>
      <c r="N495">
        <v>9.1834199999999999</v>
      </c>
      <c r="O495">
        <v>10.859204999999999</v>
      </c>
      <c r="P495">
        <v>3.57</v>
      </c>
      <c r="Q495" t="s">
        <v>22</v>
      </c>
      <c r="R495" t="s">
        <v>22</v>
      </c>
      <c r="S495">
        <v>606</v>
      </c>
      <c r="T495">
        <v>492</v>
      </c>
      <c r="U495">
        <v>-18.36</v>
      </c>
      <c r="V495">
        <v>5</v>
      </c>
      <c r="W495">
        <v>1.56</v>
      </c>
      <c r="X495">
        <v>757635269</v>
      </c>
    </row>
    <row r="496" spans="1:24" x14ac:dyDescent="0.25">
      <c r="A496" t="s">
        <v>516</v>
      </c>
      <c r="B496">
        <v>495</v>
      </c>
      <c r="C496">
        <v>4.38</v>
      </c>
      <c r="D496">
        <v>2.34</v>
      </c>
      <c r="E496">
        <v>1153808</v>
      </c>
      <c r="F496">
        <v>5060617.04</v>
      </c>
      <c r="G496">
        <v>5080800000</v>
      </c>
      <c r="H496">
        <v>9.1199999999999992</v>
      </c>
      <c r="I496">
        <v>1.1599999999999999</v>
      </c>
      <c r="J496">
        <v>0.88541300000000001</v>
      </c>
      <c r="K496">
        <v>0.216</v>
      </c>
      <c r="L496">
        <v>0.25</v>
      </c>
      <c r="M496">
        <v>8.5559670000000008</v>
      </c>
      <c r="N496">
        <v>13.162393</v>
      </c>
      <c r="O496">
        <v>38.835222000000002</v>
      </c>
      <c r="P496">
        <v>4.93</v>
      </c>
      <c r="Q496" t="s">
        <v>22</v>
      </c>
      <c r="R496" t="s">
        <v>22</v>
      </c>
      <c r="S496">
        <v>282</v>
      </c>
      <c r="T496">
        <v>292</v>
      </c>
      <c r="U496">
        <v>0.08</v>
      </c>
      <c r="V496">
        <v>3</v>
      </c>
      <c r="W496">
        <v>3.78</v>
      </c>
      <c r="X496">
        <v>1160000000</v>
      </c>
    </row>
    <row r="497" spans="1:24" x14ac:dyDescent="0.25">
      <c r="A497" t="s">
        <v>517</v>
      </c>
      <c r="B497">
        <v>496</v>
      </c>
      <c r="C497">
        <v>5.85</v>
      </c>
      <c r="D497">
        <v>0.86</v>
      </c>
      <c r="E497">
        <v>433001</v>
      </c>
      <c r="F497">
        <v>2489160.7000000002</v>
      </c>
      <c r="G497">
        <v>3159000000</v>
      </c>
      <c r="H497">
        <v>11.18</v>
      </c>
      <c r="I497">
        <v>2.88</v>
      </c>
      <c r="J497">
        <v>2.7600549999999999</v>
      </c>
      <c r="K497">
        <v>0.2</v>
      </c>
      <c r="L497">
        <v>0.3</v>
      </c>
      <c r="M497">
        <v>11.943892</v>
      </c>
      <c r="N497">
        <v>27.923741</v>
      </c>
      <c r="O497">
        <v>10.671493</v>
      </c>
      <c r="P497">
        <v>3.42</v>
      </c>
      <c r="Q497" t="s">
        <v>22</v>
      </c>
      <c r="R497" t="s">
        <v>22</v>
      </c>
      <c r="S497">
        <v>289</v>
      </c>
      <c r="T497">
        <v>341</v>
      </c>
      <c r="U497">
        <v>0.06</v>
      </c>
      <c r="V497">
        <v>3</v>
      </c>
      <c r="W497">
        <v>2.0299999999999998</v>
      </c>
      <c r="X497">
        <v>540000000</v>
      </c>
    </row>
    <row r="498" spans="1:24" x14ac:dyDescent="0.25">
      <c r="A498" t="s">
        <v>518</v>
      </c>
      <c r="B498">
        <v>497</v>
      </c>
      <c r="C498">
        <v>2.02</v>
      </c>
      <c r="D498">
        <v>-0.98</v>
      </c>
      <c r="E498">
        <v>49902</v>
      </c>
      <c r="F498">
        <v>100810.04</v>
      </c>
      <c r="G498">
        <v>1260610146.5799999</v>
      </c>
      <c r="H498">
        <v>9.2899999999999991</v>
      </c>
      <c r="I498">
        <v>0.81</v>
      </c>
      <c r="J498">
        <v>1.678904</v>
      </c>
      <c r="K498">
        <v>0.11</v>
      </c>
      <c r="L498">
        <v>0.09</v>
      </c>
      <c r="M498">
        <v>5.608714</v>
      </c>
      <c r="N498">
        <v>8.9800609999999992</v>
      </c>
      <c r="O498">
        <v>2.5899260000000002</v>
      </c>
      <c r="P498">
        <v>5.45</v>
      </c>
      <c r="Q498" t="s">
        <v>22</v>
      </c>
      <c r="R498" t="s">
        <v>22</v>
      </c>
      <c r="S498">
        <v>572</v>
      </c>
      <c r="T498">
        <v>645</v>
      </c>
      <c r="U498">
        <v>0.91</v>
      </c>
      <c r="V498">
        <v>5</v>
      </c>
      <c r="W498">
        <v>2.48</v>
      </c>
      <c r="X498">
        <v>624064429</v>
      </c>
    </row>
    <row r="499" spans="1:24" x14ac:dyDescent="0.25">
      <c r="A499" t="s">
        <v>519</v>
      </c>
      <c r="B499">
        <v>498</v>
      </c>
      <c r="C499">
        <v>0.49</v>
      </c>
      <c r="D499">
        <v>-2</v>
      </c>
      <c r="E499">
        <v>772340</v>
      </c>
      <c r="F499">
        <v>386704.4</v>
      </c>
      <c r="G499">
        <v>255170577.69</v>
      </c>
      <c r="H499">
        <v>244755452.06999999</v>
      </c>
      <c r="I499">
        <v>0.23</v>
      </c>
      <c r="J499">
        <v>1.1434169999999999</v>
      </c>
      <c r="K499">
        <v>6.5000000000000002E-2</v>
      </c>
      <c r="L499">
        <v>-0.12</v>
      </c>
      <c r="M499">
        <v>-1.0881419999999999</v>
      </c>
      <c r="N499">
        <v>-8.1678890000000006</v>
      </c>
      <c r="O499">
        <v>-8.8599180000000004</v>
      </c>
      <c r="P499">
        <v>0.22</v>
      </c>
      <c r="Q499" t="s">
        <v>22</v>
      </c>
      <c r="R499" t="s">
        <v>22</v>
      </c>
      <c r="W499">
        <v>2.11</v>
      </c>
      <c r="X499">
        <v>520756281</v>
      </c>
    </row>
    <row r="500" spans="1:24" x14ac:dyDescent="0.25">
      <c r="A500" t="s">
        <v>520</v>
      </c>
      <c r="B500">
        <v>499</v>
      </c>
      <c r="C500">
        <v>1.33</v>
      </c>
      <c r="D500">
        <v>-1.48</v>
      </c>
      <c r="E500">
        <v>500</v>
      </c>
      <c r="F500">
        <v>666</v>
      </c>
      <c r="G500">
        <v>793358067.25</v>
      </c>
      <c r="H500">
        <v>16.03</v>
      </c>
      <c r="I500">
        <v>0.26</v>
      </c>
      <c r="J500">
        <v>2.7811870000000001</v>
      </c>
      <c r="K500">
        <v>6.2E-2</v>
      </c>
      <c r="L500">
        <v>0.05</v>
      </c>
      <c r="M500">
        <v>3.324519</v>
      </c>
      <c r="N500">
        <v>1.622533</v>
      </c>
      <c r="O500">
        <v>2.5258780000000001</v>
      </c>
      <c r="P500">
        <v>4.66</v>
      </c>
      <c r="Q500" t="s">
        <v>22</v>
      </c>
      <c r="R500" t="s">
        <v>22</v>
      </c>
      <c r="S500">
        <v>1121</v>
      </c>
      <c r="T500">
        <v>1196</v>
      </c>
      <c r="U500">
        <v>-0.18</v>
      </c>
      <c r="V500">
        <v>5</v>
      </c>
      <c r="W500">
        <v>5.13</v>
      </c>
      <c r="X500">
        <v>596509825</v>
      </c>
    </row>
    <row r="501" spans="1:24" x14ac:dyDescent="0.25">
      <c r="A501" t="s">
        <v>521</v>
      </c>
      <c r="B501">
        <v>500</v>
      </c>
      <c r="C501">
        <v>6.75</v>
      </c>
      <c r="D501">
        <v>0.75</v>
      </c>
      <c r="E501">
        <v>31029185</v>
      </c>
      <c r="F501">
        <v>208361817.55000001</v>
      </c>
      <c r="G501">
        <v>31051886726.25</v>
      </c>
      <c r="H501">
        <v>27.07</v>
      </c>
      <c r="I501">
        <v>2.5499999999999998</v>
      </c>
      <c r="J501">
        <v>1.1259539999999999</v>
      </c>
      <c r="K501">
        <v>4.3499999999999997E-2</v>
      </c>
      <c r="L501">
        <v>0.11</v>
      </c>
      <c r="M501">
        <v>8.6737020000000005</v>
      </c>
      <c r="N501">
        <v>10.439183</v>
      </c>
      <c r="O501">
        <v>13.254792</v>
      </c>
      <c r="P501">
        <v>3.12</v>
      </c>
      <c r="Q501" t="s">
        <v>22</v>
      </c>
      <c r="R501" t="s">
        <v>22</v>
      </c>
      <c r="S501">
        <v>847</v>
      </c>
      <c r="T501">
        <v>747</v>
      </c>
      <c r="U501">
        <v>0.09</v>
      </c>
      <c r="V501">
        <v>5</v>
      </c>
      <c r="W501">
        <v>2.65</v>
      </c>
      <c r="X501">
        <v>4600279515</v>
      </c>
    </row>
    <row r="502" spans="1:24" x14ac:dyDescent="0.25">
      <c r="A502" t="s">
        <v>522</v>
      </c>
      <c r="B502">
        <v>501</v>
      </c>
      <c r="C502">
        <v>0.55000000000000004</v>
      </c>
      <c r="D502">
        <v>1.85</v>
      </c>
      <c r="E502">
        <v>11220</v>
      </c>
      <c r="F502">
        <v>6046.6</v>
      </c>
      <c r="G502">
        <v>365933756.10000002</v>
      </c>
      <c r="H502">
        <v>392547120.18000001</v>
      </c>
      <c r="I502">
        <v>0.75</v>
      </c>
      <c r="J502">
        <v>1.57847</v>
      </c>
      <c r="K502">
        <v>-0.13</v>
      </c>
      <c r="L502">
        <v>-0.13</v>
      </c>
      <c r="M502">
        <v>-6.2411050000000001</v>
      </c>
      <c r="N502">
        <v>-20.896706999999999</v>
      </c>
      <c r="O502">
        <v>-68.772720000000007</v>
      </c>
      <c r="P502">
        <v>0.81</v>
      </c>
      <c r="Q502" t="s">
        <v>22</v>
      </c>
      <c r="R502" t="s">
        <v>22</v>
      </c>
      <c r="V502">
        <v>3</v>
      </c>
      <c r="W502">
        <v>0.74</v>
      </c>
      <c r="X502">
        <v>665334102</v>
      </c>
    </row>
    <row r="503" spans="1:24" x14ac:dyDescent="0.25">
      <c r="A503" t="s">
        <v>523</v>
      </c>
      <c r="B503">
        <v>502</v>
      </c>
      <c r="C503">
        <v>1.44</v>
      </c>
      <c r="D503">
        <v>-0.69</v>
      </c>
      <c r="E503">
        <v>1710959</v>
      </c>
      <c r="F503">
        <v>2462119.3199999998</v>
      </c>
      <c r="G503">
        <v>4032000000</v>
      </c>
      <c r="H503">
        <v>7.91</v>
      </c>
      <c r="I503">
        <v>0.46</v>
      </c>
      <c r="J503">
        <v>0.50360300000000002</v>
      </c>
      <c r="K503">
        <v>0.02</v>
      </c>
      <c r="L503">
        <v>0.11</v>
      </c>
      <c r="M503">
        <v>6.782</v>
      </c>
      <c r="N503">
        <v>5.995336</v>
      </c>
      <c r="O503">
        <v>20.535924000000001</v>
      </c>
      <c r="P503">
        <v>1.39</v>
      </c>
      <c r="Q503" t="s">
        <v>22</v>
      </c>
      <c r="R503" t="s">
        <v>22</v>
      </c>
      <c r="S503">
        <v>680</v>
      </c>
      <c r="T503">
        <v>522</v>
      </c>
      <c r="U503">
        <v>-0.8</v>
      </c>
      <c r="V503">
        <v>5</v>
      </c>
      <c r="W503">
        <v>3.12</v>
      </c>
      <c r="X503">
        <v>2800000000</v>
      </c>
    </row>
    <row r="504" spans="1:24" x14ac:dyDescent="0.25">
      <c r="A504" t="s">
        <v>524</v>
      </c>
      <c r="B504">
        <v>503</v>
      </c>
      <c r="C504">
        <v>0.06</v>
      </c>
      <c r="D504">
        <v>0</v>
      </c>
      <c r="E504">
        <v>5106600</v>
      </c>
      <c r="F504">
        <v>309121</v>
      </c>
      <c r="G504">
        <v>132047716.56</v>
      </c>
      <c r="H504">
        <v>154055669.31999999</v>
      </c>
      <c r="I504">
        <v>0.09</v>
      </c>
      <c r="J504">
        <v>8.6674249999999997</v>
      </c>
      <c r="K504">
        <v>1.9E-2</v>
      </c>
      <c r="L504">
        <v>-0.14000000000000001</v>
      </c>
      <c r="M504">
        <v>0.16398199999999999</v>
      </c>
      <c r="N504">
        <v>-23.549312</v>
      </c>
      <c r="O504">
        <v>-27.529793999999999</v>
      </c>
      <c r="P504">
        <v>0.11</v>
      </c>
      <c r="Q504" t="s">
        <v>22</v>
      </c>
      <c r="R504" t="s">
        <v>22</v>
      </c>
      <c r="S504">
        <v>1155</v>
      </c>
      <c r="T504">
        <v>1047</v>
      </c>
      <c r="U504">
        <v>-0.06</v>
      </c>
      <c r="W504">
        <v>0.64</v>
      </c>
      <c r="X504">
        <v>2200795276</v>
      </c>
    </row>
    <row r="505" spans="1:24" x14ac:dyDescent="0.25">
      <c r="A505" t="s">
        <v>525</v>
      </c>
      <c r="B505">
        <v>504</v>
      </c>
      <c r="C505">
        <v>0.53</v>
      </c>
      <c r="D505">
        <v>0</v>
      </c>
      <c r="E505">
        <v>1651200</v>
      </c>
      <c r="F505">
        <v>891677</v>
      </c>
      <c r="G505">
        <v>508800000</v>
      </c>
      <c r="H505">
        <v>8.91</v>
      </c>
      <c r="I505">
        <v>0.55000000000000004</v>
      </c>
      <c r="J505">
        <v>0.92285300000000003</v>
      </c>
      <c r="K505">
        <v>0.01</v>
      </c>
      <c r="L505">
        <v>0.03</v>
      </c>
      <c r="M505">
        <v>5.6998519999999999</v>
      </c>
      <c r="N505">
        <v>6.3109989999999998</v>
      </c>
      <c r="O505">
        <v>4.9441750000000004</v>
      </c>
      <c r="P505">
        <v>3.77</v>
      </c>
      <c r="Q505" t="s">
        <v>22</v>
      </c>
      <c r="R505" t="s">
        <v>22</v>
      </c>
      <c r="S505">
        <v>580</v>
      </c>
      <c r="T505">
        <v>512</v>
      </c>
      <c r="U505">
        <v>2.41</v>
      </c>
      <c r="W505">
        <v>0.96</v>
      </c>
      <c r="X505">
        <v>960000000</v>
      </c>
    </row>
    <row r="506" spans="1:24" x14ac:dyDescent="0.25">
      <c r="A506" t="s">
        <v>526</v>
      </c>
      <c r="B506">
        <v>505</v>
      </c>
      <c r="C506">
        <v>1.2</v>
      </c>
      <c r="D506">
        <v>2.56</v>
      </c>
      <c r="E506">
        <v>1453311</v>
      </c>
      <c r="F506">
        <v>1768823.18</v>
      </c>
      <c r="G506">
        <v>804000000</v>
      </c>
      <c r="H506">
        <v>804000000</v>
      </c>
      <c r="I506">
        <v>0.7</v>
      </c>
      <c r="J506">
        <v>0.67406200000000005</v>
      </c>
      <c r="K506">
        <v>0.06</v>
      </c>
      <c r="L506">
        <v>-0.06</v>
      </c>
      <c r="M506">
        <v>-4.3408220000000002</v>
      </c>
      <c r="N506">
        <v>-7.4311699999999998</v>
      </c>
      <c r="O506">
        <v>-6.0301489999999998</v>
      </c>
      <c r="P506">
        <v>0.7</v>
      </c>
      <c r="Q506" t="s">
        <v>22</v>
      </c>
      <c r="R506" t="s">
        <v>22</v>
      </c>
      <c r="V506">
        <v>5</v>
      </c>
      <c r="W506">
        <v>1.72</v>
      </c>
      <c r="X506">
        <v>670000000</v>
      </c>
    </row>
    <row r="507" spans="1:24" x14ac:dyDescent="0.25">
      <c r="A507" t="s">
        <v>527</v>
      </c>
      <c r="B507">
        <v>506</v>
      </c>
      <c r="C507">
        <v>11.1</v>
      </c>
      <c r="D507">
        <v>-2.63</v>
      </c>
      <c r="E507">
        <v>680386</v>
      </c>
      <c r="F507">
        <v>7480145</v>
      </c>
      <c r="G507">
        <v>6195132000</v>
      </c>
      <c r="H507">
        <v>11.8</v>
      </c>
      <c r="I507">
        <v>3.39</v>
      </c>
      <c r="J507">
        <v>0.86591499999999999</v>
      </c>
      <c r="K507">
        <v>0.5</v>
      </c>
      <c r="L507">
        <v>0.41</v>
      </c>
      <c r="M507">
        <v>18.170294999999999</v>
      </c>
      <c r="N507">
        <v>28.690397999999998</v>
      </c>
      <c r="O507">
        <v>7.7842880000000001</v>
      </c>
      <c r="P507">
        <v>8.3800000000000008</v>
      </c>
      <c r="Q507" t="s">
        <v>22</v>
      </c>
      <c r="R507" t="s">
        <v>22</v>
      </c>
      <c r="S507">
        <v>358</v>
      </c>
      <c r="T507">
        <v>352</v>
      </c>
      <c r="U507">
        <v>0.62</v>
      </c>
      <c r="V507">
        <v>5</v>
      </c>
      <c r="W507">
        <v>3.27</v>
      </c>
      <c r="X507">
        <v>558120000</v>
      </c>
    </row>
    <row r="508" spans="1:24" x14ac:dyDescent="0.25">
      <c r="A508" t="s">
        <v>528</v>
      </c>
      <c r="B508">
        <v>507</v>
      </c>
      <c r="C508">
        <v>0.99</v>
      </c>
      <c r="D508">
        <v>-1</v>
      </c>
      <c r="E508">
        <v>2230460</v>
      </c>
      <c r="F508">
        <v>2235812.4</v>
      </c>
      <c r="G508">
        <v>411498923.22000003</v>
      </c>
      <c r="H508">
        <v>5.7</v>
      </c>
      <c r="I508">
        <v>0.69</v>
      </c>
      <c r="J508">
        <v>0.78249299999999999</v>
      </c>
      <c r="K508">
        <v>1.8314E-2</v>
      </c>
      <c r="L508">
        <v>0.09</v>
      </c>
      <c r="M508">
        <v>9.3159969999999994</v>
      </c>
      <c r="N508">
        <v>12.247956</v>
      </c>
      <c r="O508">
        <v>8.7279479999999996</v>
      </c>
      <c r="P508">
        <v>1.76</v>
      </c>
      <c r="Q508" t="s">
        <v>22</v>
      </c>
      <c r="R508" t="s">
        <v>22</v>
      </c>
      <c r="S508">
        <v>308</v>
      </c>
      <c r="T508">
        <v>289</v>
      </c>
      <c r="U508">
        <v>0.06</v>
      </c>
      <c r="V508">
        <v>5</v>
      </c>
      <c r="W508">
        <v>1.44</v>
      </c>
      <c r="X508">
        <v>415655478</v>
      </c>
    </row>
    <row r="509" spans="1:24" x14ac:dyDescent="0.25">
      <c r="A509" t="s">
        <v>529</v>
      </c>
      <c r="B509">
        <v>508</v>
      </c>
      <c r="C509">
        <v>9</v>
      </c>
      <c r="D509">
        <v>-1.64</v>
      </c>
      <c r="E509">
        <v>29200</v>
      </c>
      <c r="F509">
        <v>256195</v>
      </c>
      <c r="G509">
        <v>910800000</v>
      </c>
      <c r="H509">
        <v>11.49</v>
      </c>
      <c r="I509">
        <v>0.56999999999999995</v>
      </c>
      <c r="J509">
        <v>0.63739900000000005</v>
      </c>
      <c r="K509">
        <v>0.7</v>
      </c>
      <c r="L509">
        <v>0.14000000000000001</v>
      </c>
      <c r="M509">
        <v>5.6602740000000002</v>
      </c>
      <c r="N509">
        <v>4.9885669999999998</v>
      </c>
      <c r="O509">
        <v>0.86718300000000004</v>
      </c>
      <c r="P509">
        <v>7.78</v>
      </c>
      <c r="Q509" t="s">
        <v>22</v>
      </c>
      <c r="R509" t="s">
        <v>22</v>
      </c>
      <c r="S509">
        <v>827</v>
      </c>
      <c r="T509">
        <v>705</v>
      </c>
      <c r="U509">
        <v>0.5</v>
      </c>
      <c r="W509">
        <v>15.84</v>
      </c>
      <c r="X509">
        <v>101200000</v>
      </c>
    </row>
    <row r="510" spans="1:24" x14ac:dyDescent="0.25">
      <c r="A510" t="s">
        <v>530</v>
      </c>
      <c r="B510">
        <v>509</v>
      </c>
      <c r="C510">
        <v>7.05</v>
      </c>
      <c r="D510">
        <v>-6</v>
      </c>
      <c r="E510">
        <v>23200</v>
      </c>
      <c r="F510">
        <v>165630</v>
      </c>
      <c r="G510">
        <v>3172500000</v>
      </c>
      <c r="H510">
        <v>11.07</v>
      </c>
      <c r="I510">
        <v>2.37</v>
      </c>
      <c r="J510">
        <v>0.14868999999999999</v>
      </c>
      <c r="K510">
        <v>0.3</v>
      </c>
      <c r="L510">
        <v>0.32</v>
      </c>
      <c r="M510">
        <v>20.815736999999999</v>
      </c>
      <c r="N510">
        <v>21.656652999999999</v>
      </c>
      <c r="O510">
        <v>22.974536000000001</v>
      </c>
      <c r="P510">
        <v>8.09</v>
      </c>
      <c r="Q510" t="s">
        <v>22</v>
      </c>
      <c r="R510" t="s">
        <v>22</v>
      </c>
      <c r="S510">
        <v>406</v>
      </c>
      <c r="T510">
        <v>370</v>
      </c>
      <c r="U510">
        <v>0.64</v>
      </c>
      <c r="V510">
        <v>3</v>
      </c>
      <c r="W510">
        <v>2.97</v>
      </c>
      <c r="X510">
        <v>450000000</v>
      </c>
    </row>
    <row r="511" spans="1:24" x14ac:dyDescent="0.25">
      <c r="A511" t="s">
        <v>531</v>
      </c>
      <c r="B511">
        <v>510</v>
      </c>
      <c r="C511">
        <v>0.8</v>
      </c>
      <c r="D511">
        <v>0</v>
      </c>
      <c r="E511">
        <v>119797</v>
      </c>
      <c r="F511">
        <v>96511.63</v>
      </c>
      <c r="G511">
        <v>485762133.60000002</v>
      </c>
      <c r="H511">
        <v>105.24</v>
      </c>
      <c r="I511">
        <v>0.36</v>
      </c>
      <c r="J511">
        <v>1.237751</v>
      </c>
      <c r="K511">
        <v>2.5000000000000001E-2</v>
      </c>
      <c r="L511">
        <v>0.02</v>
      </c>
      <c r="M511">
        <v>1.9824170000000001</v>
      </c>
      <c r="N511">
        <v>0.34285199999999999</v>
      </c>
      <c r="O511">
        <v>1.963182</v>
      </c>
      <c r="P511">
        <v>0.37</v>
      </c>
      <c r="Q511" t="s">
        <v>22</v>
      </c>
      <c r="R511" t="s">
        <v>22</v>
      </c>
      <c r="S511">
        <v>1356</v>
      </c>
      <c r="T511">
        <v>1298</v>
      </c>
      <c r="U511">
        <v>-0.48</v>
      </c>
      <c r="V511">
        <v>5</v>
      </c>
      <c r="W511">
        <v>2.2200000000000002</v>
      </c>
      <c r="X511">
        <v>607202667</v>
      </c>
    </row>
    <row r="512" spans="1:24" x14ac:dyDescent="0.25">
      <c r="A512" t="s">
        <v>895</v>
      </c>
      <c r="B512">
        <v>511</v>
      </c>
      <c r="C512">
        <v>0.4</v>
      </c>
      <c r="D512">
        <v>0</v>
      </c>
      <c r="E512">
        <v>1048500</v>
      </c>
      <c r="F512">
        <v>421210</v>
      </c>
      <c r="G512">
        <v>1385871979.5999999</v>
      </c>
      <c r="H512">
        <v>1281931581.1300001</v>
      </c>
      <c r="I512">
        <v>0.68</v>
      </c>
      <c r="J512">
        <v>0.43815199999999999</v>
      </c>
      <c r="K512">
        <v>0.02</v>
      </c>
      <c r="L512">
        <v>0.02</v>
      </c>
      <c r="M512">
        <v>-60.377862999999998</v>
      </c>
      <c r="N512">
        <v>-84.985483000000002</v>
      </c>
      <c r="O512">
        <v>5.8635120000000001</v>
      </c>
      <c r="P512">
        <v>0.63</v>
      </c>
      <c r="Q512" t="s">
        <v>22</v>
      </c>
      <c r="R512" t="s">
        <v>22</v>
      </c>
      <c r="V512">
        <v>4</v>
      </c>
      <c r="W512">
        <v>0.59</v>
      </c>
      <c r="X512">
        <v>3464679949</v>
      </c>
    </row>
    <row r="513" spans="1:24" x14ac:dyDescent="0.25">
      <c r="A513" t="s">
        <v>532</v>
      </c>
      <c r="B513">
        <v>512</v>
      </c>
      <c r="C513">
        <v>2.02</v>
      </c>
      <c r="D513">
        <v>0</v>
      </c>
      <c r="E513">
        <v>96300</v>
      </c>
      <c r="F513">
        <v>190448</v>
      </c>
      <c r="G513">
        <v>852441440.25999999</v>
      </c>
      <c r="H513">
        <v>5.45</v>
      </c>
      <c r="I513">
        <v>0.64</v>
      </c>
      <c r="J513">
        <v>0.87041199999999996</v>
      </c>
      <c r="K513">
        <v>0.05</v>
      </c>
      <c r="L513">
        <v>0.18</v>
      </c>
      <c r="M513">
        <v>9.6600830000000002</v>
      </c>
      <c r="N513">
        <v>12.350254</v>
      </c>
      <c r="O513">
        <v>6.0126059999999999</v>
      </c>
      <c r="P513">
        <v>2.48</v>
      </c>
      <c r="Q513" t="s">
        <v>22</v>
      </c>
      <c r="R513" t="s">
        <v>22</v>
      </c>
      <c r="S513">
        <v>259</v>
      </c>
      <c r="T513">
        <v>233</v>
      </c>
      <c r="U513">
        <v>0.01</v>
      </c>
      <c r="W513">
        <v>3.16</v>
      </c>
      <c r="X513">
        <v>422000713</v>
      </c>
    </row>
    <row r="514" spans="1:24" x14ac:dyDescent="0.25">
      <c r="A514" t="s">
        <v>533</v>
      </c>
      <c r="B514">
        <v>513</v>
      </c>
      <c r="C514">
        <v>0.74</v>
      </c>
      <c r="D514">
        <v>-2.63</v>
      </c>
      <c r="E514">
        <v>1000</v>
      </c>
      <c r="F514">
        <v>740</v>
      </c>
      <c r="G514">
        <v>222000000</v>
      </c>
      <c r="H514">
        <v>219000000</v>
      </c>
      <c r="I514">
        <v>0.35</v>
      </c>
      <c r="J514">
        <v>0.52173899999999995</v>
      </c>
      <c r="K514">
        <v>-0.33</v>
      </c>
      <c r="L514">
        <v>-0.33</v>
      </c>
      <c r="M514">
        <v>-12.889305999999999</v>
      </c>
      <c r="N514">
        <v>-22.525608999999999</v>
      </c>
      <c r="O514">
        <v>-36.973784999999999</v>
      </c>
      <c r="P514">
        <v>0.35</v>
      </c>
      <c r="Q514" t="s">
        <v>22</v>
      </c>
      <c r="R514" t="s">
        <v>22</v>
      </c>
      <c r="V514">
        <v>5</v>
      </c>
      <c r="W514">
        <v>2.09</v>
      </c>
      <c r="X514">
        <v>300000000</v>
      </c>
    </row>
    <row r="515" spans="1:24" x14ac:dyDescent="0.25">
      <c r="A515" t="s">
        <v>534</v>
      </c>
      <c r="B515">
        <v>514</v>
      </c>
      <c r="C515">
        <v>0.28000000000000003</v>
      </c>
      <c r="D515">
        <v>0</v>
      </c>
      <c r="E515">
        <v>14021</v>
      </c>
      <c r="F515">
        <v>3771.7</v>
      </c>
      <c r="G515">
        <v>261282256.19999999</v>
      </c>
      <c r="H515">
        <v>228486532.30000001</v>
      </c>
      <c r="I515">
        <v>0.73</v>
      </c>
      <c r="J515">
        <v>1.0602450000000001</v>
      </c>
      <c r="K515">
        <v>-0.01</v>
      </c>
      <c r="L515">
        <v>-0.01</v>
      </c>
      <c r="M515">
        <v>-29.034388</v>
      </c>
      <c r="N515">
        <v>-58.805802</v>
      </c>
      <c r="O515">
        <v>-1.5281439999999999</v>
      </c>
      <c r="P515">
        <v>0.66</v>
      </c>
      <c r="Q515" t="s">
        <v>22</v>
      </c>
      <c r="R515" t="s">
        <v>22</v>
      </c>
      <c r="W515">
        <v>0.38</v>
      </c>
      <c r="X515">
        <v>933150915</v>
      </c>
    </row>
    <row r="516" spans="1:24" x14ac:dyDescent="0.25">
      <c r="A516" t="s">
        <v>535</v>
      </c>
      <c r="B516">
        <v>515</v>
      </c>
      <c r="C516">
        <v>0.15</v>
      </c>
      <c r="D516">
        <v>-6.25</v>
      </c>
      <c r="E516">
        <v>312200</v>
      </c>
      <c r="F516">
        <v>46855</v>
      </c>
      <c r="G516">
        <v>128978271.3</v>
      </c>
      <c r="H516">
        <v>194.92</v>
      </c>
      <c r="I516">
        <v>0.44</v>
      </c>
      <c r="J516">
        <v>0.97183299999999995</v>
      </c>
      <c r="K516">
        <v>0.01</v>
      </c>
      <c r="L516">
        <v>-0.01</v>
      </c>
      <c r="M516">
        <v>4.226458</v>
      </c>
      <c r="N516">
        <v>0.228993</v>
      </c>
      <c r="O516">
        <v>-2.755789</v>
      </c>
      <c r="P516">
        <v>0.5</v>
      </c>
      <c r="Q516" t="s">
        <v>22</v>
      </c>
      <c r="R516" t="s">
        <v>22</v>
      </c>
      <c r="S516">
        <v>1363</v>
      </c>
      <c r="T516">
        <v>1166</v>
      </c>
      <c r="U516">
        <v>-3.1</v>
      </c>
      <c r="V516">
        <v>5</v>
      </c>
      <c r="W516">
        <v>0.34</v>
      </c>
      <c r="X516">
        <v>859855142</v>
      </c>
    </row>
    <row r="517" spans="1:24" x14ac:dyDescent="0.25">
      <c r="A517" t="s">
        <v>536</v>
      </c>
      <c r="B517">
        <v>516</v>
      </c>
      <c r="C517">
        <v>1.44</v>
      </c>
      <c r="D517">
        <v>0</v>
      </c>
      <c r="E517">
        <v>82700</v>
      </c>
      <c r="F517">
        <v>117995</v>
      </c>
      <c r="G517">
        <v>964800000</v>
      </c>
      <c r="H517">
        <v>951400000</v>
      </c>
      <c r="I517">
        <v>0.48</v>
      </c>
      <c r="J517">
        <v>0.37804500000000002</v>
      </c>
      <c r="K517">
        <v>0.03</v>
      </c>
      <c r="L517">
        <v>-0.03</v>
      </c>
      <c r="M517">
        <v>-3.7313670000000001</v>
      </c>
      <c r="N517">
        <v>-6.1826600000000003</v>
      </c>
      <c r="O517">
        <v>-1.6341030000000001</v>
      </c>
      <c r="P517">
        <v>2.08</v>
      </c>
      <c r="Q517" t="s">
        <v>22</v>
      </c>
      <c r="R517" t="s">
        <v>22</v>
      </c>
      <c r="V517">
        <v>5</v>
      </c>
      <c r="W517">
        <v>2.97</v>
      </c>
      <c r="X517">
        <v>670000000</v>
      </c>
    </row>
    <row r="518" spans="1:24" x14ac:dyDescent="0.25">
      <c r="A518" t="s">
        <v>537</v>
      </c>
      <c r="B518">
        <v>517</v>
      </c>
      <c r="C518">
        <v>18.600000000000001</v>
      </c>
      <c r="D518">
        <v>0.54</v>
      </c>
      <c r="E518">
        <v>3088537</v>
      </c>
      <c r="F518">
        <v>57656770.5</v>
      </c>
      <c r="G518">
        <v>14625180000</v>
      </c>
      <c r="H518">
        <v>18.079999999999998</v>
      </c>
      <c r="I518">
        <v>2.4300000000000002</v>
      </c>
      <c r="J518">
        <v>0.19261</v>
      </c>
      <c r="K518">
        <v>0.2</v>
      </c>
      <c r="L518">
        <v>0.47</v>
      </c>
      <c r="M518">
        <v>14.338043000000001</v>
      </c>
      <c r="N518">
        <v>13.910033</v>
      </c>
      <c r="O518">
        <v>13.921163</v>
      </c>
      <c r="P518">
        <v>2.69</v>
      </c>
      <c r="Q518" t="s">
        <v>22</v>
      </c>
      <c r="R518" t="s">
        <v>22</v>
      </c>
      <c r="S518">
        <v>679</v>
      </c>
      <c r="T518">
        <v>587</v>
      </c>
      <c r="U518">
        <v>0.41</v>
      </c>
      <c r="V518">
        <v>5</v>
      </c>
      <c r="W518">
        <v>7.64</v>
      </c>
      <c r="X518">
        <v>786300000</v>
      </c>
    </row>
    <row r="519" spans="1:24" x14ac:dyDescent="0.25">
      <c r="A519" t="s">
        <v>538</v>
      </c>
      <c r="B519">
        <v>518</v>
      </c>
      <c r="C519">
        <v>10.3</v>
      </c>
      <c r="D519">
        <v>3</v>
      </c>
      <c r="E519">
        <v>90400</v>
      </c>
      <c r="F519">
        <v>910710</v>
      </c>
      <c r="G519">
        <v>610547646.20000005</v>
      </c>
      <c r="H519">
        <v>604502620</v>
      </c>
      <c r="I519">
        <v>0.91</v>
      </c>
      <c r="J519">
        <v>0.50080000000000002</v>
      </c>
      <c r="K519">
        <v>0.9</v>
      </c>
      <c r="L519">
        <v>-0.56999999999999995</v>
      </c>
      <c r="M519">
        <v>-1.4328399999999999</v>
      </c>
      <c r="N519">
        <v>-5.2203840000000001</v>
      </c>
      <c r="O519">
        <v>-16.427503000000002</v>
      </c>
      <c r="P519">
        <v>8.91</v>
      </c>
      <c r="Q519" t="s">
        <v>22</v>
      </c>
      <c r="R519" t="s">
        <v>22</v>
      </c>
      <c r="V519">
        <v>3</v>
      </c>
      <c r="W519">
        <v>11.09</v>
      </c>
      <c r="X519">
        <v>60450262</v>
      </c>
    </row>
    <row r="520" spans="1:24" x14ac:dyDescent="0.25">
      <c r="A520" t="s">
        <v>539</v>
      </c>
      <c r="B520">
        <v>519</v>
      </c>
      <c r="C520">
        <v>0.89</v>
      </c>
      <c r="D520">
        <v>-1.1100000000000001</v>
      </c>
      <c r="E520">
        <v>1077400</v>
      </c>
      <c r="F520">
        <v>982385</v>
      </c>
      <c r="G520">
        <v>380790804.04000002</v>
      </c>
      <c r="H520">
        <v>9.2799999999999994</v>
      </c>
      <c r="I520">
        <v>0.67</v>
      </c>
      <c r="J520">
        <v>1.449422</v>
      </c>
      <c r="K520">
        <v>0.04</v>
      </c>
      <c r="L520">
        <v>0.05</v>
      </c>
      <c r="M520">
        <v>5.6134940000000002</v>
      </c>
      <c r="N520">
        <v>7.3424680000000002</v>
      </c>
      <c r="O520">
        <v>3.7028889999999999</v>
      </c>
      <c r="P520">
        <v>4.49</v>
      </c>
      <c r="Q520" t="s">
        <v>22</v>
      </c>
      <c r="R520" t="s">
        <v>22</v>
      </c>
      <c r="S520">
        <v>667</v>
      </c>
      <c r="T520">
        <v>645</v>
      </c>
      <c r="U520">
        <v>-0.18</v>
      </c>
      <c r="V520">
        <v>3</v>
      </c>
      <c r="W520">
        <v>1.33</v>
      </c>
      <c r="X520">
        <v>427854836</v>
      </c>
    </row>
    <row r="521" spans="1:24" x14ac:dyDescent="0.25">
      <c r="A521" t="s">
        <v>540</v>
      </c>
      <c r="B521">
        <v>520</v>
      </c>
      <c r="C521">
        <v>3.44</v>
      </c>
      <c r="D521">
        <v>-0.57999999999999996</v>
      </c>
      <c r="E521">
        <v>5600</v>
      </c>
      <c r="F521">
        <v>19160</v>
      </c>
      <c r="G521">
        <v>1061847029.28</v>
      </c>
      <c r="H521">
        <v>5.0999999999999996</v>
      </c>
      <c r="I521">
        <v>0.4</v>
      </c>
      <c r="J521">
        <v>1.245879</v>
      </c>
      <c r="K521">
        <v>0.2</v>
      </c>
      <c r="L521">
        <v>0.21</v>
      </c>
      <c r="M521">
        <v>5.5140900000000004</v>
      </c>
      <c r="N521">
        <v>8.0080329999999993</v>
      </c>
      <c r="O521">
        <v>2.3107679999999999</v>
      </c>
      <c r="P521">
        <v>5.81</v>
      </c>
      <c r="Q521" t="s">
        <v>22</v>
      </c>
      <c r="R521" t="s">
        <v>22</v>
      </c>
      <c r="S521">
        <v>386</v>
      </c>
      <c r="T521">
        <v>433</v>
      </c>
      <c r="U521">
        <v>1.01</v>
      </c>
      <c r="V521">
        <v>4</v>
      </c>
      <c r="W521">
        <v>8.66</v>
      </c>
      <c r="X521">
        <v>308676462</v>
      </c>
    </row>
    <row r="522" spans="1:24" x14ac:dyDescent="0.25">
      <c r="A522" t="s">
        <v>541</v>
      </c>
      <c r="B522">
        <v>521</v>
      </c>
      <c r="C522">
        <v>0.44</v>
      </c>
      <c r="D522">
        <v>0</v>
      </c>
      <c r="E522">
        <v>51900</v>
      </c>
      <c r="F522">
        <v>23157</v>
      </c>
      <c r="G522">
        <v>151200000</v>
      </c>
      <c r="H522">
        <v>154560000</v>
      </c>
      <c r="I522">
        <v>0.79</v>
      </c>
      <c r="J522">
        <v>1.6373</v>
      </c>
      <c r="K522">
        <v>-0.11</v>
      </c>
      <c r="L522">
        <v>-0.11</v>
      </c>
      <c r="M522">
        <v>-17.2788</v>
      </c>
      <c r="N522">
        <v>-41.538034000000003</v>
      </c>
      <c r="O522">
        <v>-30.498201999999999</v>
      </c>
      <c r="P522">
        <v>0.8</v>
      </c>
      <c r="Q522" t="s">
        <v>22</v>
      </c>
      <c r="R522" t="s">
        <v>22</v>
      </c>
      <c r="W522">
        <v>0.56999999999999995</v>
      </c>
      <c r="X522">
        <v>336000000</v>
      </c>
    </row>
    <row r="523" spans="1:24" x14ac:dyDescent="0.25">
      <c r="A523" t="s">
        <v>542</v>
      </c>
      <c r="B523">
        <v>522</v>
      </c>
      <c r="C523">
        <v>11</v>
      </c>
      <c r="D523">
        <v>0</v>
      </c>
      <c r="E523">
        <v>2800</v>
      </c>
      <c r="F523">
        <v>31130</v>
      </c>
      <c r="G523">
        <v>8409477054</v>
      </c>
      <c r="H523">
        <v>12.71</v>
      </c>
      <c r="I523">
        <v>0.8</v>
      </c>
      <c r="J523">
        <v>0.23871200000000001</v>
      </c>
      <c r="K523">
        <v>0.38</v>
      </c>
      <c r="L523">
        <v>0.47</v>
      </c>
      <c r="M523">
        <v>5.4933990000000001</v>
      </c>
      <c r="N523">
        <v>6.7040889999999997</v>
      </c>
      <c r="O523">
        <v>23.853209</v>
      </c>
      <c r="P523">
        <v>6.9</v>
      </c>
      <c r="Q523" t="s">
        <v>22</v>
      </c>
      <c r="R523" t="s">
        <v>22</v>
      </c>
      <c r="S523">
        <v>869</v>
      </c>
      <c r="T523">
        <v>842</v>
      </c>
      <c r="U523">
        <v>0.85</v>
      </c>
      <c r="V523">
        <v>5</v>
      </c>
      <c r="W523">
        <v>13.7</v>
      </c>
      <c r="X523">
        <v>764497914</v>
      </c>
    </row>
    <row r="524" spans="1:24" x14ac:dyDescent="0.25">
      <c r="A524" t="s">
        <v>543</v>
      </c>
      <c r="B524">
        <v>523</v>
      </c>
      <c r="C524">
        <v>3.48</v>
      </c>
      <c r="D524">
        <v>-0.56999999999999995</v>
      </c>
      <c r="E524">
        <v>67200</v>
      </c>
      <c r="F524">
        <v>234924</v>
      </c>
      <c r="G524">
        <v>1113600000</v>
      </c>
      <c r="H524">
        <v>7.03</v>
      </c>
      <c r="I524">
        <v>0.69</v>
      </c>
      <c r="J524">
        <v>0.38351000000000002</v>
      </c>
      <c r="K524">
        <v>0.1875</v>
      </c>
      <c r="L524">
        <v>0.19</v>
      </c>
      <c r="M524">
        <v>10.500591999999999</v>
      </c>
      <c r="N524">
        <v>10.149111</v>
      </c>
      <c r="O524">
        <v>9.2510630000000003</v>
      </c>
      <c r="P524">
        <v>14.37</v>
      </c>
      <c r="Q524" t="s">
        <v>22</v>
      </c>
      <c r="R524" t="s">
        <v>22</v>
      </c>
      <c r="S524">
        <v>389</v>
      </c>
      <c r="T524">
        <v>263</v>
      </c>
      <c r="U524">
        <v>-4.3600000000000003</v>
      </c>
      <c r="V524">
        <v>4</v>
      </c>
      <c r="W524">
        <v>5.03</v>
      </c>
      <c r="X524">
        <v>320000000</v>
      </c>
    </row>
    <row r="525" spans="1:24" x14ac:dyDescent="0.25">
      <c r="A525" t="s">
        <v>544</v>
      </c>
      <c r="B525">
        <v>524</v>
      </c>
      <c r="C525">
        <v>0.05</v>
      </c>
      <c r="D525">
        <v>0</v>
      </c>
      <c r="E525">
        <v>1262000</v>
      </c>
      <c r="F525">
        <v>63243</v>
      </c>
      <c r="G525">
        <v>212724275.75</v>
      </c>
      <c r="H525">
        <v>255269130.90000001</v>
      </c>
      <c r="I525">
        <v>0.12</v>
      </c>
      <c r="J525">
        <v>1.8669</v>
      </c>
      <c r="K525">
        <v>0.04</v>
      </c>
      <c r="L525">
        <v>0.04</v>
      </c>
      <c r="M525">
        <v>0.69444499999999998</v>
      </c>
      <c r="N525">
        <v>-0.19800200000000001</v>
      </c>
      <c r="O525">
        <v>66.064836</v>
      </c>
      <c r="P525">
        <v>0.14000000000000001</v>
      </c>
      <c r="Q525" t="s">
        <v>22</v>
      </c>
      <c r="R525" t="s">
        <v>22</v>
      </c>
      <c r="S525">
        <v>530</v>
      </c>
      <c r="T525">
        <v>613</v>
      </c>
      <c r="U525">
        <v>-0.01</v>
      </c>
      <c r="V525">
        <v>4</v>
      </c>
      <c r="W525">
        <v>0.43</v>
      </c>
      <c r="X525">
        <v>4254485515</v>
      </c>
    </row>
    <row r="526" spans="1:24" x14ac:dyDescent="0.25">
      <c r="A526" t="s">
        <v>545</v>
      </c>
      <c r="B526">
        <v>525</v>
      </c>
      <c r="C526">
        <v>1.35</v>
      </c>
      <c r="D526">
        <v>-0.74</v>
      </c>
      <c r="E526">
        <v>20300</v>
      </c>
      <c r="F526">
        <v>27414</v>
      </c>
      <c r="G526">
        <v>1647015869.25</v>
      </c>
      <c r="H526">
        <v>27.79</v>
      </c>
      <c r="I526">
        <v>0.3</v>
      </c>
      <c r="J526">
        <v>1.178901</v>
      </c>
      <c r="K526">
        <v>9.7000000000000003E-2</v>
      </c>
      <c r="L526">
        <v>0.03</v>
      </c>
      <c r="M526">
        <v>1.590284</v>
      </c>
      <c r="N526">
        <v>1.0926389999999999</v>
      </c>
      <c r="O526">
        <v>3.5473089999999998</v>
      </c>
      <c r="P526">
        <v>0.3</v>
      </c>
      <c r="Q526" t="s">
        <v>22</v>
      </c>
      <c r="R526" t="s">
        <v>22</v>
      </c>
      <c r="S526">
        <v>1235</v>
      </c>
      <c r="T526">
        <v>1233</v>
      </c>
      <c r="U526">
        <v>-0.78</v>
      </c>
      <c r="V526">
        <v>4</v>
      </c>
      <c r="W526">
        <v>4.47</v>
      </c>
      <c r="X526">
        <v>1220011755</v>
      </c>
    </row>
    <row r="527" spans="1:24" x14ac:dyDescent="0.25">
      <c r="A527" t="s">
        <v>546</v>
      </c>
      <c r="B527">
        <v>526</v>
      </c>
      <c r="C527">
        <v>1.71</v>
      </c>
      <c r="D527">
        <v>-0.57999999999999996</v>
      </c>
      <c r="E527">
        <v>76500</v>
      </c>
      <c r="F527">
        <v>131360</v>
      </c>
      <c r="G527">
        <v>6512655558.4200001</v>
      </c>
      <c r="H527">
        <v>6512655558.4200001</v>
      </c>
      <c r="I527">
        <v>0.77</v>
      </c>
      <c r="J527">
        <v>0.729989</v>
      </c>
      <c r="K527">
        <v>1.2E-2</v>
      </c>
      <c r="L527">
        <v>-7.0000000000000007E-2</v>
      </c>
      <c r="M527">
        <v>-1.4991909999999999</v>
      </c>
      <c r="N527">
        <v>-4.7359359999999997</v>
      </c>
      <c r="O527">
        <v>-8.902787</v>
      </c>
      <c r="P527">
        <v>0.7</v>
      </c>
      <c r="Q527" t="s">
        <v>22</v>
      </c>
      <c r="R527" t="s">
        <v>22</v>
      </c>
      <c r="V527">
        <v>4</v>
      </c>
      <c r="W527">
        <v>2.21</v>
      </c>
      <c r="X527">
        <v>3808570502</v>
      </c>
    </row>
    <row r="528" spans="1:24" x14ac:dyDescent="0.25">
      <c r="A528" t="s">
        <v>547</v>
      </c>
      <c r="B528">
        <v>527</v>
      </c>
      <c r="C528">
        <v>9.5</v>
      </c>
      <c r="D528">
        <v>-2.06</v>
      </c>
      <c r="E528">
        <v>4420273</v>
      </c>
      <c r="F528">
        <v>42301790.100000001</v>
      </c>
      <c r="G528">
        <v>21090000000</v>
      </c>
      <c r="H528">
        <v>9.7799999999999994</v>
      </c>
      <c r="I528">
        <v>1.72</v>
      </c>
      <c r="J528">
        <v>0.82179100000000005</v>
      </c>
      <c r="K528">
        <v>0.2</v>
      </c>
      <c r="L528">
        <v>0.53</v>
      </c>
      <c r="M528">
        <v>11.615174</v>
      </c>
      <c r="N528">
        <v>18.243387999999999</v>
      </c>
      <c r="O528">
        <v>26.48855</v>
      </c>
      <c r="P528">
        <v>5.26</v>
      </c>
      <c r="Q528" t="s">
        <v>22</v>
      </c>
      <c r="R528" t="s">
        <v>22</v>
      </c>
      <c r="S528">
        <v>417</v>
      </c>
      <c r="T528">
        <v>447</v>
      </c>
      <c r="U528">
        <v>0.8</v>
      </c>
      <c r="V528">
        <v>5</v>
      </c>
      <c r="W528">
        <v>5.52</v>
      </c>
      <c r="X528">
        <v>2220000000</v>
      </c>
    </row>
    <row r="529" spans="1:24" x14ac:dyDescent="0.25">
      <c r="A529" t="s">
        <v>548</v>
      </c>
      <c r="B529">
        <v>528</v>
      </c>
      <c r="C529">
        <v>0.86</v>
      </c>
      <c r="D529">
        <v>-5.49</v>
      </c>
      <c r="E529">
        <v>3882601</v>
      </c>
      <c r="F529">
        <v>3400612.88</v>
      </c>
      <c r="G529">
        <v>337608539.33999997</v>
      </c>
      <c r="H529">
        <v>365088304.17000002</v>
      </c>
      <c r="I529">
        <v>0.62</v>
      </c>
      <c r="J529">
        <v>1.0991299999999999</v>
      </c>
      <c r="K529">
        <v>0.12</v>
      </c>
      <c r="L529">
        <v>-0.09</v>
      </c>
      <c r="M529">
        <v>-2.2424590000000002</v>
      </c>
      <c r="N529">
        <v>-8.7008109999999999</v>
      </c>
      <c r="O529">
        <v>-18.964447</v>
      </c>
      <c r="P529">
        <v>0.67</v>
      </c>
      <c r="Q529" t="s">
        <v>22</v>
      </c>
      <c r="R529" t="s">
        <v>22</v>
      </c>
      <c r="V529">
        <v>3</v>
      </c>
      <c r="W529">
        <v>1.4</v>
      </c>
      <c r="X529">
        <v>392568069</v>
      </c>
    </row>
    <row r="530" spans="1:24" x14ac:dyDescent="0.25">
      <c r="A530" t="s">
        <v>549</v>
      </c>
      <c r="B530">
        <v>529</v>
      </c>
      <c r="C530">
        <v>0.16</v>
      </c>
      <c r="D530">
        <v>6.67</v>
      </c>
      <c r="E530">
        <v>701500</v>
      </c>
      <c r="F530">
        <v>110661</v>
      </c>
      <c r="G530">
        <v>96000000</v>
      </c>
      <c r="H530">
        <v>102000000</v>
      </c>
      <c r="I530">
        <v>1.86</v>
      </c>
      <c r="J530">
        <v>9.2548290000000009</v>
      </c>
      <c r="K530">
        <v>0.03</v>
      </c>
      <c r="L530">
        <v>-0.09</v>
      </c>
      <c r="M530">
        <v>-26.410301</v>
      </c>
      <c r="N530">
        <v>-154.31866600000001</v>
      </c>
      <c r="O530">
        <v>-22.778683000000001</v>
      </c>
      <c r="P530">
        <v>1.97</v>
      </c>
      <c r="Q530" t="s">
        <v>22</v>
      </c>
      <c r="R530" t="s">
        <v>22</v>
      </c>
      <c r="V530">
        <v>3</v>
      </c>
      <c r="W530">
        <v>0.09</v>
      </c>
      <c r="X530">
        <v>600000000</v>
      </c>
    </row>
    <row r="531" spans="1:24" x14ac:dyDescent="0.25">
      <c r="A531" t="s">
        <v>550</v>
      </c>
      <c r="B531">
        <v>530</v>
      </c>
      <c r="C531">
        <v>1.2</v>
      </c>
      <c r="D531">
        <v>0</v>
      </c>
      <c r="E531">
        <v>675900</v>
      </c>
      <c r="F531">
        <v>819062</v>
      </c>
      <c r="G531">
        <v>1168816812</v>
      </c>
      <c r="H531">
        <v>4.8899999999999997</v>
      </c>
      <c r="I531">
        <v>0.65</v>
      </c>
      <c r="J531">
        <v>2.3618519999999998</v>
      </c>
      <c r="K531">
        <v>0.09</v>
      </c>
      <c r="L531">
        <v>0.17</v>
      </c>
      <c r="M531">
        <v>6.5429789999999999</v>
      </c>
      <c r="N531">
        <v>13.803065</v>
      </c>
      <c r="O531">
        <v>5.3691230000000001</v>
      </c>
      <c r="P531">
        <v>7.5</v>
      </c>
      <c r="Q531" t="s">
        <v>22</v>
      </c>
      <c r="R531" t="s">
        <v>22</v>
      </c>
      <c r="S531">
        <v>392</v>
      </c>
      <c r="T531">
        <v>507</v>
      </c>
      <c r="U531">
        <v>-0.11</v>
      </c>
      <c r="V531">
        <v>4</v>
      </c>
      <c r="W531">
        <v>1.85</v>
      </c>
      <c r="X531">
        <v>974014010</v>
      </c>
    </row>
    <row r="532" spans="1:24" x14ac:dyDescent="0.25">
      <c r="A532" t="s">
        <v>551</v>
      </c>
      <c r="B532">
        <v>531</v>
      </c>
      <c r="C532">
        <v>3.3</v>
      </c>
      <c r="D532">
        <v>0.61</v>
      </c>
      <c r="E532">
        <v>102100</v>
      </c>
      <c r="F532">
        <v>336808</v>
      </c>
      <c r="G532">
        <v>1980000000</v>
      </c>
      <c r="H532">
        <v>9.67</v>
      </c>
      <c r="I532">
        <v>1.21</v>
      </c>
      <c r="J532">
        <v>0.45378299999999999</v>
      </c>
      <c r="K532">
        <v>0.1</v>
      </c>
      <c r="L532">
        <v>0.17</v>
      </c>
      <c r="M532">
        <v>10.710334</v>
      </c>
      <c r="N532">
        <v>12.55885</v>
      </c>
      <c r="O532">
        <v>2.5584099999999999</v>
      </c>
      <c r="P532">
        <v>9.09</v>
      </c>
      <c r="Q532" t="s">
        <v>22</v>
      </c>
      <c r="R532" t="s">
        <v>22</v>
      </c>
      <c r="S532">
        <v>434</v>
      </c>
      <c r="T532">
        <v>384</v>
      </c>
      <c r="U532">
        <v>4.09</v>
      </c>
      <c r="V532">
        <v>5</v>
      </c>
      <c r="W532">
        <v>2.73</v>
      </c>
      <c r="X532">
        <v>600000000</v>
      </c>
    </row>
    <row r="533" spans="1:24" x14ac:dyDescent="0.25">
      <c r="A533" t="s">
        <v>552</v>
      </c>
      <c r="B533">
        <v>532</v>
      </c>
      <c r="C533">
        <v>5.85</v>
      </c>
      <c r="D533">
        <v>-0.85</v>
      </c>
      <c r="E533">
        <v>28911</v>
      </c>
      <c r="F533">
        <v>169767.2</v>
      </c>
      <c r="G533">
        <v>13020745315.5</v>
      </c>
      <c r="H533">
        <v>17.41</v>
      </c>
      <c r="I533">
        <v>2.42</v>
      </c>
      <c r="J533">
        <v>1.0314829999999999</v>
      </c>
      <c r="K533">
        <v>0.22</v>
      </c>
      <c r="L533">
        <v>0.22</v>
      </c>
      <c r="M533">
        <v>14.270833</v>
      </c>
      <c r="N533">
        <v>15.000085</v>
      </c>
      <c r="O533">
        <v>8.815728</v>
      </c>
      <c r="P533">
        <v>2.5499999999999998</v>
      </c>
      <c r="Q533" t="s">
        <v>22</v>
      </c>
      <c r="R533" t="s">
        <v>22</v>
      </c>
      <c r="S533">
        <v>829</v>
      </c>
      <c r="T533">
        <v>774</v>
      </c>
      <c r="U533">
        <v>-0.1</v>
      </c>
      <c r="V533">
        <v>4</v>
      </c>
      <c r="W533">
        <v>2.42</v>
      </c>
      <c r="X533">
        <v>2225768430</v>
      </c>
    </row>
    <row r="534" spans="1:24" x14ac:dyDescent="0.25">
      <c r="A534" t="s">
        <v>553</v>
      </c>
      <c r="B534">
        <v>533</v>
      </c>
      <c r="C534">
        <v>3.94</v>
      </c>
      <c r="D534">
        <v>-2.48</v>
      </c>
      <c r="E534">
        <v>671293</v>
      </c>
      <c r="F534">
        <v>2672273.62</v>
      </c>
      <c r="G534">
        <v>8622709392.6800003</v>
      </c>
      <c r="H534">
        <v>8885329983.3199997</v>
      </c>
      <c r="I534">
        <v>0.22</v>
      </c>
      <c r="J534">
        <v>0.42587900000000001</v>
      </c>
      <c r="K534">
        <v>0.05</v>
      </c>
      <c r="L534">
        <v>0.09</v>
      </c>
      <c r="M534">
        <v>0.32962900000000001</v>
      </c>
      <c r="N534">
        <v>-1.066325</v>
      </c>
      <c r="O534">
        <v>2.8637609999999998</v>
      </c>
      <c r="P534">
        <v>2.79</v>
      </c>
      <c r="Q534" t="s">
        <v>22</v>
      </c>
      <c r="R534" t="s">
        <v>22</v>
      </c>
      <c r="V534">
        <v>5</v>
      </c>
      <c r="W534">
        <v>18.03</v>
      </c>
      <c r="X534">
        <v>2188504922</v>
      </c>
    </row>
    <row r="535" spans="1:24" x14ac:dyDescent="0.25">
      <c r="A535" t="s">
        <v>554</v>
      </c>
      <c r="B535">
        <v>534</v>
      </c>
      <c r="C535">
        <v>10.4</v>
      </c>
      <c r="D535">
        <v>0</v>
      </c>
      <c r="E535">
        <v>4742465</v>
      </c>
      <c r="F535">
        <v>49274294.100000001</v>
      </c>
      <c r="G535">
        <v>16216635364.799999</v>
      </c>
      <c r="H535">
        <v>12.58</v>
      </c>
      <c r="I535">
        <v>0.96</v>
      </c>
      <c r="J535">
        <v>0.87371900000000002</v>
      </c>
      <c r="K535">
        <v>0.1</v>
      </c>
      <c r="L535">
        <v>0.42</v>
      </c>
      <c r="M535">
        <v>7.1742910000000002</v>
      </c>
      <c r="N535">
        <v>7.8317490000000003</v>
      </c>
      <c r="O535">
        <v>18.970002999999998</v>
      </c>
      <c r="P535">
        <v>3.87</v>
      </c>
      <c r="Q535" t="s">
        <v>22</v>
      </c>
      <c r="R535" t="s">
        <v>22</v>
      </c>
      <c r="S535">
        <v>743</v>
      </c>
      <c r="T535">
        <v>665</v>
      </c>
      <c r="U535">
        <v>-1.23</v>
      </c>
      <c r="V535">
        <v>5</v>
      </c>
      <c r="W535">
        <v>10.87</v>
      </c>
      <c r="X535">
        <v>1559291862</v>
      </c>
    </row>
    <row r="536" spans="1:24" x14ac:dyDescent="0.25">
      <c r="A536" t="s">
        <v>555</v>
      </c>
      <c r="B536">
        <v>535</v>
      </c>
      <c r="C536">
        <v>7.4</v>
      </c>
      <c r="D536">
        <v>0</v>
      </c>
      <c r="E536">
        <v>1593001</v>
      </c>
      <c r="F536">
        <v>11782762.5</v>
      </c>
      <c r="G536">
        <v>10360000000</v>
      </c>
      <c r="H536">
        <v>9.19</v>
      </c>
      <c r="I536">
        <v>2.2000000000000002</v>
      </c>
      <c r="J536">
        <v>1.168577</v>
      </c>
      <c r="K536">
        <v>0.2</v>
      </c>
      <c r="L536">
        <v>0.56999999999999995</v>
      </c>
      <c r="M536">
        <v>15.697115999999999</v>
      </c>
      <c r="N536">
        <v>25.934277000000002</v>
      </c>
      <c r="O536">
        <v>10.943517999999999</v>
      </c>
      <c r="P536">
        <v>3.78</v>
      </c>
      <c r="Q536" t="s">
        <v>22</v>
      </c>
      <c r="R536" t="s">
        <v>22</v>
      </c>
      <c r="S536">
        <v>492</v>
      </c>
      <c r="T536">
        <v>493</v>
      </c>
      <c r="U536">
        <v>0.64</v>
      </c>
      <c r="V536">
        <v>5</v>
      </c>
      <c r="W536">
        <v>3.37</v>
      </c>
      <c r="X536">
        <v>1400000000</v>
      </c>
    </row>
    <row r="537" spans="1:24" x14ac:dyDescent="0.25">
      <c r="A537" t="s">
        <v>556</v>
      </c>
      <c r="B537">
        <v>536</v>
      </c>
      <c r="C537">
        <v>0.35</v>
      </c>
      <c r="D537">
        <v>0</v>
      </c>
      <c r="E537">
        <v>1556700</v>
      </c>
      <c r="F537">
        <v>557</v>
      </c>
      <c r="G537">
        <v>1213</v>
      </c>
      <c r="I537">
        <v>0.6</v>
      </c>
      <c r="L537">
        <v>0</v>
      </c>
      <c r="Q537" t="s">
        <v>22</v>
      </c>
      <c r="R537" t="s">
        <v>22</v>
      </c>
      <c r="V537">
        <v>4</v>
      </c>
    </row>
    <row r="538" spans="1:24" x14ac:dyDescent="0.25">
      <c r="A538" t="s">
        <v>557</v>
      </c>
      <c r="B538">
        <v>537</v>
      </c>
      <c r="C538">
        <v>11.4</v>
      </c>
      <c r="D538">
        <v>0</v>
      </c>
      <c r="E538">
        <v>98372</v>
      </c>
      <c r="F538">
        <v>1117149.8</v>
      </c>
      <c r="G538">
        <v>3236333938.8000002</v>
      </c>
      <c r="H538">
        <v>11.99</v>
      </c>
      <c r="I538">
        <v>4.37</v>
      </c>
      <c r="J538">
        <v>2.4233310000000001</v>
      </c>
      <c r="K538">
        <v>0.45</v>
      </c>
      <c r="L538">
        <v>0.36</v>
      </c>
      <c r="M538">
        <v>12.844099999999999</v>
      </c>
      <c r="N538">
        <v>35.760269000000001</v>
      </c>
      <c r="O538">
        <v>6.6671230000000001</v>
      </c>
      <c r="P538">
        <v>8.77</v>
      </c>
      <c r="Q538" t="s">
        <v>22</v>
      </c>
      <c r="R538" t="s">
        <v>22</v>
      </c>
      <c r="S538">
        <v>370</v>
      </c>
      <c r="T538">
        <v>454</v>
      </c>
      <c r="U538">
        <v>0.33</v>
      </c>
      <c r="V538">
        <v>4</v>
      </c>
      <c r="W538">
        <v>2.61</v>
      </c>
      <c r="X538">
        <v>283888942</v>
      </c>
    </row>
    <row r="539" spans="1:24" x14ac:dyDescent="0.25">
      <c r="A539" t="s">
        <v>558</v>
      </c>
      <c r="B539">
        <v>538</v>
      </c>
      <c r="C539">
        <v>0.6</v>
      </c>
      <c r="D539">
        <v>0</v>
      </c>
      <c r="E539">
        <v>50200</v>
      </c>
      <c r="F539">
        <v>29625</v>
      </c>
      <c r="G539">
        <v>246000000</v>
      </c>
      <c r="H539">
        <v>43.86</v>
      </c>
      <c r="I539">
        <v>0.28000000000000003</v>
      </c>
      <c r="J539">
        <v>1.6388E-2</v>
      </c>
      <c r="K539">
        <v>0.01</v>
      </c>
      <c r="L539">
        <v>0.01</v>
      </c>
      <c r="M539">
        <v>0.70291599999999999</v>
      </c>
      <c r="N539">
        <v>0.63245399999999996</v>
      </c>
      <c r="O539">
        <v>7.4470840000000003</v>
      </c>
      <c r="P539">
        <v>1.67</v>
      </c>
      <c r="Q539" t="s">
        <v>22</v>
      </c>
      <c r="R539" t="s">
        <v>22</v>
      </c>
      <c r="S539">
        <v>1338</v>
      </c>
      <c r="T539">
        <v>1365</v>
      </c>
      <c r="U539">
        <v>-1.57</v>
      </c>
      <c r="V539">
        <v>5</v>
      </c>
      <c r="W539">
        <v>2.16</v>
      </c>
      <c r="X539">
        <v>410000000</v>
      </c>
    </row>
    <row r="540" spans="1:24" x14ac:dyDescent="0.25">
      <c r="A540" t="s">
        <v>559</v>
      </c>
      <c r="B540">
        <v>539</v>
      </c>
      <c r="C540">
        <v>7.85</v>
      </c>
      <c r="D540">
        <v>-1.88</v>
      </c>
      <c r="E540">
        <v>11350484</v>
      </c>
      <c r="F540">
        <v>90472316.599999994</v>
      </c>
      <c r="G540">
        <v>13109500000</v>
      </c>
      <c r="H540">
        <v>33.79</v>
      </c>
      <c r="I540">
        <v>1.41</v>
      </c>
      <c r="J540">
        <v>4.5166810000000002</v>
      </c>
      <c r="K540">
        <v>0.35</v>
      </c>
      <c r="L540">
        <v>-0.08</v>
      </c>
      <c r="M540">
        <v>3.325666</v>
      </c>
      <c r="N540">
        <v>4.1985939999999999</v>
      </c>
      <c r="O540">
        <v>-6.5005999999999994E-2</v>
      </c>
      <c r="P540">
        <v>4.46</v>
      </c>
      <c r="Q540" t="s">
        <v>22</v>
      </c>
      <c r="R540" t="s">
        <v>22</v>
      </c>
      <c r="S540">
        <v>975</v>
      </c>
      <c r="T540">
        <v>1063</v>
      </c>
      <c r="U540">
        <v>38.21</v>
      </c>
      <c r="V540">
        <v>5</v>
      </c>
      <c r="W540">
        <v>5.58</v>
      </c>
      <c r="X540">
        <v>1670000000</v>
      </c>
    </row>
    <row r="541" spans="1:24" x14ac:dyDescent="0.25">
      <c r="A541" t="s">
        <v>560</v>
      </c>
      <c r="B541">
        <v>540</v>
      </c>
      <c r="C541">
        <v>14.8</v>
      </c>
      <c r="D541">
        <v>0.68</v>
      </c>
      <c r="E541">
        <v>119133</v>
      </c>
      <c r="F541">
        <v>1750545.1</v>
      </c>
      <c r="G541">
        <v>13320000000</v>
      </c>
      <c r="H541">
        <v>19.420000000000002</v>
      </c>
      <c r="I541">
        <v>0.67</v>
      </c>
      <c r="J541">
        <v>0.30784699999999998</v>
      </c>
      <c r="K541">
        <v>0.12</v>
      </c>
      <c r="L541">
        <v>0.56000000000000005</v>
      </c>
      <c r="M541">
        <v>3.669686</v>
      </c>
      <c r="N541">
        <v>3.479708</v>
      </c>
      <c r="O541">
        <v>8.5225639999999991</v>
      </c>
      <c r="P541">
        <v>0.81</v>
      </c>
      <c r="Q541" t="s">
        <v>22</v>
      </c>
      <c r="R541" t="s">
        <v>22</v>
      </c>
      <c r="S541">
        <v>1107</v>
      </c>
      <c r="T541">
        <v>1060</v>
      </c>
      <c r="U541">
        <v>0.44</v>
      </c>
      <c r="W541">
        <v>22.09</v>
      </c>
      <c r="X541">
        <v>900000000</v>
      </c>
    </row>
    <row r="542" spans="1:24" x14ac:dyDescent="0.25">
      <c r="A542" t="s">
        <v>561</v>
      </c>
      <c r="B542">
        <v>541</v>
      </c>
      <c r="C542">
        <v>40.25</v>
      </c>
      <c r="D542">
        <v>0</v>
      </c>
      <c r="E542">
        <v>74636678</v>
      </c>
      <c r="F542">
        <v>3001665448.75</v>
      </c>
      <c r="G542">
        <v>1149660599062.5</v>
      </c>
      <c r="H542">
        <v>9.23</v>
      </c>
      <c r="I542">
        <v>0.95</v>
      </c>
      <c r="J542">
        <v>0.97862499999999997</v>
      </c>
      <c r="K542">
        <v>1.4</v>
      </c>
      <c r="L542">
        <v>2.76</v>
      </c>
      <c r="M542">
        <v>8.5277200000000004</v>
      </c>
      <c r="N542">
        <v>10.621456</v>
      </c>
      <c r="O542">
        <v>7.6233490000000002</v>
      </c>
      <c r="P542">
        <v>5.71</v>
      </c>
      <c r="Q542" t="s">
        <v>22</v>
      </c>
      <c r="R542" t="s">
        <v>22</v>
      </c>
      <c r="S542">
        <v>710</v>
      </c>
      <c r="T542">
        <v>678</v>
      </c>
      <c r="U542">
        <v>-3.9</v>
      </c>
      <c r="V542">
        <v>5</v>
      </c>
      <c r="W542">
        <v>42.16</v>
      </c>
      <c r="X542">
        <v>28562996250</v>
      </c>
    </row>
    <row r="543" spans="1:24" x14ac:dyDescent="0.25">
      <c r="A543" t="s">
        <v>562</v>
      </c>
      <c r="B543">
        <v>542</v>
      </c>
      <c r="C543">
        <v>146</v>
      </c>
      <c r="D543">
        <v>0.34</v>
      </c>
      <c r="E543">
        <v>6032188</v>
      </c>
      <c r="F543">
        <v>881397592</v>
      </c>
      <c r="G543">
        <v>579617868400</v>
      </c>
      <c r="H543">
        <v>8.3699999999999992</v>
      </c>
      <c r="I543">
        <v>1.02</v>
      </c>
      <c r="J543">
        <v>0.81539300000000003</v>
      </c>
      <c r="K543">
        <v>4.5</v>
      </c>
      <c r="L543">
        <v>9.83</v>
      </c>
      <c r="M543">
        <v>13.778518</v>
      </c>
      <c r="N543">
        <v>12.694418000000001</v>
      </c>
      <c r="O543">
        <v>22.074739000000001</v>
      </c>
      <c r="P543">
        <v>5.99</v>
      </c>
      <c r="Q543" t="s">
        <v>22</v>
      </c>
      <c r="R543" t="s">
        <v>22</v>
      </c>
      <c r="S543">
        <v>371</v>
      </c>
      <c r="T543">
        <v>262</v>
      </c>
      <c r="U543">
        <v>0.5</v>
      </c>
      <c r="V543">
        <v>5</v>
      </c>
      <c r="W543">
        <v>142.97</v>
      </c>
      <c r="X543">
        <v>3969985400</v>
      </c>
    </row>
    <row r="544" spans="1:24" x14ac:dyDescent="0.25">
      <c r="A544" t="s">
        <v>563</v>
      </c>
      <c r="B544">
        <v>543</v>
      </c>
      <c r="C544">
        <v>43.25</v>
      </c>
      <c r="D544">
        <v>1.17</v>
      </c>
      <c r="E544">
        <v>30553800</v>
      </c>
      <c r="F544">
        <v>1312285448.5</v>
      </c>
      <c r="G544">
        <v>195007724310.25</v>
      </c>
      <c r="H544">
        <v>27.77</v>
      </c>
      <c r="I544">
        <v>0.63</v>
      </c>
      <c r="J544">
        <v>1.1053269999999999</v>
      </c>
      <c r="K544">
        <v>0.5</v>
      </c>
      <c r="L544">
        <v>3.01</v>
      </c>
      <c r="M544">
        <v>2.330832</v>
      </c>
      <c r="N544">
        <v>2.4799509999999998</v>
      </c>
      <c r="O544">
        <v>4.4206700000000003</v>
      </c>
      <c r="P544">
        <v>1.1599999999999999</v>
      </c>
      <c r="Q544" t="s">
        <v>22</v>
      </c>
      <c r="R544" t="s">
        <v>22</v>
      </c>
      <c r="S544">
        <v>1195</v>
      </c>
      <c r="T544">
        <v>1191</v>
      </c>
      <c r="U544">
        <v>-0.03</v>
      </c>
      <c r="V544">
        <v>5</v>
      </c>
      <c r="W544">
        <v>68.41</v>
      </c>
      <c r="X544">
        <v>4508849117</v>
      </c>
    </row>
    <row r="545" spans="1:24" x14ac:dyDescent="0.25">
      <c r="A545" t="s">
        <v>564</v>
      </c>
      <c r="B545">
        <v>544</v>
      </c>
      <c r="C545">
        <v>3.86</v>
      </c>
      <c r="D545">
        <v>-3.02</v>
      </c>
      <c r="E545">
        <v>1563350</v>
      </c>
      <c r="F545">
        <v>6055802</v>
      </c>
      <c r="G545">
        <v>2894511308.5599999</v>
      </c>
      <c r="H545">
        <v>9.94</v>
      </c>
      <c r="I545">
        <v>2.63</v>
      </c>
      <c r="J545">
        <v>0.50860899999999998</v>
      </c>
      <c r="K545">
        <v>0.15</v>
      </c>
      <c r="L545">
        <v>0.21</v>
      </c>
      <c r="M545">
        <v>24.443370000000002</v>
      </c>
      <c r="N545">
        <v>27.857523</v>
      </c>
      <c r="O545">
        <v>17.342155000000002</v>
      </c>
      <c r="P545">
        <v>6.22</v>
      </c>
      <c r="Q545" t="s">
        <v>22</v>
      </c>
      <c r="R545" t="s">
        <v>22</v>
      </c>
      <c r="S545">
        <v>283</v>
      </c>
      <c r="T545">
        <v>249</v>
      </c>
      <c r="V545">
        <v>3</v>
      </c>
      <c r="W545">
        <v>1.47</v>
      </c>
      <c r="X545">
        <v>749873396</v>
      </c>
    </row>
    <row r="546" spans="1:24" x14ac:dyDescent="0.25">
      <c r="A546" t="s">
        <v>565</v>
      </c>
      <c r="B546">
        <v>545</v>
      </c>
      <c r="C546">
        <v>6</v>
      </c>
      <c r="D546">
        <v>0.84</v>
      </c>
      <c r="E546">
        <v>7267</v>
      </c>
      <c r="F546">
        <v>43598.65</v>
      </c>
      <c r="G546">
        <v>2400000000</v>
      </c>
      <c r="H546">
        <v>13.02</v>
      </c>
      <c r="I546">
        <v>0.91</v>
      </c>
      <c r="J546">
        <v>0.149949</v>
      </c>
      <c r="K546">
        <v>0.4</v>
      </c>
      <c r="L546">
        <v>0.19</v>
      </c>
      <c r="M546">
        <v>7.5797460000000001</v>
      </c>
      <c r="N546">
        <v>7.0015099999999997</v>
      </c>
      <c r="O546">
        <v>8.2179900000000004</v>
      </c>
      <c r="P546">
        <v>6.67</v>
      </c>
      <c r="Q546" t="s">
        <v>22</v>
      </c>
      <c r="R546" t="s">
        <v>22</v>
      </c>
      <c r="S546">
        <v>805</v>
      </c>
      <c r="T546">
        <v>663</v>
      </c>
      <c r="U546">
        <v>0.28999999999999998</v>
      </c>
      <c r="V546">
        <v>5</v>
      </c>
      <c r="W546">
        <v>6.6</v>
      </c>
      <c r="X546">
        <v>400000000</v>
      </c>
    </row>
    <row r="547" spans="1:24" x14ac:dyDescent="0.25">
      <c r="A547" t="s">
        <v>566</v>
      </c>
      <c r="B547">
        <v>546</v>
      </c>
      <c r="C547">
        <v>0.05</v>
      </c>
      <c r="D547">
        <v>-16.670000000000002</v>
      </c>
      <c r="E547">
        <v>710190</v>
      </c>
      <c r="F547">
        <v>35750.5</v>
      </c>
      <c r="G547">
        <v>18595087.899999999</v>
      </c>
      <c r="H547">
        <v>22314105.48</v>
      </c>
      <c r="I547">
        <v>0.15</v>
      </c>
      <c r="J547">
        <v>8.6733200000000004</v>
      </c>
      <c r="K547">
        <v>-0.09</v>
      </c>
      <c r="L547">
        <v>-0.09</v>
      </c>
      <c r="M547">
        <v>-1.582956</v>
      </c>
      <c r="N547">
        <v>-38.977254000000002</v>
      </c>
      <c r="O547">
        <v>-112.08880600000001</v>
      </c>
      <c r="P547">
        <v>0.18</v>
      </c>
      <c r="Q547" t="s">
        <v>22</v>
      </c>
      <c r="R547" t="s">
        <v>22</v>
      </c>
      <c r="W547">
        <v>0.34</v>
      </c>
      <c r="X547">
        <v>371901758</v>
      </c>
    </row>
    <row r="548" spans="1:24" x14ac:dyDescent="0.25">
      <c r="A548" t="s">
        <v>567</v>
      </c>
      <c r="B548">
        <v>547</v>
      </c>
      <c r="C548">
        <v>1.42</v>
      </c>
      <c r="D548">
        <v>0</v>
      </c>
      <c r="E548">
        <v>1515907</v>
      </c>
      <c r="F548">
        <v>2162384.02</v>
      </c>
      <c r="G548">
        <v>15214421935.9</v>
      </c>
      <c r="H548">
        <v>7.88</v>
      </c>
      <c r="I548">
        <v>0.5</v>
      </c>
      <c r="J548">
        <v>0.388237</v>
      </c>
      <c r="K548">
        <v>0.02</v>
      </c>
      <c r="L548">
        <v>0.09</v>
      </c>
      <c r="M548">
        <v>5.17361</v>
      </c>
      <c r="N548">
        <v>6.4284049999999997</v>
      </c>
      <c r="O548">
        <v>26.555004</v>
      </c>
      <c r="P548">
        <v>6.4</v>
      </c>
      <c r="Q548" t="s">
        <v>22</v>
      </c>
      <c r="R548" t="s">
        <v>22</v>
      </c>
      <c r="S548">
        <v>590</v>
      </c>
      <c r="T548">
        <v>575</v>
      </c>
      <c r="U548">
        <v>2.3199999999999998</v>
      </c>
      <c r="V548">
        <v>5</v>
      </c>
      <c r="W548">
        <v>2.85</v>
      </c>
      <c r="X548">
        <v>10714381645</v>
      </c>
    </row>
    <row r="549" spans="1:24" x14ac:dyDescent="0.25">
      <c r="A549" t="s">
        <v>568</v>
      </c>
      <c r="B549">
        <v>548</v>
      </c>
      <c r="C549">
        <v>2.04</v>
      </c>
      <c r="D549">
        <v>2.5099999999999998</v>
      </c>
      <c r="E549">
        <v>231</v>
      </c>
      <c r="F549">
        <v>469.38</v>
      </c>
      <c r="G549">
        <v>201079709.40000001</v>
      </c>
      <c r="H549">
        <v>205022448.80000001</v>
      </c>
      <c r="I549">
        <v>0.74</v>
      </c>
      <c r="J549">
        <v>0.27568399999999998</v>
      </c>
      <c r="K549">
        <v>3.1E-2</v>
      </c>
      <c r="L549">
        <v>-7.0000000000000007E-2</v>
      </c>
      <c r="M549">
        <v>-0.20532400000000001</v>
      </c>
      <c r="N549">
        <v>-0.427923</v>
      </c>
      <c r="O549">
        <v>-4.0579879999999999</v>
      </c>
      <c r="P549">
        <v>1.52</v>
      </c>
      <c r="Q549" t="s">
        <v>22</v>
      </c>
      <c r="R549" t="s">
        <v>22</v>
      </c>
      <c r="S549">
        <v>1238</v>
      </c>
      <c r="T549">
        <v>1240</v>
      </c>
      <c r="U549">
        <v>-0.14000000000000001</v>
      </c>
      <c r="V549">
        <v>4</v>
      </c>
      <c r="W549">
        <v>2.75</v>
      </c>
      <c r="X549">
        <v>98568485</v>
      </c>
    </row>
    <row r="550" spans="1:24" x14ac:dyDescent="0.25">
      <c r="A550" t="s">
        <v>569</v>
      </c>
      <c r="B550">
        <v>549</v>
      </c>
      <c r="C550">
        <v>5.35</v>
      </c>
      <c r="D550">
        <v>1.9</v>
      </c>
      <c r="E550">
        <v>480808</v>
      </c>
      <c r="F550">
        <v>2545757.4</v>
      </c>
      <c r="G550">
        <v>1824845179.95</v>
      </c>
      <c r="H550">
        <v>21.11</v>
      </c>
      <c r="I550">
        <v>1.18</v>
      </c>
      <c r="J550">
        <v>0.80491199999999996</v>
      </c>
      <c r="K550">
        <v>0.2</v>
      </c>
      <c r="L550">
        <v>0.15</v>
      </c>
      <c r="M550">
        <v>4.987457</v>
      </c>
      <c r="N550">
        <v>5.6264000000000003</v>
      </c>
      <c r="O550">
        <v>4.3426289999999996</v>
      </c>
      <c r="P550">
        <v>3.74</v>
      </c>
      <c r="Q550" t="s">
        <v>22</v>
      </c>
      <c r="R550" t="s">
        <v>22</v>
      </c>
      <c r="S550">
        <v>1047</v>
      </c>
      <c r="T550">
        <v>994</v>
      </c>
      <c r="U550">
        <v>0.36</v>
      </c>
      <c r="V550">
        <v>5</v>
      </c>
      <c r="W550">
        <v>4.5199999999999996</v>
      </c>
      <c r="X550">
        <v>341092557</v>
      </c>
    </row>
    <row r="551" spans="1:24" x14ac:dyDescent="0.25">
      <c r="A551" t="s">
        <v>570</v>
      </c>
      <c r="B551">
        <v>550</v>
      </c>
      <c r="C551">
        <v>0.16</v>
      </c>
      <c r="D551">
        <v>0</v>
      </c>
      <c r="E551">
        <v>370100</v>
      </c>
      <c r="F551">
        <v>55316</v>
      </c>
      <c r="G551">
        <v>456270160</v>
      </c>
      <c r="H551">
        <v>399236390</v>
      </c>
      <c r="I551">
        <v>1.56</v>
      </c>
      <c r="J551">
        <v>3.7141890000000002</v>
      </c>
      <c r="K551">
        <v>-0.05</v>
      </c>
      <c r="L551">
        <v>-0.05</v>
      </c>
      <c r="M551">
        <v>-7.976788</v>
      </c>
      <c r="N551">
        <v>-45.096690000000002</v>
      </c>
      <c r="O551">
        <v>-41.186287999999998</v>
      </c>
      <c r="P551">
        <v>1.37</v>
      </c>
      <c r="Q551" t="s">
        <v>22</v>
      </c>
      <c r="R551" t="s">
        <v>22</v>
      </c>
      <c r="W551">
        <v>0.1</v>
      </c>
      <c r="X551">
        <v>2851688500</v>
      </c>
    </row>
    <row r="552" spans="1:24" x14ac:dyDescent="0.25">
      <c r="A552" t="s">
        <v>571</v>
      </c>
      <c r="B552">
        <v>551</v>
      </c>
      <c r="C552">
        <v>0.34</v>
      </c>
      <c r="D552">
        <v>-2.86</v>
      </c>
      <c r="E552">
        <v>4045334</v>
      </c>
      <c r="F552">
        <v>1415565.56</v>
      </c>
      <c r="G552">
        <v>2544656177.5</v>
      </c>
      <c r="H552">
        <v>7.87</v>
      </c>
      <c r="I552">
        <v>0.34</v>
      </c>
      <c r="J552">
        <v>0.854854</v>
      </c>
      <c r="K552">
        <v>0.05</v>
      </c>
      <c r="L552">
        <v>0.05</v>
      </c>
      <c r="M552">
        <v>4.6913619999999998</v>
      </c>
      <c r="N552">
        <v>4.3888170000000004</v>
      </c>
      <c r="O552">
        <v>12.045681</v>
      </c>
      <c r="P552">
        <v>0.35</v>
      </c>
      <c r="Q552" t="s">
        <v>22</v>
      </c>
      <c r="R552" t="s">
        <v>22</v>
      </c>
      <c r="S552">
        <v>540</v>
      </c>
      <c r="T552">
        <v>460</v>
      </c>
      <c r="U552">
        <v>0.02</v>
      </c>
      <c r="V552">
        <v>5</v>
      </c>
      <c r="W552">
        <v>1.01</v>
      </c>
      <c r="X552">
        <v>7484282875</v>
      </c>
    </row>
    <row r="553" spans="1:24" x14ac:dyDescent="0.25">
      <c r="A553" t="s">
        <v>572</v>
      </c>
      <c r="B553">
        <v>552</v>
      </c>
      <c r="C553">
        <v>17.7</v>
      </c>
      <c r="D553">
        <v>-0.56000000000000005</v>
      </c>
      <c r="E553">
        <v>79993</v>
      </c>
      <c r="F553">
        <v>1418055.7</v>
      </c>
      <c r="G553">
        <v>21240000000</v>
      </c>
      <c r="H553">
        <v>7.65</v>
      </c>
      <c r="I553">
        <v>0.93</v>
      </c>
      <c r="J553">
        <v>0.56723800000000002</v>
      </c>
      <c r="K553">
        <v>0.1</v>
      </c>
      <c r="L553">
        <v>0.49</v>
      </c>
      <c r="M553">
        <v>8.0936649999999997</v>
      </c>
      <c r="N553">
        <v>13.484838</v>
      </c>
      <c r="O553">
        <v>6.592498</v>
      </c>
      <c r="P553">
        <v>0.56000000000000005</v>
      </c>
      <c r="Q553" t="s">
        <v>22</v>
      </c>
      <c r="R553" t="s">
        <v>22</v>
      </c>
      <c r="S553">
        <v>321</v>
      </c>
      <c r="T553">
        <v>403</v>
      </c>
      <c r="U553">
        <v>0.2</v>
      </c>
      <c r="V553">
        <v>3</v>
      </c>
      <c r="W553">
        <v>19.100000000000001</v>
      </c>
      <c r="X553">
        <v>1200000000</v>
      </c>
    </row>
    <row r="554" spans="1:24" x14ac:dyDescent="0.25">
      <c r="A554" t="s">
        <v>573</v>
      </c>
      <c r="B554">
        <v>553</v>
      </c>
      <c r="C554">
        <v>37.25</v>
      </c>
      <c r="D554">
        <v>-1.32</v>
      </c>
      <c r="E554">
        <v>3022945</v>
      </c>
      <c r="F554">
        <v>113223165.5</v>
      </c>
      <c r="G554">
        <v>81018749441.25</v>
      </c>
      <c r="H554">
        <v>14.54</v>
      </c>
      <c r="I554">
        <v>0.8</v>
      </c>
      <c r="J554">
        <v>1.146949</v>
      </c>
      <c r="K554">
        <v>0.8</v>
      </c>
      <c r="L554">
        <v>1.21</v>
      </c>
      <c r="M554">
        <v>4.998818</v>
      </c>
      <c r="N554">
        <v>5.6968050000000003</v>
      </c>
      <c r="O554">
        <v>13.567392</v>
      </c>
      <c r="P554">
        <v>4.3</v>
      </c>
      <c r="Q554" t="s">
        <v>22</v>
      </c>
      <c r="R554" t="s">
        <v>22</v>
      </c>
      <c r="S554">
        <v>854</v>
      </c>
      <c r="T554">
        <v>830</v>
      </c>
      <c r="U554">
        <v>-3.36</v>
      </c>
      <c r="V554">
        <v>5</v>
      </c>
      <c r="W554">
        <v>46.3</v>
      </c>
      <c r="X554">
        <v>2174999985</v>
      </c>
    </row>
    <row r="555" spans="1:24" x14ac:dyDescent="0.25">
      <c r="A555" t="s">
        <v>574</v>
      </c>
      <c r="B555">
        <v>554</v>
      </c>
      <c r="C555">
        <v>5.2</v>
      </c>
      <c r="D555">
        <v>-1.89</v>
      </c>
      <c r="E555">
        <v>1733529</v>
      </c>
      <c r="F555">
        <v>9106718.6999999993</v>
      </c>
      <c r="G555">
        <v>10400000000</v>
      </c>
      <c r="H555">
        <v>19.059999999999999</v>
      </c>
      <c r="I555">
        <v>2.1800000000000002</v>
      </c>
      <c r="J555">
        <v>0.21501100000000001</v>
      </c>
      <c r="K555">
        <v>0.21</v>
      </c>
      <c r="L555">
        <v>0.16</v>
      </c>
      <c r="M555">
        <v>10.444912</v>
      </c>
      <c r="N555">
        <v>11.281228</v>
      </c>
      <c r="O555">
        <v>13.575535</v>
      </c>
      <c r="P555">
        <v>4.04</v>
      </c>
      <c r="Q555" t="s">
        <v>22</v>
      </c>
      <c r="R555" t="s">
        <v>22</v>
      </c>
      <c r="S555">
        <v>870</v>
      </c>
      <c r="T555">
        <v>759</v>
      </c>
      <c r="U555">
        <v>6.89</v>
      </c>
      <c r="V555">
        <v>5</v>
      </c>
      <c r="W555">
        <v>2.39</v>
      </c>
      <c r="X555">
        <v>2000000000</v>
      </c>
    </row>
    <row r="556" spans="1:24" x14ac:dyDescent="0.25">
      <c r="A556" t="s">
        <v>575</v>
      </c>
      <c r="B556">
        <v>555</v>
      </c>
      <c r="C556">
        <v>46</v>
      </c>
      <c r="D556">
        <v>2.2200000000000002</v>
      </c>
      <c r="E556">
        <v>5391383</v>
      </c>
      <c r="F556">
        <v>244652924.75</v>
      </c>
      <c r="G556">
        <v>38122500000</v>
      </c>
      <c r="H556">
        <v>4.92</v>
      </c>
      <c r="I556">
        <v>0.65</v>
      </c>
      <c r="J556">
        <v>0.41340700000000002</v>
      </c>
      <c r="K556">
        <v>0.5</v>
      </c>
      <c r="L556">
        <v>4.41</v>
      </c>
      <c r="M556">
        <v>11.124359999999999</v>
      </c>
      <c r="N556">
        <v>14.065255000000001</v>
      </c>
      <c r="O556">
        <v>19.417446000000002</v>
      </c>
      <c r="P556">
        <v>5.43</v>
      </c>
      <c r="Q556" t="s">
        <v>22</v>
      </c>
      <c r="R556" t="s">
        <v>22</v>
      </c>
      <c r="S556">
        <v>189</v>
      </c>
      <c r="T556">
        <v>165</v>
      </c>
      <c r="U556">
        <v>0.04</v>
      </c>
      <c r="V556">
        <v>4</v>
      </c>
      <c r="W556">
        <v>70.78</v>
      </c>
      <c r="X556">
        <v>828750000</v>
      </c>
    </row>
    <row r="557" spans="1:24" x14ac:dyDescent="0.25">
      <c r="A557" t="s">
        <v>576</v>
      </c>
      <c r="B557">
        <v>556</v>
      </c>
      <c r="C557">
        <v>3.06</v>
      </c>
      <c r="D557">
        <v>0.66</v>
      </c>
      <c r="E557">
        <v>6700</v>
      </c>
      <c r="F557">
        <v>20380</v>
      </c>
      <c r="G557">
        <v>367199929.62</v>
      </c>
      <c r="H557">
        <v>8.24</v>
      </c>
      <c r="I557">
        <v>1.6</v>
      </c>
      <c r="J557">
        <v>0.74413499999999999</v>
      </c>
      <c r="K557">
        <v>0.15</v>
      </c>
      <c r="L557">
        <v>0.09</v>
      </c>
      <c r="M557">
        <v>13.348717000000001</v>
      </c>
      <c r="N557">
        <v>19.702490000000001</v>
      </c>
      <c r="O557">
        <v>10.29594</v>
      </c>
      <c r="P557">
        <v>9.8000000000000007</v>
      </c>
      <c r="Q557" t="s">
        <v>22</v>
      </c>
      <c r="R557" t="s">
        <v>22</v>
      </c>
      <c r="S557">
        <v>246</v>
      </c>
      <c r="T557">
        <v>249</v>
      </c>
      <c r="U557">
        <v>0.22</v>
      </c>
      <c r="V557">
        <v>4</v>
      </c>
      <c r="W557">
        <v>1.92</v>
      </c>
      <c r="X557">
        <v>119999977</v>
      </c>
    </row>
    <row r="558" spans="1:24" x14ac:dyDescent="0.25">
      <c r="A558" t="s">
        <v>577</v>
      </c>
      <c r="B558">
        <v>557</v>
      </c>
      <c r="C558">
        <v>0.16</v>
      </c>
      <c r="D558">
        <v>-5.88</v>
      </c>
      <c r="E558">
        <v>52700</v>
      </c>
      <c r="F558">
        <v>8459</v>
      </c>
      <c r="G558">
        <v>260531644.31999999</v>
      </c>
      <c r="H558">
        <v>276814872.08999997</v>
      </c>
      <c r="I558">
        <v>0.1</v>
      </c>
      <c r="J558">
        <v>1.367105</v>
      </c>
      <c r="K558">
        <v>3.8500000000000001E-3</v>
      </c>
      <c r="L558">
        <v>-0.05</v>
      </c>
      <c r="M558">
        <v>2.3342200000000002</v>
      </c>
      <c r="N558">
        <v>-4.4551550000000004</v>
      </c>
      <c r="O558">
        <v>-17.801345999999999</v>
      </c>
      <c r="P558">
        <v>0.1</v>
      </c>
      <c r="Q558" t="s">
        <v>22</v>
      </c>
      <c r="R558" t="s">
        <v>22</v>
      </c>
      <c r="W558">
        <v>1.62</v>
      </c>
      <c r="X558">
        <v>1628322777</v>
      </c>
    </row>
    <row r="559" spans="1:24" x14ac:dyDescent="0.25">
      <c r="A559" t="s">
        <v>578</v>
      </c>
      <c r="B559">
        <v>558</v>
      </c>
      <c r="C559">
        <v>15.4</v>
      </c>
      <c r="D559">
        <v>-2.5299999999999998</v>
      </c>
      <c r="E559">
        <v>269413</v>
      </c>
      <c r="F559">
        <v>4166489.6</v>
      </c>
      <c r="G559">
        <v>4620000000</v>
      </c>
      <c r="H559">
        <v>12.14</v>
      </c>
      <c r="I559">
        <v>2</v>
      </c>
      <c r="J559">
        <v>0.76583400000000001</v>
      </c>
      <c r="K559">
        <v>0.45</v>
      </c>
      <c r="L559">
        <v>0.69</v>
      </c>
      <c r="M559">
        <v>9.3324239999999996</v>
      </c>
      <c r="N559">
        <v>17.246310000000001</v>
      </c>
      <c r="O559">
        <v>13.399336</v>
      </c>
      <c r="P559">
        <v>3.9</v>
      </c>
      <c r="Q559" t="s">
        <v>22</v>
      </c>
      <c r="R559" t="s">
        <v>22</v>
      </c>
      <c r="S559">
        <v>581</v>
      </c>
      <c r="T559">
        <v>644</v>
      </c>
      <c r="U559">
        <v>-0.72</v>
      </c>
      <c r="V559">
        <v>3</v>
      </c>
      <c r="W559">
        <v>7.71</v>
      </c>
      <c r="X559">
        <v>300000000</v>
      </c>
    </row>
    <row r="560" spans="1:24" x14ac:dyDescent="0.25">
      <c r="A560" t="s">
        <v>579</v>
      </c>
      <c r="B560">
        <v>559</v>
      </c>
      <c r="C560">
        <v>0.09</v>
      </c>
      <c r="D560">
        <v>12.5</v>
      </c>
      <c r="E560">
        <v>253454</v>
      </c>
      <c r="F560">
        <v>21369.78</v>
      </c>
      <c r="G560">
        <v>521569870.19999999</v>
      </c>
      <c r="H560">
        <v>521569870.19999999</v>
      </c>
      <c r="I560">
        <v>0.3</v>
      </c>
      <c r="J560">
        <v>2.5982889999999998</v>
      </c>
      <c r="K560">
        <v>-0.06</v>
      </c>
      <c r="L560">
        <v>-0.06</v>
      </c>
      <c r="M560">
        <v>-7.5636210000000004</v>
      </c>
      <c r="N560">
        <v>-41.116304</v>
      </c>
      <c r="O560">
        <v>-216.61602300000001</v>
      </c>
      <c r="P560">
        <v>0.3</v>
      </c>
      <c r="Q560" t="s">
        <v>22</v>
      </c>
      <c r="R560" t="s">
        <v>22</v>
      </c>
      <c r="V560">
        <v>3</v>
      </c>
      <c r="W560">
        <v>0.3</v>
      </c>
      <c r="X560">
        <v>5795220780</v>
      </c>
    </row>
    <row r="561" spans="1:24" x14ac:dyDescent="0.25">
      <c r="A561" t="s">
        <v>580</v>
      </c>
      <c r="B561">
        <v>560</v>
      </c>
      <c r="C561">
        <v>10.6</v>
      </c>
      <c r="D561">
        <v>-0.93</v>
      </c>
      <c r="E561">
        <v>3000</v>
      </c>
      <c r="F561">
        <v>33030</v>
      </c>
      <c r="G561">
        <v>212000000</v>
      </c>
      <c r="H561">
        <v>3.41</v>
      </c>
      <c r="I561">
        <v>0.45</v>
      </c>
      <c r="J561">
        <v>1.048054</v>
      </c>
      <c r="K561">
        <v>1</v>
      </c>
      <c r="L561">
        <v>0.37</v>
      </c>
      <c r="M561">
        <v>7.9715800000000003</v>
      </c>
      <c r="N561">
        <v>13.747569</v>
      </c>
      <c r="O561">
        <v>1.8816379999999999</v>
      </c>
      <c r="P561">
        <v>9.43</v>
      </c>
      <c r="Q561" t="s">
        <v>22</v>
      </c>
      <c r="R561" t="s">
        <v>22</v>
      </c>
      <c r="S561">
        <v>191</v>
      </c>
      <c r="T561">
        <v>263</v>
      </c>
      <c r="U561">
        <v>-7.0000000000000007E-2</v>
      </c>
      <c r="V561">
        <v>3</v>
      </c>
      <c r="W561">
        <v>23.69</v>
      </c>
      <c r="X561">
        <v>20000000</v>
      </c>
    </row>
    <row r="562" spans="1:24" x14ac:dyDescent="0.25">
      <c r="A562" t="s">
        <v>581</v>
      </c>
      <c r="B562">
        <v>561</v>
      </c>
      <c r="C562">
        <v>0.65</v>
      </c>
      <c r="D562">
        <v>0</v>
      </c>
      <c r="E562">
        <v>786365</v>
      </c>
      <c r="F562">
        <v>504654.31</v>
      </c>
      <c r="G562">
        <v>5276684883.6000004</v>
      </c>
      <c r="H562">
        <v>11.29</v>
      </c>
      <c r="I562">
        <v>1.24</v>
      </c>
      <c r="J562">
        <v>0.56124600000000002</v>
      </c>
      <c r="K562">
        <v>1.84E-2</v>
      </c>
      <c r="L562">
        <v>0.01</v>
      </c>
      <c r="M562">
        <v>8.9524319999999999</v>
      </c>
      <c r="N562">
        <v>10.829088</v>
      </c>
      <c r="O562">
        <v>13.931179999999999</v>
      </c>
      <c r="P562">
        <v>2.83</v>
      </c>
      <c r="Q562" t="s">
        <v>22</v>
      </c>
      <c r="R562" t="s">
        <v>22</v>
      </c>
      <c r="S562">
        <v>572</v>
      </c>
      <c r="T562">
        <v>525</v>
      </c>
      <c r="U562">
        <v>0.15</v>
      </c>
      <c r="V562">
        <v>5</v>
      </c>
      <c r="W562">
        <v>0.52</v>
      </c>
      <c r="X562">
        <v>8117976744</v>
      </c>
    </row>
    <row r="563" spans="1:24" x14ac:dyDescent="0.25">
      <c r="A563" t="s">
        <v>582</v>
      </c>
      <c r="B563">
        <v>562</v>
      </c>
      <c r="C563">
        <v>2026</v>
      </c>
      <c r="D563">
        <v>0</v>
      </c>
      <c r="E563">
        <v>0</v>
      </c>
      <c r="F563">
        <v>0</v>
      </c>
      <c r="G563">
        <v>1127</v>
      </c>
      <c r="H563">
        <v>0</v>
      </c>
      <c r="I563">
        <v>3.5913177422651654</v>
      </c>
      <c r="J563">
        <v>3.5913179999999998</v>
      </c>
      <c r="K563">
        <v>-0.28999999999999998</v>
      </c>
      <c r="L563">
        <v>-0.28999999999999998</v>
      </c>
      <c r="M563">
        <v>-9.5490359999999992</v>
      </c>
      <c r="N563">
        <v>-53.094664999999999</v>
      </c>
      <c r="O563">
        <v>-81.075417999999999</v>
      </c>
      <c r="P563">
        <v>0</v>
      </c>
      <c r="Q563" t="s">
        <v>22</v>
      </c>
      <c r="R563" t="s">
        <v>22</v>
      </c>
      <c r="U563">
        <v>0.96</v>
      </c>
      <c r="W563">
        <v>1.89</v>
      </c>
      <c r="X563">
        <v>938917233</v>
      </c>
    </row>
    <row r="564" spans="1:24" x14ac:dyDescent="0.25">
      <c r="A564" t="s">
        <v>583</v>
      </c>
      <c r="B564">
        <v>563</v>
      </c>
      <c r="C564">
        <v>6</v>
      </c>
      <c r="D564">
        <v>0</v>
      </c>
      <c r="E564">
        <v>2060662</v>
      </c>
      <c r="F564">
        <v>12438833</v>
      </c>
      <c r="G564">
        <v>12122771178</v>
      </c>
      <c r="H564">
        <v>3.33</v>
      </c>
      <c r="I564">
        <v>0.57999999999999996</v>
      </c>
      <c r="J564">
        <v>1.049042</v>
      </c>
      <c r="K564">
        <v>0.5</v>
      </c>
      <c r="L564">
        <v>1.46</v>
      </c>
      <c r="M564">
        <v>11.016987</v>
      </c>
      <c r="N564">
        <v>18.468893000000001</v>
      </c>
      <c r="O564">
        <v>40.039439000000002</v>
      </c>
      <c r="P564">
        <v>8.33</v>
      </c>
      <c r="Q564" t="s">
        <v>22</v>
      </c>
      <c r="R564" t="s">
        <v>22</v>
      </c>
      <c r="S564">
        <v>235</v>
      </c>
      <c r="T564">
        <v>272</v>
      </c>
      <c r="U564">
        <v>0.14000000000000001</v>
      </c>
      <c r="W564">
        <v>10.4</v>
      </c>
      <c r="X564">
        <v>2020461863</v>
      </c>
    </row>
    <row r="565" spans="1:24" x14ac:dyDescent="0.25">
      <c r="A565" t="s">
        <v>584</v>
      </c>
      <c r="B565">
        <v>564</v>
      </c>
      <c r="C565">
        <v>0.6</v>
      </c>
      <c r="D565">
        <v>-4.76</v>
      </c>
      <c r="E565">
        <v>76615</v>
      </c>
      <c r="F565">
        <v>46124.15</v>
      </c>
      <c r="G565">
        <v>120486965.40000001</v>
      </c>
      <c r="H565">
        <v>120486965.40000001</v>
      </c>
      <c r="I565">
        <v>0.28000000000000003</v>
      </c>
      <c r="J565">
        <v>1.331307</v>
      </c>
      <c r="K565">
        <v>-0.02</v>
      </c>
      <c r="L565">
        <v>-0.02</v>
      </c>
      <c r="M565">
        <v>1.2499359999999999</v>
      </c>
      <c r="N565">
        <v>-13.769356</v>
      </c>
      <c r="O565">
        <v>-0.96540999999999999</v>
      </c>
      <c r="P565">
        <v>0.28000000000000003</v>
      </c>
      <c r="Q565" t="s">
        <v>22</v>
      </c>
      <c r="R565" t="s">
        <v>22</v>
      </c>
      <c r="W565">
        <v>2.17</v>
      </c>
      <c r="X565">
        <v>200811609</v>
      </c>
    </row>
    <row r="566" spans="1:24" x14ac:dyDescent="0.25">
      <c r="A566" t="s">
        <v>585</v>
      </c>
      <c r="B566">
        <v>565</v>
      </c>
      <c r="C566">
        <v>0.4</v>
      </c>
      <c r="D566">
        <v>0</v>
      </c>
      <c r="E566">
        <v>2232800</v>
      </c>
      <c r="F566">
        <v>893221</v>
      </c>
      <c r="G566">
        <v>521865650</v>
      </c>
      <c r="H566">
        <v>495772367.5</v>
      </c>
      <c r="I566">
        <v>0.23</v>
      </c>
      <c r="J566">
        <v>1.3110619999999999</v>
      </c>
      <c r="K566">
        <v>0.01</v>
      </c>
      <c r="L566">
        <v>0.02</v>
      </c>
      <c r="M566">
        <v>1.580435</v>
      </c>
      <c r="N566">
        <v>-0.34251999999999999</v>
      </c>
      <c r="O566">
        <v>1.853839</v>
      </c>
      <c r="P566">
        <v>2.5</v>
      </c>
      <c r="Q566" t="s">
        <v>22</v>
      </c>
      <c r="R566" t="s">
        <v>22</v>
      </c>
      <c r="V566">
        <v>3</v>
      </c>
      <c r="W566">
        <v>1.76</v>
      </c>
      <c r="X566">
        <v>1304664125</v>
      </c>
    </row>
    <row r="567" spans="1:24" x14ac:dyDescent="0.25">
      <c r="A567" t="s">
        <v>586</v>
      </c>
      <c r="B567">
        <v>566</v>
      </c>
      <c r="C567">
        <v>4.84</v>
      </c>
      <c r="D567">
        <v>-0.41</v>
      </c>
      <c r="E567">
        <v>51079</v>
      </c>
      <c r="F567">
        <v>247726.5</v>
      </c>
      <c r="G567">
        <v>2642640000</v>
      </c>
      <c r="H567">
        <v>16.239999999999998</v>
      </c>
      <c r="I567">
        <v>1.53</v>
      </c>
      <c r="J567">
        <v>0.18402499999999999</v>
      </c>
      <c r="K567">
        <v>0.08</v>
      </c>
      <c r="L567">
        <v>0.1</v>
      </c>
      <c r="M567">
        <v>10.431933000000001</v>
      </c>
      <c r="N567">
        <v>9.4503489999999992</v>
      </c>
      <c r="O567">
        <v>10.267723999999999</v>
      </c>
      <c r="P567">
        <v>5.79</v>
      </c>
      <c r="Q567" t="s">
        <v>22</v>
      </c>
      <c r="R567" t="s">
        <v>22</v>
      </c>
      <c r="S567">
        <v>799</v>
      </c>
      <c r="T567">
        <v>656</v>
      </c>
      <c r="U567">
        <v>-1.04</v>
      </c>
      <c r="V567">
        <v>4</v>
      </c>
      <c r="W567">
        <v>3.16</v>
      </c>
      <c r="X567">
        <v>546000000</v>
      </c>
    </row>
    <row r="568" spans="1:24" x14ac:dyDescent="0.25">
      <c r="A568" t="s">
        <v>587</v>
      </c>
      <c r="B568">
        <v>567</v>
      </c>
      <c r="C568">
        <v>0.13</v>
      </c>
      <c r="D568">
        <v>0</v>
      </c>
      <c r="E568">
        <v>334309</v>
      </c>
      <c r="F568">
        <v>44650.19</v>
      </c>
      <c r="G568">
        <v>283688373.93000001</v>
      </c>
      <c r="H568">
        <v>283688373.93000001</v>
      </c>
      <c r="I568">
        <v>0.26</v>
      </c>
      <c r="J568">
        <v>4.6367640000000003</v>
      </c>
      <c r="K568">
        <v>0.6</v>
      </c>
      <c r="L568">
        <v>-0.21</v>
      </c>
      <c r="M568">
        <v>-9.5217840000000002</v>
      </c>
      <c r="N568">
        <v>-70.309149000000005</v>
      </c>
      <c r="O568">
        <v>-63.232686000000001</v>
      </c>
      <c r="P568">
        <v>0.26</v>
      </c>
      <c r="Q568" t="s">
        <v>22</v>
      </c>
      <c r="R568" t="s">
        <v>22</v>
      </c>
      <c r="V568">
        <v>5</v>
      </c>
      <c r="W568">
        <v>0.5</v>
      </c>
      <c r="X568">
        <v>2182218261</v>
      </c>
    </row>
    <row r="569" spans="1:24" x14ac:dyDescent="0.25">
      <c r="A569" t="s">
        <v>588</v>
      </c>
      <c r="B569">
        <v>568</v>
      </c>
      <c r="C569">
        <v>1.06</v>
      </c>
      <c r="D569">
        <v>-1.85</v>
      </c>
      <c r="E569">
        <v>236110</v>
      </c>
      <c r="F569">
        <v>250950.5</v>
      </c>
      <c r="G569">
        <v>787580000</v>
      </c>
      <c r="H569">
        <v>20.3</v>
      </c>
      <c r="I569">
        <v>0.49</v>
      </c>
      <c r="J569">
        <v>0.42056199999999999</v>
      </c>
      <c r="K569">
        <v>0.18</v>
      </c>
      <c r="L569">
        <v>0.05</v>
      </c>
      <c r="M569">
        <v>3.3000889999999998</v>
      </c>
      <c r="N569">
        <v>2.4301010000000001</v>
      </c>
      <c r="O569">
        <v>5.2190009999999996</v>
      </c>
      <c r="P569">
        <v>0.43</v>
      </c>
      <c r="Q569" t="s">
        <v>22</v>
      </c>
      <c r="R569" t="s">
        <v>22</v>
      </c>
      <c r="S569">
        <v>1319</v>
      </c>
      <c r="T569">
        <v>1300</v>
      </c>
      <c r="U569">
        <v>1.04</v>
      </c>
      <c r="W569">
        <v>2.1800000000000002</v>
      </c>
      <c r="X569">
        <v>743000000</v>
      </c>
    </row>
    <row r="570" spans="1:24" x14ac:dyDescent="0.25">
      <c r="A570" t="s">
        <v>589</v>
      </c>
      <c r="B570">
        <v>569</v>
      </c>
      <c r="C570">
        <v>0.28000000000000003</v>
      </c>
      <c r="D570">
        <v>0</v>
      </c>
      <c r="E570">
        <v>8555950</v>
      </c>
      <c r="F570">
        <v>2434841</v>
      </c>
      <c r="G570">
        <v>413659593.75999999</v>
      </c>
      <c r="H570">
        <v>3.26</v>
      </c>
      <c r="I570">
        <v>0.3</v>
      </c>
      <c r="J570">
        <v>3.4522279999999999</v>
      </c>
      <c r="K570">
        <v>1.4E-2</v>
      </c>
      <c r="L570">
        <v>0.02</v>
      </c>
      <c r="M570">
        <v>5.4031770000000003</v>
      </c>
      <c r="N570">
        <v>9.7214299999999998</v>
      </c>
      <c r="O570">
        <v>1.4145350000000001</v>
      </c>
      <c r="P570">
        <v>0.28999999999999998</v>
      </c>
      <c r="Q570" t="s">
        <v>22</v>
      </c>
      <c r="R570" t="s">
        <v>22</v>
      </c>
      <c r="S570">
        <v>335</v>
      </c>
      <c r="T570">
        <v>424</v>
      </c>
      <c r="U570">
        <v>-0.01</v>
      </c>
      <c r="V570">
        <v>5</v>
      </c>
      <c r="W570">
        <v>0.93</v>
      </c>
      <c r="X570">
        <v>1477355692</v>
      </c>
    </row>
    <row r="571" spans="1:24" x14ac:dyDescent="0.25">
      <c r="A571" t="s">
        <v>590</v>
      </c>
      <c r="B571">
        <v>570</v>
      </c>
      <c r="C571">
        <v>0.19</v>
      </c>
      <c r="D571">
        <v>0</v>
      </c>
      <c r="E571">
        <v>2348400</v>
      </c>
      <c r="F571">
        <v>437296</v>
      </c>
      <c r="G571">
        <v>173902641.59</v>
      </c>
      <c r="H571">
        <v>146444329.75999999</v>
      </c>
      <c r="I571">
        <v>0.21</v>
      </c>
      <c r="J571">
        <v>0.21965799999999999</v>
      </c>
      <c r="K571">
        <v>0.1</v>
      </c>
      <c r="L571">
        <v>-0.05</v>
      </c>
      <c r="M571">
        <v>-6.6985289999999997</v>
      </c>
      <c r="N571">
        <v>-8.8716430000000006</v>
      </c>
      <c r="O571">
        <v>-19.808243000000001</v>
      </c>
      <c r="P571">
        <v>0.17</v>
      </c>
      <c r="Q571" t="s">
        <v>22</v>
      </c>
      <c r="R571" t="s">
        <v>22</v>
      </c>
      <c r="W571">
        <v>0.91</v>
      </c>
      <c r="X571">
        <v>915277061</v>
      </c>
    </row>
    <row r="572" spans="1:24" x14ac:dyDescent="0.25">
      <c r="A572" t="s">
        <v>591</v>
      </c>
      <c r="B572">
        <v>571</v>
      </c>
      <c r="C572">
        <v>2026</v>
      </c>
      <c r="D572">
        <v>0.78740157480314965</v>
      </c>
      <c r="E572">
        <v>6</v>
      </c>
      <c r="F572">
        <v>192</v>
      </c>
      <c r="G572">
        <v>4797786496</v>
      </c>
      <c r="H572">
        <v>18.670000000000002</v>
      </c>
      <c r="I572">
        <v>0.97</v>
      </c>
      <c r="J572">
        <v>0.29209000000000002</v>
      </c>
      <c r="K572">
        <v>1.45</v>
      </c>
      <c r="L572">
        <v>0.67</v>
      </c>
      <c r="M572">
        <v>5.0742000000000003</v>
      </c>
      <c r="N572">
        <v>5.2436509999999998</v>
      </c>
      <c r="O572">
        <v>4.57498</v>
      </c>
      <c r="P572">
        <v>4.53</v>
      </c>
      <c r="Q572" t="s">
        <v>22</v>
      </c>
      <c r="R572" t="s">
        <v>22</v>
      </c>
      <c r="S572">
        <v>805</v>
      </c>
      <c r="T572">
        <v>718</v>
      </c>
      <c r="U572">
        <v>1.49</v>
      </c>
      <c r="V572">
        <v>5</v>
      </c>
      <c r="W572">
        <v>33.090000000000003</v>
      </c>
      <c r="X572">
        <v>149930828</v>
      </c>
    </row>
    <row r="573" spans="1:24" x14ac:dyDescent="0.25">
      <c r="A573" t="s">
        <v>592</v>
      </c>
      <c r="B573">
        <v>572</v>
      </c>
      <c r="C573">
        <v>0.54</v>
      </c>
      <c r="D573">
        <v>0</v>
      </c>
      <c r="E573">
        <v>5626889</v>
      </c>
      <c r="F573">
        <v>3116843.18</v>
      </c>
      <c r="G573">
        <v>3701008473.3000002</v>
      </c>
      <c r="H573">
        <v>3495396891.4499998</v>
      </c>
      <c r="I573">
        <v>0.25</v>
      </c>
      <c r="J573">
        <v>2.432979</v>
      </c>
      <c r="K573">
        <v>1.4999999999999999E-2</v>
      </c>
      <c r="L573">
        <v>-0.01</v>
      </c>
      <c r="M573">
        <v>-1.7715999999999999E-2</v>
      </c>
      <c r="N573">
        <v>-8.8058949999999996</v>
      </c>
      <c r="O573">
        <v>0.40563100000000002</v>
      </c>
      <c r="P573">
        <v>2.78</v>
      </c>
      <c r="Q573" t="s">
        <v>22</v>
      </c>
      <c r="R573" t="s">
        <v>22</v>
      </c>
      <c r="V573">
        <v>5</v>
      </c>
      <c r="W573">
        <v>2.15</v>
      </c>
      <c r="X573">
        <v>6853719395</v>
      </c>
    </row>
    <row r="574" spans="1:24" x14ac:dyDescent="0.25">
      <c r="A574" t="s">
        <v>593</v>
      </c>
      <c r="B574">
        <v>573</v>
      </c>
      <c r="C574">
        <v>4.6399999999999997</v>
      </c>
      <c r="D574">
        <v>-0.43</v>
      </c>
      <c r="E574">
        <v>333700</v>
      </c>
      <c r="F574">
        <v>1546368</v>
      </c>
      <c r="G574">
        <v>2844320000</v>
      </c>
      <c r="H574">
        <v>6.48</v>
      </c>
      <c r="I574">
        <v>0.75</v>
      </c>
      <c r="J574">
        <v>0.76157399999999997</v>
      </c>
      <c r="K574">
        <v>0.14000000000000001</v>
      </c>
      <c r="L574">
        <v>0.39</v>
      </c>
      <c r="M574">
        <v>10.027752</v>
      </c>
      <c r="N574">
        <v>12.053666</v>
      </c>
      <c r="O574">
        <v>39.211793</v>
      </c>
      <c r="P574">
        <v>5.39</v>
      </c>
      <c r="Q574" t="s">
        <v>22</v>
      </c>
      <c r="R574" t="s">
        <v>22</v>
      </c>
      <c r="S574">
        <v>348</v>
      </c>
      <c r="T574">
        <v>461</v>
      </c>
      <c r="U574">
        <v>0.11</v>
      </c>
      <c r="W574">
        <v>6.17</v>
      </c>
      <c r="X574">
        <v>613000000</v>
      </c>
    </row>
    <row r="575" spans="1:24" x14ac:dyDescent="0.25">
      <c r="A575" t="s">
        <v>594</v>
      </c>
      <c r="B575">
        <v>574</v>
      </c>
      <c r="C575">
        <v>7</v>
      </c>
      <c r="D575">
        <v>0.72</v>
      </c>
      <c r="E575">
        <v>19700</v>
      </c>
      <c r="F575">
        <v>137280</v>
      </c>
      <c r="G575">
        <v>8392349042</v>
      </c>
      <c r="H575">
        <v>156.33000000000001</v>
      </c>
      <c r="I575">
        <v>1.5</v>
      </c>
      <c r="J575">
        <v>2.849281</v>
      </c>
      <c r="K575">
        <v>0.08</v>
      </c>
      <c r="L575">
        <v>0.01</v>
      </c>
      <c r="M575">
        <v>1.9763139999999999</v>
      </c>
      <c r="N575">
        <v>0.96149799999999996</v>
      </c>
      <c r="O575">
        <v>3.502901</v>
      </c>
      <c r="P575">
        <v>1.5</v>
      </c>
      <c r="Q575" t="s">
        <v>22</v>
      </c>
      <c r="R575" t="s">
        <v>22</v>
      </c>
      <c r="S575">
        <v>1353</v>
      </c>
      <c r="T575">
        <v>1312</v>
      </c>
      <c r="U575">
        <v>13.96</v>
      </c>
      <c r="V575">
        <v>5</v>
      </c>
      <c r="W575">
        <v>4.66</v>
      </c>
      <c r="X575">
        <v>1198907006</v>
      </c>
    </row>
    <row r="576" spans="1:24" x14ac:dyDescent="0.25">
      <c r="A576" t="s">
        <v>595</v>
      </c>
      <c r="B576">
        <v>575</v>
      </c>
      <c r="C576">
        <v>4.66</v>
      </c>
      <c r="D576">
        <v>0</v>
      </c>
      <c r="E576">
        <v>13400</v>
      </c>
      <c r="F576">
        <v>62362</v>
      </c>
      <c r="G576">
        <v>1477220000</v>
      </c>
      <c r="H576">
        <v>1477220000</v>
      </c>
      <c r="I576">
        <v>3.41</v>
      </c>
      <c r="J576">
        <v>0.164353</v>
      </c>
      <c r="K576">
        <v>0.05</v>
      </c>
      <c r="L576">
        <v>-0.16</v>
      </c>
      <c r="M576">
        <v>-7.4873190000000003</v>
      </c>
      <c r="N576">
        <v>-10.322115</v>
      </c>
      <c r="O576">
        <v>-124.53314</v>
      </c>
      <c r="P576">
        <v>1.07</v>
      </c>
      <c r="Q576" t="s">
        <v>22</v>
      </c>
      <c r="R576" t="s">
        <v>22</v>
      </c>
      <c r="V576">
        <v>5</v>
      </c>
      <c r="W576">
        <v>1.37</v>
      </c>
      <c r="X576">
        <v>317000000</v>
      </c>
    </row>
    <row r="577" spans="1:24" x14ac:dyDescent="0.25">
      <c r="A577" t="s">
        <v>596</v>
      </c>
      <c r="B577">
        <v>576</v>
      </c>
      <c r="C577">
        <v>15.5</v>
      </c>
      <c r="D577">
        <v>-0.64</v>
      </c>
      <c r="E577">
        <v>303113</v>
      </c>
      <c r="F577">
        <v>4685978.9000000004</v>
      </c>
      <c r="G577">
        <v>5386250000</v>
      </c>
      <c r="H577">
        <v>13.11</v>
      </c>
      <c r="I577">
        <v>2.95</v>
      </c>
      <c r="J577">
        <v>0.26573799999999997</v>
      </c>
      <c r="K577">
        <v>0.57999999999999996</v>
      </c>
      <c r="L577">
        <v>0.57999999999999996</v>
      </c>
      <c r="M577">
        <v>21.827442000000001</v>
      </c>
      <c r="N577">
        <v>22.475418000000001</v>
      </c>
      <c r="O577">
        <v>13.217772</v>
      </c>
      <c r="P577">
        <v>7.61</v>
      </c>
      <c r="Q577" t="s">
        <v>22</v>
      </c>
      <c r="R577" t="s">
        <v>22</v>
      </c>
      <c r="S577">
        <v>466</v>
      </c>
      <c r="T577">
        <v>424</v>
      </c>
      <c r="U577">
        <v>1.3</v>
      </c>
      <c r="V577">
        <v>5</v>
      </c>
      <c r="W577">
        <v>5.26</v>
      </c>
      <c r="X577">
        <v>347500000</v>
      </c>
    </row>
    <row r="578" spans="1:24" x14ac:dyDescent="0.25">
      <c r="A578" t="s">
        <v>597</v>
      </c>
      <c r="B578">
        <v>577</v>
      </c>
      <c r="C578">
        <v>0.39</v>
      </c>
      <c r="D578">
        <v>-2.5</v>
      </c>
      <c r="E578">
        <v>2178800</v>
      </c>
      <c r="F578">
        <v>881226</v>
      </c>
      <c r="G578">
        <v>117000000</v>
      </c>
      <c r="H578">
        <v>120000000</v>
      </c>
      <c r="I578">
        <v>0.44</v>
      </c>
      <c r="J578">
        <v>0.46563599999999999</v>
      </c>
      <c r="K578">
        <v>0.01</v>
      </c>
      <c r="L578">
        <v>0.49282211286505428</v>
      </c>
      <c r="M578">
        <v>0.49282199999999998</v>
      </c>
      <c r="N578">
        <v>-0.74226999999999999</v>
      </c>
      <c r="O578">
        <v>0.29104200000000002</v>
      </c>
      <c r="P578">
        <v>2.56</v>
      </c>
      <c r="Q578" t="s">
        <v>22</v>
      </c>
      <c r="R578" t="s">
        <v>22</v>
      </c>
      <c r="W578">
        <v>0.89</v>
      </c>
      <c r="X578">
        <v>300000000</v>
      </c>
    </row>
    <row r="579" spans="1:24" x14ac:dyDescent="0.25">
      <c r="A579" t="s">
        <v>598</v>
      </c>
      <c r="B579">
        <v>578</v>
      </c>
      <c r="C579">
        <v>5.35</v>
      </c>
      <c r="D579">
        <v>0</v>
      </c>
      <c r="E579">
        <v>15101</v>
      </c>
      <c r="F579">
        <v>80290.350000000006</v>
      </c>
      <c r="G579">
        <v>1626120730</v>
      </c>
      <c r="H579">
        <v>12.67</v>
      </c>
      <c r="I579">
        <v>0.98</v>
      </c>
      <c r="J579">
        <v>0.12514700000000001</v>
      </c>
      <c r="K579">
        <v>0.41</v>
      </c>
      <c r="L579">
        <v>0.21</v>
      </c>
      <c r="M579">
        <v>8.6244060000000005</v>
      </c>
      <c r="N579">
        <v>7.7569559999999997</v>
      </c>
      <c r="O579">
        <v>17.879386</v>
      </c>
      <c r="P579">
        <v>7.66</v>
      </c>
      <c r="Q579" t="s">
        <v>22</v>
      </c>
      <c r="R579" t="s">
        <v>22</v>
      </c>
      <c r="S579">
        <v>742</v>
      </c>
      <c r="T579">
        <v>585</v>
      </c>
      <c r="U579">
        <v>-0.65</v>
      </c>
      <c r="V579">
        <v>3</v>
      </c>
      <c r="W579">
        <v>5.44</v>
      </c>
      <c r="X579">
        <v>303947800</v>
      </c>
    </row>
    <row r="580" spans="1:24" x14ac:dyDescent="0.25">
      <c r="A580" t="s">
        <v>599</v>
      </c>
      <c r="B580">
        <v>579</v>
      </c>
      <c r="C580">
        <v>3.24</v>
      </c>
      <c r="D580">
        <v>-1.22</v>
      </c>
      <c r="E580">
        <v>515735</v>
      </c>
      <c r="F580">
        <v>1673404</v>
      </c>
      <c r="G580">
        <v>6791040000</v>
      </c>
      <c r="H580">
        <v>7.62</v>
      </c>
      <c r="I580">
        <v>0.99</v>
      </c>
      <c r="J580">
        <v>1.3627659999999999</v>
      </c>
      <c r="K580">
        <v>0.2</v>
      </c>
      <c r="L580">
        <v>0.22</v>
      </c>
      <c r="M580">
        <v>9.0786250000000006</v>
      </c>
      <c r="N580">
        <v>13.409936999999999</v>
      </c>
      <c r="O580">
        <v>26.942587</v>
      </c>
      <c r="P580">
        <v>6.17</v>
      </c>
      <c r="Q580" t="s">
        <v>22</v>
      </c>
      <c r="R580" t="s">
        <v>22</v>
      </c>
      <c r="S580">
        <v>314</v>
      </c>
      <c r="T580">
        <v>534</v>
      </c>
      <c r="U580">
        <v>0.8</v>
      </c>
      <c r="V580">
        <v>5</v>
      </c>
      <c r="W580">
        <v>3.28</v>
      </c>
      <c r="X580">
        <v>2096000000</v>
      </c>
    </row>
    <row r="581" spans="1:24" x14ac:dyDescent="0.25">
      <c r="A581" t="s">
        <v>600</v>
      </c>
      <c r="B581">
        <v>580</v>
      </c>
      <c r="C581">
        <v>0.6</v>
      </c>
      <c r="D581">
        <v>-1.64</v>
      </c>
      <c r="E581">
        <v>2290300</v>
      </c>
      <c r="F581">
        <v>1406567</v>
      </c>
      <c r="G581">
        <v>912290440.79999995</v>
      </c>
      <c r="H581">
        <v>17.13</v>
      </c>
      <c r="I581">
        <v>0.77</v>
      </c>
      <c r="J581">
        <v>0.177956</v>
      </c>
      <c r="K581">
        <v>1.2E-2</v>
      </c>
      <c r="L581">
        <v>0.03</v>
      </c>
      <c r="M581">
        <v>4.635275</v>
      </c>
      <c r="N581">
        <v>4.5773710000000003</v>
      </c>
      <c r="O581">
        <v>6.3763110000000003</v>
      </c>
      <c r="P581">
        <v>2</v>
      </c>
      <c r="Q581" t="s">
        <v>22</v>
      </c>
      <c r="R581" t="s">
        <v>22</v>
      </c>
      <c r="S581">
        <v>1022</v>
      </c>
      <c r="T581">
        <v>957</v>
      </c>
      <c r="V581">
        <v>3</v>
      </c>
      <c r="W581">
        <v>0.78</v>
      </c>
      <c r="X581">
        <v>1520484068</v>
      </c>
    </row>
    <row r="582" spans="1:24" x14ac:dyDescent="0.25">
      <c r="A582" t="s">
        <v>601</v>
      </c>
      <c r="B582">
        <v>581</v>
      </c>
      <c r="C582">
        <v>2025</v>
      </c>
      <c r="D582">
        <v>-33.333333333333329</v>
      </c>
      <c r="E582">
        <v>27505922</v>
      </c>
      <c r="F582">
        <v>3041.09265</v>
      </c>
      <c r="G582">
        <v>105</v>
      </c>
      <c r="H582">
        <v>0</v>
      </c>
      <c r="I582">
        <v>2.0216792852940091</v>
      </c>
      <c r="J582">
        <v>2.0216789999999998</v>
      </c>
      <c r="K582">
        <v>-0.25</v>
      </c>
      <c r="L582">
        <v>-0.25</v>
      </c>
      <c r="M582">
        <v>-3.7923290000000001</v>
      </c>
      <c r="N582">
        <v>-19.493224999999999</v>
      </c>
      <c r="O582">
        <v>-4.5958300000000003</v>
      </c>
      <c r="P582">
        <v>0</v>
      </c>
      <c r="Q582" t="s">
        <v>22</v>
      </c>
      <c r="R582" t="s">
        <v>22</v>
      </c>
      <c r="W582">
        <v>1.1499999999999999</v>
      </c>
      <c r="X582">
        <v>1045125093</v>
      </c>
    </row>
    <row r="583" spans="1:24" x14ac:dyDescent="0.25">
      <c r="A583" t="s">
        <v>602</v>
      </c>
      <c r="B583">
        <v>582</v>
      </c>
      <c r="C583">
        <v>5.7</v>
      </c>
      <c r="D583">
        <v>-1.72</v>
      </c>
      <c r="E583">
        <v>582600</v>
      </c>
      <c r="F583">
        <v>3344700</v>
      </c>
      <c r="G583">
        <v>5737073928.6000004</v>
      </c>
      <c r="H583">
        <v>10.46</v>
      </c>
      <c r="I583">
        <v>1.03</v>
      </c>
      <c r="J583">
        <v>1.316686</v>
      </c>
      <c r="K583">
        <v>0.14000000000000001</v>
      </c>
      <c r="L583">
        <v>0.28000000000000003</v>
      </c>
      <c r="M583">
        <v>7.0791180000000002</v>
      </c>
      <c r="N583">
        <v>10.089601999999999</v>
      </c>
      <c r="O583">
        <v>6.467714</v>
      </c>
      <c r="P583">
        <v>4.2300000000000004</v>
      </c>
      <c r="Q583" t="s">
        <v>22</v>
      </c>
      <c r="R583" t="s">
        <v>22</v>
      </c>
      <c r="S583">
        <v>500</v>
      </c>
      <c r="T583">
        <v>535</v>
      </c>
      <c r="U583">
        <v>0.19</v>
      </c>
      <c r="V583">
        <v>5</v>
      </c>
      <c r="W583">
        <v>5.54</v>
      </c>
      <c r="X583">
        <v>1006504198</v>
      </c>
    </row>
    <row r="584" spans="1:24" x14ac:dyDescent="0.25">
      <c r="A584" t="s">
        <v>603</v>
      </c>
      <c r="B584">
        <v>583</v>
      </c>
      <c r="C584">
        <v>0.81</v>
      </c>
      <c r="D584">
        <v>-1.22</v>
      </c>
      <c r="E584">
        <v>309554</v>
      </c>
      <c r="F584">
        <v>248531.57</v>
      </c>
      <c r="G584">
        <v>519858361.25999999</v>
      </c>
      <c r="H584">
        <v>4.16</v>
      </c>
      <c r="I584">
        <v>0.22</v>
      </c>
      <c r="J584">
        <v>1.025828</v>
      </c>
      <c r="K584">
        <v>0.02</v>
      </c>
      <c r="L584">
        <v>0.21</v>
      </c>
      <c r="M584">
        <v>3.8194219999999999</v>
      </c>
      <c r="N584">
        <v>5.2971139999999997</v>
      </c>
      <c r="O584">
        <v>18.605089</v>
      </c>
      <c r="P584">
        <v>2.4700000000000002</v>
      </c>
      <c r="Q584" t="s">
        <v>22</v>
      </c>
      <c r="R584" t="s">
        <v>22</v>
      </c>
      <c r="S584">
        <v>528</v>
      </c>
      <c r="T584">
        <v>544</v>
      </c>
      <c r="U584">
        <v>-0.08</v>
      </c>
      <c r="V584">
        <v>4</v>
      </c>
      <c r="W584">
        <v>3.77</v>
      </c>
      <c r="X584">
        <v>641800446</v>
      </c>
    </row>
    <row r="585" spans="1:24" x14ac:dyDescent="0.25">
      <c r="A585" t="s">
        <v>604</v>
      </c>
      <c r="B585">
        <v>584</v>
      </c>
      <c r="C585">
        <v>3.02</v>
      </c>
      <c r="D585">
        <v>-0.66</v>
      </c>
      <c r="E585">
        <v>13900</v>
      </c>
      <c r="F585">
        <v>42012</v>
      </c>
      <c r="G585">
        <v>1866360214.4200001</v>
      </c>
      <c r="H585">
        <v>26.9</v>
      </c>
      <c r="I585">
        <v>0.51</v>
      </c>
      <c r="J585">
        <v>0.77099799999999996</v>
      </c>
      <c r="K585">
        <v>7.0000000000000007E-2</v>
      </c>
      <c r="L585">
        <v>0.09</v>
      </c>
      <c r="M585">
        <v>1.7281070000000001</v>
      </c>
      <c r="N585">
        <v>1.898944</v>
      </c>
      <c r="O585">
        <v>2.3462480000000001</v>
      </c>
      <c r="P585">
        <v>3.97</v>
      </c>
      <c r="Q585" t="s">
        <v>22</v>
      </c>
      <c r="R585" t="s">
        <v>22</v>
      </c>
      <c r="S585">
        <v>1227</v>
      </c>
      <c r="T585">
        <v>1231</v>
      </c>
      <c r="U585">
        <v>0.36</v>
      </c>
      <c r="V585">
        <v>5</v>
      </c>
      <c r="W585">
        <v>5.9</v>
      </c>
      <c r="X585">
        <v>618000071</v>
      </c>
    </row>
    <row r="586" spans="1:24" x14ac:dyDescent="0.25">
      <c r="A586" t="s">
        <v>605</v>
      </c>
      <c r="B586">
        <v>585</v>
      </c>
      <c r="C586">
        <v>1.17</v>
      </c>
      <c r="D586">
        <v>1.74</v>
      </c>
      <c r="E586">
        <v>961100</v>
      </c>
      <c r="F586">
        <v>1116130</v>
      </c>
      <c r="G586">
        <v>370494811.44</v>
      </c>
      <c r="H586">
        <v>5.14</v>
      </c>
      <c r="I586">
        <v>0.97</v>
      </c>
      <c r="J586">
        <v>0.80592900000000001</v>
      </c>
      <c r="K586">
        <v>0.04</v>
      </c>
      <c r="L586">
        <v>0.11</v>
      </c>
      <c r="M586">
        <v>13.516847</v>
      </c>
      <c r="N586">
        <v>20.495460999999999</v>
      </c>
      <c r="O586">
        <v>8.9037690000000005</v>
      </c>
      <c r="P586">
        <v>3.42</v>
      </c>
      <c r="Q586" t="s">
        <v>22</v>
      </c>
      <c r="R586" t="s">
        <v>22</v>
      </c>
      <c r="S586">
        <v>156</v>
      </c>
      <c r="T586">
        <v>186</v>
      </c>
      <c r="U586">
        <v>0.1</v>
      </c>
      <c r="V586">
        <v>4</v>
      </c>
      <c r="W586">
        <v>1.2</v>
      </c>
      <c r="X586">
        <v>316662232</v>
      </c>
    </row>
    <row r="587" spans="1:24" x14ac:dyDescent="0.25">
      <c r="A587" t="s">
        <v>606</v>
      </c>
      <c r="B587">
        <v>586</v>
      </c>
      <c r="C587">
        <v>35.5</v>
      </c>
      <c r="D587">
        <v>0</v>
      </c>
      <c r="E587">
        <v>255338</v>
      </c>
      <c r="F587">
        <v>9126484.25</v>
      </c>
      <c r="G587">
        <v>10944262340</v>
      </c>
      <c r="H587">
        <v>15.94</v>
      </c>
      <c r="I587">
        <v>2.58</v>
      </c>
      <c r="J587">
        <v>0.28599599999999997</v>
      </c>
      <c r="K587">
        <v>1.75</v>
      </c>
      <c r="L587">
        <v>1.23</v>
      </c>
      <c r="M587">
        <v>15.559345</v>
      </c>
      <c r="N587">
        <v>16.238938999999998</v>
      </c>
      <c r="O587">
        <v>13.600960000000001</v>
      </c>
      <c r="P587">
        <v>4.93</v>
      </c>
      <c r="Q587" t="s">
        <v>22</v>
      </c>
      <c r="R587" t="s">
        <v>22</v>
      </c>
      <c r="S587">
        <v>599</v>
      </c>
      <c r="T587">
        <v>529</v>
      </c>
      <c r="U587">
        <v>0.61</v>
      </c>
      <c r="V587">
        <v>4</v>
      </c>
      <c r="W587">
        <v>13.74</v>
      </c>
      <c r="X587">
        <v>308289080</v>
      </c>
    </row>
    <row r="588" spans="1:24" x14ac:dyDescent="0.25">
      <c r="A588" t="s">
        <v>607</v>
      </c>
      <c r="B588">
        <v>587</v>
      </c>
      <c r="C588">
        <v>16.100000000000001</v>
      </c>
      <c r="D588">
        <v>0</v>
      </c>
      <c r="E588">
        <v>391260</v>
      </c>
      <c r="F588">
        <v>6317599.4000000004</v>
      </c>
      <c r="G588">
        <v>6845621693.3999996</v>
      </c>
      <c r="H588">
        <v>9.01</v>
      </c>
      <c r="I588">
        <v>0.83</v>
      </c>
      <c r="J588">
        <v>0.213283</v>
      </c>
      <c r="K588">
        <v>0.4</v>
      </c>
      <c r="L588">
        <v>0.87</v>
      </c>
      <c r="M588">
        <v>8.2818690000000004</v>
      </c>
      <c r="N588">
        <v>9.2912459999999992</v>
      </c>
      <c r="O588">
        <v>10.772292</v>
      </c>
      <c r="P588">
        <v>9.94</v>
      </c>
      <c r="Q588" t="s">
        <v>22</v>
      </c>
      <c r="R588" t="s">
        <v>22</v>
      </c>
      <c r="S588">
        <v>521</v>
      </c>
      <c r="T588">
        <v>465</v>
      </c>
      <c r="U588">
        <v>-1.71</v>
      </c>
      <c r="V588">
        <v>5</v>
      </c>
      <c r="W588">
        <v>19.32</v>
      </c>
      <c r="X588">
        <v>425193894</v>
      </c>
    </row>
    <row r="589" spans="1:24" x14ac:dyDescent="0.25">
      <c r="A589" t="s">
        <v>608</v>
      </c>
      <c r="B589">
        <v>588</v>
      </c>
      <c r="C589">
        <v>41.5</v>
      </c>
      <c r="D589">
        <v>0</v>
      </c>
      <c r="E589">
        <v>2483</v>
      </c>
      <c r="F589">
        <v>103149.75</v>
      </c>
      <c r="G589">
        <v>14940000000</v>
      </c>
      <c r="H589">
        <v>18.61</v>
      </c>
      <c r="I589">
        <v>4.92</v>
      </c>
      <c r="J589">
        <v>0.110025</v>
      </c>
      <c r="K589">
        <v>1.81</v>
      </c>
      <c r="L589">
        <v>1.0900000000000001</v>
      </c>
      <c r="M589">
        <v>30.516560999999999</v>
      </c>
      <c r="N589">
        <v>27.138079999999999</v>
      </c>
      <c r="O589">
        <v>22.510293000000001</v>
      </c>
      <c r="P589">
        <v>4.3600000000000003</v>
      </c>
      <c r="Q589" t="s">
        <v>22</v>
      </c>
      <c r="R589" t="s">
        <v>22</v>
      </c>
      <c r="S589">
        <v>589</v>
      </c>
      <c r="T589">
        <v>541</v>
      </c>
      <c r="U589">
        <v>2.96</v>
      </c>
      <c r="W589">
        <v>8.43</v>
      </c>
      <c r="X589">
        <v>360000000</v>
      </c>
    </row>
    <row r="590" spans="1:24" x14ac:dyDescent="0.25">
      <c r="A590" t="s">
        <v>609</v>
      </c>
      <c r="B590">
        <v>589</v>
      </c>
      <c r="C590">
        <v>11.4</v>
      </c>
      <c r="D590">
        <v>2.7</v>
      </c>
      <c r="E590">
        <v>274322</v>
      </c>
      <c r="F590">
        <v>3116722.5</v>
      </c>
      <c r="G590">
        <v>7296000000</v>
      </c>
      <c r="H590">
        <v>13.5</v>
      </c>
      <c r="I590">
        <v>5.21</v>
      </c>
      <c r="J590">
        <v>0.64702300000000001</v>
      </c>
      <c r="K590">
        <v>0.4</v>
      </c>
      <c r="L590">
        <v>0.41</v>
      </c>
      <c r="M590">
        <v>32.723157999999998</v>
      </c>
      <c r="N590">
        <v>38.563890999999998</v>
      </c>
      <c r="O590">
        <v>27.832208999999999</v>
      </c>
      <c r="P590">
        <v>7.89</v>
      </c>
      <c r="Q590" t="s">
        <v>22</v>
      </c>
      <c r="R590" t="s">
        <v>22</v>
      </c>
      <c r="S590">
        <v>429</v>
      </c>
      <c r="T590">
        <v>414</v>
      </c>
      <c r="U590">
        <v>0.33</v>
      </c>
      <c r="V590">
        <v>5</v>
      </c>
      <c r="W590">
        <v>2.19</v>
      </c>
      <c r="X590">
        <v>640000000</v>
      </c>
    </row>
    <row r="591" spans="1:24" x14ac:dyDescent="0.25">
      <c r="A591" t="s">
        <v>610</v>
      </c>
      <c r="B591">
        <v>590</v>
      </c>
      <c r="C591">
        <v>24.1</v>
      </c>
      <c r="D591">
        <v>-1.23</v>
      </c>
      <c r="E591">
        <v>13827018</v>
      </c>
      <c r="F591">
        <v>334122833.80000001</v>
      </c>
      <c r="G591">
        <v>40042316988.900002</v>
      </c>
      <c r="H591">
        <v>7.42</v>
      </c>
      <c r="I591">
        <v>1.01</v>
      </c>
      <c r="J591">
        <v>1.516624</v>
      </c>
      <c r="K591">
        <v>0.35</v>
      </c>
      <c r="L591">
        <v>1.65</v>
      </c>
      <c r="M591">
        <v>9.4844439999999999</v>
      </c>
      <c r="N591">
        <v>14.366133</v>
      </c>
      <c r="O591">
        <v>30.950928999999999</v>
      </c>
      <c r="P591">
        <v>2.9</v>
      </c>
      <c r="Q591" t="s">
        <v>22</v>
      </c>
      <c r="R591" t="s">
        <v>22</v>
      </c>
      <c r="S591">
        <v>286</v>
      </c>
      <c r="T591">
        <v>525</v>
      </c>
      <c r="U591">
        <v>4.4000000000000004</v>
      </c>
      <c r="V591">
        <v>5</v>
      </c>
      <c r="W591">
        <v>23.88</v>
      </c>
      <c r="X591">
        <v>1661506929</v>
      </c>
    </row>
    <row r="592" spans="1:24" x14ac:dyDescent="0.25">
      <c r="A592" t="s">
        <v>611</v>
      </c>
      <c r="B592">
        <v>591</v>
      </c>
      <c r="C592">
        <v>2026</v>
      </c>
      <c r="D592">
        <v>-24.375000000000004</v>
      </c>
      <c r="E592">
        <v>122043</v>
      </c>
      <c r="F592">
        <v>874.88711000000001</v>
      </c>
      <c r="G592">
        <v>140400000</v>
      </c>
      <c r="H592">
        <v>140400000</v>
      </c>
      <c r="I592">
        <v>0.6</v>
      </c>
      <c r="J592">
        <v>0.17025899999999999</v>
      </c>
      <c r="K592">
        <v>-0.62</v>
      </c>
      <c r="L592">
        <v>-0.62</v>
      </c>
      <c r="M592">
        <v>-8.2939330000000009</v>
      </c>
      <c r="N592">
        <v>-9.3051630000000003</v>
      </c>
      <c r="O592">
        <v>-66.195115000000001</v>
      </c>
      <c r="P592">
        <v>0.6</v>
      </c>
      <c r="Q592" t="s">
        <v>22</v>
      </c>
      <c r="R592" t="s">
        <v>22</v>
      </c>
      <c r="W592">
        <v>9.6999999999999993</v>
      </c>
      <c r="X592">
        <v>24000000</v>
      </c>
    </row>
    <row r="593" spans="1:24" x14ac:dyDescent="0.25">
      <c r="A593" t="s">
        <v>612</v>
      </c>
      <c r="B593">
        <v>592</v>
      </c>
      <c r="C593">
        <v>2.08</v>
      </c>
      <c r="D593">
        <v>-1.89</v>
      </c>
      <c r="E593">
        <v>7180957</v>
      </c>
      <c r="F593">
        <v>14843077.880000001</v>
      </c>
      <c r="G593">
        <v>8896707861.6000004</v>
      </c>
      <c r="H593">
        <v>4.97</v>
      </c>
      <c r="I593">
        <v>0.35</v>
      </c>
      <c r="J593">
        <v>1.4674560000000001</v>
      </c>
      <c r="K593">
        <v>0.06</v>
      </c>
      <c r="L593">
        <v>0.18</v>
      </c>
      <c r="M593">
        <v>4.0848810000000002</v>
      </c>
      <c r="N593">
        <v>7.2786549999999997</v>
      </c>
      <c r="O593">
        <v>7.5033289999999999</v>
      </c>
      <c r="P593">
        <v>7.21</v>
      </c>
      <c r="Q593" t="s">
        <v>22</v>
      </c>
      <c r="R593" t="s">
        <v>22</v>
      </c>
      <c r="S593">
        <v>509</v>
      </c>
      <c r="T593">
        <v>586</v>
      </c>
      <c r="U593">
        <v>-1.1000000000000001</v>
      </c>
      <c r="V593">
        <v>5</v>
      </c>
      <c r="W593">
        <v>5.88</v>
      </c>
      <c r="X593">
        <v>4277263395</v>
      </c>
    </row>
    <row r="594" spans="1:24" x14ac:dyDescent="0.25">
      <c r="A594" t="s">
        <v>613</v>
      </c>
      <c r="B594">
        <v>593</v>
      </c>
      <c r="C594">
        <v>1.75</v>
      </c>
      <c r="D594">
        <v>-1.69</v>
      </c>
      <c r="E594">
        <v>4567406</v>
      </c>
      <c r="F594">
        <v>8057628.8300000001</v>
      </c>
      <c r="G594">
        <v>11845898358</v>
      </c>
      <c r="H594">
        <v>8.51</v>
      </c>
      <c r="I594">
        <v>1.01</v>
      </c>
      <c r="J594">
        <v>1.4830179999999999</v>
      </c>
      <c r="K594">
        <v>7.0000000000000007E-2</v>
      </c>
      <c r="L594">
        <v>0.13</v>
      </c>
      <c r="M594">
        <v>8.7360679999999995</v>
      </c>
      <c r="N594">
        <v>12.388385</v>
      </c>
      <c r="O594">
        <v>30.783822000000001</v>
      </c>
      <c r="P594">
        <v>4</v>
      </c>
      <c r="Q594" t="s">
        <v>22</v>
      </c>
      <c r="R594" t="s">
        <v>22</v>
      </c>
      <c r="S594">
        <v>381</v>
      </c>
      <c r="T594">
        <v>632</v>
      </c>
      <c r="U594">
        <v>2.67</v>
      </c>
      <c r="V594">
        <v>5</v>
      </c>
      <c r="W594">
        <v>1.73</v>
      </c>
      <c r="X594">
        <v>6769084776</v>
      </c>
    </row>
    <row r="595" spans="1:24" x14ac:dyDescent="0.25">
      <c r="A595" t="s">
        <v>614</v>
      </c>
      <c r="B595">
        <v>594</v>
      </c>
      <c r="C595">
        <v>152</v>
      </c>
      <c r="D595">
        <v>-0.65</v>
      </c>
      <c r="E595">
        <v>15368089</v>
      </c>
      <c r="F595">
        <v>2340249808</v>
      </c>
      <c r="G595">
        <v>511800307472</v>
      </c>
      <c r="H595">
        <v>11.76</v>
      </c>
      <c r="I595">
        <v>1.06</v>
      </c>
      <c r="J595">
        <v>6.5556530000000004</v>
      </c>
      <c r="K595">
        <v>9.2799999999999994</v>
      </c>
      <c r="L595">
        <v>6.33</v>
      </c>
      <c r="M595">
        <v>2.533515</v>
      </c>
      <c r="N595">
        <v>9.0426680000000008</v>
      </c>
      <c r="O595">
        <v>22.599958999999998</v>
      </c>
      <c r="P595">
        <v>7.42</v>
      </c>
      <c r="Q595" t="s">
        <v>22</v>
      </c>
      <c r="R595" t="s">
        <v>22</v>
      </c>
      <c r="S595">
        <v>625</v>
      </c>
      <c r="T595">
        <v>979</v>
      </c>
      <c r="U595">
        <v>1.36</v>
      </c>
      <c r="V595">
        <v>5</v>
      </c>
      <c r="W595">
        <v>143.13999999999999</v>
      </c>
      <c r="X595">
        <v>3367107286</v>
      </c>
    </row>
    <row r="596" spans="1:24" x14ac:dyDescent="0.25">
      <c r="A596" t="s">
        <v>615</v>
      </c>
      <c r="B596">
        <v>595</v>
      </c>
      <c r="C596">
        <v>257</v>
      </c>
      <c r="D596">
        <v>0</v>
      </c>
      <c r="E596">
        <v>4307916</v>
      </c>
      <c r="F596">
        <v>1106243090</v>
      </c>
      <c r="G596">
        <v>308400000000</v>
      </c>
      <c r="H596">
        <v>23.02</v>
      </c>
      <c r="I596">
        <v>0.85</v>
      </c>
      <c r="J596">
        <v>0.97413700000000003</v>
      </c>
      <c r="K596">
        <v>3.5</v>
      </c>
      <c r="L596">
        <v>14.8</v>
      </c>
      <c r="M596">
        <v>3.2779289999999999</v>
      </c>
      <c r="N596">
        <v>3.7126969999999999</v>
      </c>
      <c r="O596">
        <v>6.7986550000000001</v>
      </c>
      <c r="P596">
        <v>1.95</v>
      </c>
      <c r="Q596" t="s">
        <v>22</v>
      </c>
      <c r="R596" t="s">
        <v>22</v>
      </c>
      <c r="S596">
        <v>973</v>
      </c>
      <c r="T596">
        <v>966</v>
      </c>
      <c r="U596">
        <v>5</v>
      </c>
      <c r="V596">
        <v>5</v>
      </c>
      <c r="W596">
        <v>302.02999999999997</v>
      </c>
      <c r="X596">
        <v>1200000000</v>
      </c>
    </row>
    <row r="597" spans="1:24" x14ac:dyDescent="0.25">
      <c r="A597" t="s">
        <v>616</v>
      </c>
      <c r="B597">
        <v>596</v>
      </c>
      <c r="C597">
        <v>155</v>
      </c>
      <c r="D597">
        <v>0.32</v>
      </c>
      <c r="E597">
        <v>1759699</v>
      </c>
      <c r="F597">
        <v>271086229.5</v>
      </c>
      <c r="G597">
        <v>46190000000</v>
      </c>
      <c r="H597">
        <v>11.15</v>
      </c>
      <c r="I597">
        <v>1.38</v>
      </c>
      <c r="J597">
        <v>0.921184</v>
      </c>
      <c r="K597">
        <v>4</v>
      </c>
      <c r="L597">
        <v>8.83</v>
      </c>
      <c r="M597">
        <v>9.3769469999999995</v>
      </c>
      <c r="N597">
        <v>12.457257999999999</v>
      </c>
      <c r="O597">
        <v>11.307556</v>
      </c>
      <c r="P597">
        <v>7.1</v>
      </c>
      <c r="Q597" t="s">
        <v>22</v>
      </c>
      <c r="R597" t="s">
        <v>22</v>
      </c>
      <c r="S597">
        <v>498</v>
      </c>
      <c r="T597">
        <v>488</v>
      </c>
      <c r="U597">
        <v>0.82</v>
      </c>
      <c r="V597">
        <v>5</v>
      </c>
      <c r="W597">
        <v>112.54</v>
      </c>
      <c r="X597">
        <v>298000000</v>
      </c>
    </row>
    <row r="598" spans="1:24" x14ac:dyDescent="0.25">
      <c r="A598" t="s">
        <v>617</v>
      </c>
      <c r="B598">
        <v>597</v>
      </c>
      <c r="C598">
        <v>2.74</v>
      </c>
      <c r="D598">
        <v>0.74</v>
      </c>
      <c r="E598">
        <v>21174</v>
      </c>
      <c r="F598">
        <v>57740.14</v>
      </c>
      <c r="G598">
        <v>3188526086.48</v>
      </c>
      <c r="H598">
        <v>3211799999.52</v>
      </c>
      <c r="I598">
        <v>1.06</v>
      </c>
      <c r="J598">
        <v>1.581574</v>
      </c>
      <c r="K598">
        <v>0.05</v>
      </c>
      <c r="L598">
        <v>-0.09</v>
      </c>
      <c r="M598">
        <v>-0.84583600000000003</v>
      </c>
      <c r="N598">
        <v>-5.8743910000000001</v>
      </c>
      <c r="O598">
        <v>-6.5276709999999998</v>
      </c>
      <c r="P598">
        <v>1.07</v>
      </c>
      <c r="Q598" t="s">
        <v>22</v>
      </c>
      <c r="R598" t="s">
        <v>22</v>
      </c>
      <c r="V598">
        <v>5</v>
      </c>
      <c r="W598">
        <v>2.59</v>
      </c>
      <c r="X598">
        <v>1163695652</v>
      </c>
    </row>
    <row r="599" spans="1:24" x14ac:dyDescent="0.25">
      <c r="A599" t="s">
        <v>618</v>
      </c>
      <c r="B599">
        <v>598</v>
      </c>
      <c r="C599">
        <v>5.4</v>
      </c>
      <c r="D599">
        <v>0.93</v>
      </c>
      <c r="E599">
        <v>582125</v>
      </c>
      <c r="F599">
        <v>3186283.4</v>
      </c>
      <c r="G599">
        <v>8910000000</v>
      </c>
      <c r="H599">
        <v>19.47</v>
      </c>
      <c r="I599">
        <v>0.49</v>
      </c>
      <c r="J599">
        <v>0.89116399999999996</v>
      </c>
      <c r="K599">
        <v>0.155</v>
      </c>
      <c r="L599">
        <v>-0.02</v>
      </c>
      <c r="M599">
        <v>2.5409760000000001</v>
      </c>
      <c r="N599">
        <v>2.491425</v>
      </c>
      <c r="O599">
        <v>-0.41683799999999999</v>
      </c>
      <c r="P599">
        <v>6.3</v>
      </c>
      <c r="Q599" t="s">
        <v>22</v>
      </c>
      <c r="R599" t="s">
        <v>22</v>
      </c>
      <c r="S599">
        <v>1140</v>
      </c>
      <c r="T599">
        <v>1126</v>
      </c>
      <c r="U599">
        <v>0.24</v>
      </c>
      <c r="V599">
        <v>5</v>
      </c>
      <c r="W599">
        <v>11.07</v>
      </c>
      <c r="X599">
        <v>1650000000</v>
      </c>
    </row>
    <row r="600" spans="1:24" x14ac:dyDescent="0.25">
      <c r="A600" t="s">
        <v>619</v>
      </c>
      <c r="B600">
        <v>599</v>
      </c>
      <c r="C600">
        <v>29</v>
      </c>
      <c r="D600">
        <v>0</v>
      </c>
      <c r="E600">
        <v>15842752</v>
      </c>
      <c r="F600">
        <v>459972420</v>
      </c>
      <c r="G600">
        <v>124494685800</v>
      </c>
      <c r="H600">
        <v>20.65</v>
      </c>
      <c r="I600">
        <v>1.6</v>
      </c>
      <c r="J600">
        <v>0.93240800000000001</v>
      </c>
      <c r="K600">
        <v>0.4</v>
      </c>
      <c r="L600">
        <v>0.9</v>
      </c>
      <c r="M600">
        <v>5.7084289999999998</v>
      </c>
      <c r="N600">
        <v>7.8101750000000001</v>
      </c>
      <c r="O600">
        <v>6.7262170000000001</v>
      </c>
      <c r="P600">
        <v>2.0699999999999998</v>
      </c>
      <c r="Q600" t="s">
        <v>22</v>
      </c>
      <c r="R600" t="s">
        <v>22</v>
      </c>
      <c r="S600">
        <v>938</v>
      </c>
      <c r="T600">
        <v>954</v>
      </c>
      <c r="U600">
        <v>-1.49</v>
      </c>
      <c r="V600">
        <v>5</v>
      </c>
      <c r="W600">
        <v>18.14</v>
      </c>
      <c r="X600">
        <v>4292920200</v>
      </c>
    </row>
    <row r="601" spans="1:24" x14ac:dyDescent="0.25">
      <c r="A601" t="s">
        <v>620</v>
      </c>
      <c r="B601">
        <v>600</v>
      </c>
      <c r="C601">
        <v>0.87</v>
      </c>
      <c r="D601">
        <v>-4.4000000000000004</v>
      </c>
      <c r="E601">
        <v>178100</v>
      </c>
      <c r="F601">
        <v>156469</v>
      </c>
      <c r="G601">
        <v>652500000</v>
      </c>
      <c r="H601">
        <v>667500000</v>
      </c>
      <c r="I601">
        <v>0.91</v>
      </c>
      <c r="J601">
        <v>1.1671800000000001</v>
      </c>
      <c r="K601">
        <v>-0.03</v>
      </c>
      <c r="L601">
        <v>-0.03</v>
      </c>
      <c r="M601">
        <v>0.27351500000000001</v>
      </c>
      <c r="N601">
        <v>-0.89745699999999995</v>
      </c>
      <c r="O601">
        <v>-5.9180469999999996</v>
      </c>
      <c r="P601">
        <v>0.93</v>
      </c>
      <c r="Q601" t="s">
        <v>22</v>
      </c>
      <c r="R601" t="s">
        <v>22</v>
      </c>
      <c r="S601">
        <v>1310</v>
      </c>
      <c r="T601">
        <v>1321</v>
      </c>
      <c r="U601">
        <v>-0.05</v>
      </c>
      <c r="V601">
        <v>4</v>
      </c>
      <c r="W601">
        <v>0.96</v>
      </c>
      <c r="X601">
        <v>750000000</v>
      </c>
    </row>
    <row r="602" spans="1:24" x14ac:dyDescent="0.25">
      <c r="A602" t="s">
        <v>621</v>
      </c>
      <c r="B602">
        <v>601</v>
      </c>
      <c r="C602">
        <v>1.61</v>
      </c>
      <c r="D602">
        <v>-0.62</v>
      </c>
      <c r="E602">
        <v>51600</v>
      </c>
      <c r="F602">
        <v>82641</v>
      </c>
      <c r="G602">
        <v>402500000</v>
      </c>
      <c r="H602">
        <v>6.97</v>
      </c>
      <c r="I602">
        <v>0.92</v>
      </c>
      <c r="J602">
        <v>1.8883989999999999</v>
      </c>
      <c r="K602">
        <v>4.5999999999999999E-2</v>
      </c>
      <c r="L602">
        <v>0.12</v>
      </c>
      <c r="M602">
        <v>7.0896429999999997</v>
      </c>
      <c r="N602">
        <v>14.48376</v>
      </c>
      <c r="O602">
        <v>2.8936359999999999</v>
      </c>
      <c r="P602">
        <v>5.8</v>
      </c>
      <c r="Q602" t="s">
        <v>22</v>
      </c>
      <c r="R602" t="s">
        <v>22</v>
      </c>
      <c r="S602">
        <v>250</v>
      </c>
      <c r="T602">
        <v>382</v>
      </c>
      <c r="U602">
        <v>0.13</v>
      </c>
      <c r="W602">
        <v>1.75</v>
      </c>
      <c r="X602">
        <v>250000000</v>
      </c>
    </row>
    <row r="603" spans="1:24" x14ac:dyDescent="0.25">
      <c r="A603" t="s">
        <v>622</v>
      </c>
      <c r="B603">
        <v>602</v>
      </c>
      <c r="C603">
        <v>0.13</v>
      </c>
      <c r="D603">
        <v>8.33</v>
      </c>
      <c r="E603">
        <v>1161700</v>
      </c>
      <c r="F603">
        <v>139437</v>
      </c>
      <c r="G603">
        <v>115218135.5</v>
      </c>
      <c r="H603">
        <v>97492268.5</v>
      </c>
      <c r="I603">
        <v>0.27</v>
      </c>
      <c r="J603">
        <v>0.182642</v>
      </c>
      <c r="K603">
        <v>0.05</v>
      </c>
      <c r="L603">
        <v>-0.03</v>
      </c>
      <c r="M603">
        <v>-17.722024999999999</v>
      </c>
      <c r="N603">
        <v>-22.760370000000002</v>
      </c>
      <c r="O603">
        <v>-17.711659000000001</v>
      </c>
      <c r="P603">
        <v>0.23</v>
      </c>
      <c r="Q603" t="s">
        <v>22</v>
      </c>
      <c r="R603" t="s">
        <v>22</v>
      </c>
      <c r="V603">
        <v>5</v>
      </c>
      <c r="W603">
        <v>0.48</v>
      </c>
      <c r="X603">
        <v>886293350</v>
      </c>
    </row>
    <row r="604" spans="1:24" x14ac:dyDescent="0.25">
      <c r="A604" t="s">
        <v>623</v>
      </c>
      <c r="B604">
        <v>603</v>
      </c>
      <c r="C604">
        <v>0.48</v>
      </c>
      <c r="D604">
        <v>-2.04</v>
      </c>
      <c r="E604">
        <v>548900</v>
      </c>
      <c r="F604">
        <v>261215</v>
      </c>
      <c r="G604">
        <v>582586728</v>
      </c>
      <c r="H604">
        <v>485488940</v>
      </c>
      <c r="I604">
        <v>0.23</v>
      </c>
      <c r="J604">
        <v>0.88589799999999996</v>
      </c>
      <c r="K604">
        <v>1.24E-2</v>
      </c>
      <c r="L604">
        <v>0.01</v>
      </c>
      <c r="M604">
        <v>-3.9987689999999998</v>
      </c>
      <c r="N604">
        <v>-13.642218</v>
      </c>
      <c r="O604">
        <v>2.813323</v>
      </c>
      <c r="P604">
        <v>0.19</v>
      </c>
      <c r="Q604" t="s">
        <v>22</v>
      </c>
      <c r="R604" t="s">
        <v>22</v>
      </c>
      <c r="V604">
        <v>4</v>
      </c>
      <c r="W604">
        <v>2.06</v>
      </c>
      <c r="X604">
        <v>1213722350</v>
      </c>
    </row>
    <row r="605" spans="1:24" x14ac:dyDescent="0.25">
      <c r="A605" t="s">
        <v>624</v>
      </c>
      <c r="B605">
        <v>604</v>
      </c>
      <c r="C605">
        <v>9.1</v>
      </c>
      <c r="D605">
        <v>0</v>
      </c>
      <c r="E605">
        <v>39245</v>
      </c>
      <c r="F605">
        <v>357608.75</v>
      </c>
      <c r="G605">
        <v>2568930000</v>
      </c>
      <c r="H605">
        <v>8.7799999999999994</v>
      </c>
      <c r="I605">
        <v>1.22</v>
      </c>
      <c r="J605">
        <v>0.279082</v>
      </c>
      <c r="K605">
        <v>1</v>
      </c>
      <c r="L605">
        <v>0.65</v>
      </c>
      <c r="M605">
        <v>13.959440000000001</v>
      </c>
      <c r="N605">
        <v>13.962752</v>
      </c>
      <c r="O605">
        <v>14.587609</v>
      </c>
      <c r="P605">
        <v>10.99</v>
      </c>
      <c r="Q605" t="s">
        <v>22</v>
      </c>
      <c r="R605" t="s">
        <v>22</v>
      </c>
      <c r="S605">
        <v>361</v>
      </c>
      <c r="T605">
        <v>267</v>
      </c>
      <c r="U605">
        <v>0.19</v>
      </c>
      <c r="W605">
        <v>7.44</v>
      </c>
      <c r="X605">
        <v>282300000</v>
      </c>
    </row>
    <row r="606" spans="1:24" x14ac:dyDescent="0.25">
      <c r="A606" t="s">
        <v>625</v>
      </c>
      <c r="B606">
        <v>605</v>
      </c>
      <c r="C606">
        <v>0.03</v>
      </c>
      <c r="D606">
        <v>0</v>
      </c>
      <c r="E606">
        <v>9071910</v>
      </c>
      <c r="F606">
        <v>181805.3</v>
      </c>
      <c r="G606">
        <v>1035491073.9</v>
      </c>
      <c r="H606">
        <v>49.82</v>
      </c>
      <c r="I606">
        <v>2.71</v>
      </c>
      <c r="J606">
        <v>7.0803089999999997</v>
      </c>
      <c r="L606">
        <v>3.5067361576160878</v>
      </c>
      <c r="M606">
        <v>3.5067360000000001</v>
      </c>
      <c r="N606">
        <v>5.5975950000000001</v>
      </c>
      <c r="O606">
        <v>-1.936965</v>
      </c>
      <c r="P606">
        <v>2.71</v>
      </c>
      <c r="Q606" t="s">
        <v>22</v>
      </c>
      <c r="R606" t="s">
        <v>22</v>
      </c>
      <c r="S606">
        <v>1092</v>
      </c>
      <c r="T606">
        <v>1144</v>
      </c>
      <c r="U606">
        <v>0.11</v>
      </c>
      <c r="V606">
        <v>5</v>
      </c>
      <c r="W606">
        <v>0.01</v>
      </c>
      <c r="X606">
        <v>34516369130</v>
      </c>
    </row>
    <row r="607" spans="1:24" x14ac:dyDescent="0.25">
      <c r="A607" t="s">
        <v>626</v>
      </c>
      <c r="B607">
        <v>606</v>
      </c>
      <c r="C607">
        <v>0.5</v>
      </c>
      <c r="D607">
        <v>0</v>
      </c>
      <c r="E607">
        <v>49433</v>
      </c>
      <c r="F607">
        <v>24738.21</v>
      </c>
      <c r="G607">
        <v>339725166.5</v>
      </c>
      <c r="H607">
        <v>10.11</v>
      </c>
      <c r="I607">
        <v>0.73</v>
      </c>
      <c r="J607">
        <v>0.226077</v>
      </c>
      <c r="K607">
        <v>2.6492999999999999E-2</v>
      </c>
      <c r="L607">
        <v>0.01</v>
      </c>
      <c r="M607">
        <v>6.1399509999999999</v>
      </c>
      <c r="N607">
        <v>7.3318250000000003</v>
      </c>
      <c r="O607">
        <v>3.5038520000000002</v>
      </c>
      <c r="P607">
        <v>5.3</v>
      </c>
      <c r="Q607" t="s">
        <v>22</v>
      </c>
      <c r="R607" t="s">
        <v>22</v>
      </c>
      <c r="S607">
        <v>517</v>
      </c>
      <c r="T607">
        <v>436</v>
      </c>
      <c r="U607">
        <v>0.66</v>
      </c>
      <c r="V607">
        <v>5</v>
      </c>
      <c r="W607">
        <v>0.69</v>
      </c>
      <c r="X607">
        <v>679450333</v>
      </c>
    </row>
    <row r="608" spans="1:24" x14ac:dyDescent="0.25">
      <c r="A608" t="s">
        <v>627</v>
      </c>
      <c r="B608">
        <v>607</v>
      </c>
      <c r="C608">
        <v>1.3</v>
      </c>
      <c r="D608">
        <v>0</v>
      </c>
      <c r="E608">
        <v>1300</v>
      </c>
      <c r="F608">
        <v>1690</v>
      </c>
      <c r="G608">
        <v>509527743.39999998</v>
      </c>
      <c r="H608">
        <v>509527743.39999998</v>
      </c>
      <c r="I608">
        <v>0.43</v>
      </c>
      <c r="J608">
        <v>1.117658</v>
      </c>
      <c r="K608">
        <v>0.05</v>
      </c>
      <c r="L608">
        <v>0.05</v>
      </c>
      <c r="M608">
        <v>-3.8247999999999997E-2</v>
      </c>
      <c r="N608">
        <v>-3.6258210000000002</v>
      </c>
      <c r="O608">
        <v>2.8892769999999999</v>
      </c>
      <c r="P608">
        <v>0.43</v>
      </c>
      <c r="Q608" t="s">
        <v>22</v>
      </c>
      <c r="R608" t="s">
        <v>22</v>
      </c>
      <c r="V608">
        <v>3</v>
      </c>
      <c r="W608">
        <v>3</v>
      </c>
      <c r="X608">
        <v>391944418</v>
      </c>
    </row>
    <row r="609" spans="1:24" x14ac:dyDescent="0.25">
      <c r="A609" t="s">
        <v>628</v>
      </c>
      <c r="B609">
        <v>608</v>
      </c>
      <c r="C609">
        <v>3.02</v>
      </c>
      <c r="D609">
        <v>0.67</v>
      </c>
      <c r="E609">
        <v>2588500</v>
      </c>
      <c r="F609">
        <v>7773058</v>
      </c>
      <c r="G609">
        <v>2457307013.3800001</v>
      </c>
      <c r="H609">
        <v>6.01</v>
      </c>
      <c r="I609">
        <v>1.37</v>
      </c>
      <c r="J609">
        <v>0.54690000000000005</v>
      </c>
      <c r="K609">
        <v>0.08</v>
      </c>
      <c r="L609">
        <v>0.26</v>
      </c>
      <c r="M609">
        <v>20.453188000000001</v>
      </c>
      <c r="N609">
        <v>24.972266000000001</v>
      </c>
      <c r="O609">
        <v>22.174790000000002</v>
      </c>
      <c r="P609">
        <v>3.97</v>
      </c>
      <c r="Q609" t="s">
        <v>22</v>
      </c>
      <c r="R609" t="s">
        <v>22</v>
      </c>
      <c r="S609">
        <v>165</v>
      </c>
      <c r="T609">
        <v>133</v>
      </c>
      <c r="V609">
        <v>5</v>
      </c>
      <c r="W609">
        <v>2.21</v>
      </c>
      <c r="X609">
        <v>813677819</v>
      </c>
    </row>
    <row r="610" spans="1:24" x14ac:dyDescent="0.25">
      <c r="A610" t="s">
        <v>629</v>
      </c>
      <c r="B610">
        <v>609</v>
      </c>
      <c r="C610">
        <v>3.36</v>
      </c>
      <c r="D610">
        <v>-1.18</v>
      </c>
      <c r="E610">
        <v>302390</v>
      </c>
      <c r="F610">
        <v>1021725.8</v>
      </c>
      <c r="G610">
        <v>2482978817.7600002</v>
      </c>
      <c r="H610">
        <v>7.58</v>
      </c>
      <c r="I610">
        <v>0.88</v>
      </c>
      <c r="J610">
        <v>0.83245999999999998</v>
      </c>
      <c r="K610">
        <v>0.1</v>
      </c>
      <c r="L610">
        <v>0.28999999999999998</v>
      </c>
      <c r="M610">
        <v>8.5407089999999997</v>
      </c>
      <c r="N610">
        <v>12.014041000000001</v>
      </c>
      <c r="O610">
        <v>1.4734290000000001</v>
      </c>
      <c r="P610">
        <v>5.36</v>
      </c>
      <c r="Q610" t="s">
        <v>22</v>
      </c>
      <c r="R610" t="s">
        <v>22</v>
      </c>
      <c r="S610">
        <v>452</v>
      </c>
      <c r="T610">
        <v>455</v>
      </c>
      <c r="U610">
        <v>0.77</v>
      </c>
      <c r="V610">
        <v>5</v>
      </c>
      <c r="W610">
        <v>3.82</v>
      </c>
      <c r="X610">
        <v>738981791</v>
      </c>
    </row>
    <row r="611" spans="1:24" x14ac:dyDescent="0.25">
      <c r="A611" t="s">
        <v>630</v>
      </c>
      <c r="B611">
        <v>610</v>
      </c>
      <c r="C611">
        <v>12.5</v>
      </c>
      <c r="D611">
        <v>0</v>
      </c>
      <c r="E611">
        <v>58703</v>
      </c>
      <c r="F611">
        <v>733967.5</v>
      </c>
      <c r="G611">
        <v>1284262500</v>
      </c>
      <c r="H611">
        <v>11.86</v>
      </c>
      <c r="I611">
        <v>1.79</v>
      </c>
      <c r="J611">
        <v>0.27276</v>
      </c>
      <c r="K611">
        <v>1</v>
      </c>
      <c r="L611">
        <v>0.46</v>
      </c>
      <c r="M611">
        <v>14.940379</v>
      </c>
      <c r="N611">
        <v>15.159191</v>
      </c>
      <c r="O611">
        <v>9.3910210000000003</v>
      </c>
      <c r="P611">
        <v>8</v>
      </c>
      <c r="Q611" t="s">
        <v>22</v>
      </c>
      <c r="R611" t="s">
        <v>22</v>
      </c>
      <c r="S611">
        <v>456</v>
      </c>
      <c r="T611">
        <v>386</v>
      </c>
      <c r="U611">
        <v>0.53</v>
      </c>
      <c r="V611">
        <v>4</v>
      </c>
      <c r="W611">
        <v>6.97</v>
      </c>
      <c r="X611">
        <v>102741000</v>
      </c>
    </row>
    <row r="612" spans="1:24" x14ac:dyDescent="0.25">
      <c r="A612" t="s">
        <v>631</v>
      </c>
      <c r="B612">
        <v>611</v>
      </c>
      <c r="C612">
        <v>1.67</v>
      </c>
      <c r="D612">
        <v>0</v>
      </c>
      <c r="E612">
        <v>80850</v>
      </c>
      <c r="F612">
        <v>136401.29</v>
      </c>
      <c r="G612">
        <v>283900000</v>
      </c>
      <c r="H612">
        <v>9.1999999999999993</v>
      </c>
      <c r="I612">
        <v>0.92</v>
      </c>
      <c r="J612">
        <v>0.70699100000000004</v>
      </c>
      <c r="K612">
        <v>0.11</v>
      </c>
      <c r="L612">
        <v>0.09</v>
      </c>
      <c r="M612">
        <v>8.1761619999999997</v>
      </c>
      <c r="N612">
        <v>10.30457</v>
      </c>
      <c r="O612">
        <v>6.8174659999999996</v>
      </c>
      <c r="P612">
        <v>6.59</v>
      </c>
      <c r="Q612" t="s">
        <v>22</v>
      </c>
      <c r="R612" t="s">
        <v>22</v>
      </c>
      <c r="S612">
        <v>482</v>
      </c>
      <c r="T612">
        <v>439</v>
      </c>
      <c r="U612">
        <v>0.15</v>
      </c>
      <c r="W612">
        <v>1.81</v>
      </c>
      <c r="X612">
        <v>170000000</v>
      </c>
    </row>
    <row r="613" spans="1:24" x14ac:dyDescent="0.25">
      <c r="A613" t="s">
        <v>632</v>
      </c>
      <c r="B613">
        <v>612</v>
      </c>
      <c r="C613">
        <v>3.16</v>
      </c>
      <c r="D613">
        <v>1.28</v>
      </c>
      <c r="E613">
        <v>61211</v>
      </c>
      <c r="F613">
        <v>192815.34</v>
      </c>
      <c r="G613">
        <v>2014618297.76</v>
      </c>
      <c r="H613">
        <v>9.92</v>
      </c>
      <c r="I613">
        <v>1.6</v>
      </c>
      <c r="J613">
        <v>0.85781799999999997</v>
      </c>
      <c r="K613">
        <v>3.5220000000000001E-2</v>
      </c>
      <c r="L613">
        <v>0.19</v>
      </c>
      <c r="M613">
        <v>12.163487999999999</v>
      </c>
      <c r="N613">
        <v>16.435755</v>
      </c>
      <c r="O613">
        <v>15.681187</v>
      </c>
      <c r="P613">
        <v>1.07</v>
      </c>
      <c r="Q613" t="s">
        <v>22</v>
      </c>
      <c r="R613" t="s">
        <v>22</v>
      </c>
      <c r="S613">
        <v>469</v>
      </c>
      <c r="T613">
        <v>465</v>
      </c>
      <c r="U613">
        <v>0.36</v>
      </c>
      <c r="V613">
        <v>5</v>
      </c>
      <c r="W613">
        <v>1.97</v>
      </c>
      <c r="X613">
        <v>637537436</v>
      </c>
    </row>
    <row r="614" spans="1:24" x14ac:dyDescent="0.25">
      <c r="A614" t="s">
        <v>633</v>
      </c>
      <c r="B614">
        <v>613</v>
      </c>
      <c r="C614">
        <v>1.7</v>
      </c>
      <c r="D614">
        <v>0</v>
      </c>
      <c r="E614">
        <v>84958</v>
      </c>
      <c r="F614">
        <v>144499.74</v>
      </c>
      <c r="G614">
        <v>2451863992.9000001</v>
      </c>
      <c r="H614">
        <v>13.34</v>
      </c>
      <c r="I614">
        <v>0.3</v>
      </c>
      <c r="J614">
        <v>1.323342</v>
      </c>
      <c r="K614">
        <v>0.138295</v>
      </c>
      <c r="L614">
        <v>0.05</v>
      </c>
      <c r="M614">
        <v>2.4310649999999998</v>
      </c>
      <c r="N614">
        <v>2.225095</v>
      </c>
      <c r="O614">
        <v>6.3518939999999997</v>
      </c>
      <c r="P614">
        <v>8.14</v>
      </c>
      <c r="Q614" t="s">
        <v>22</v>
      </c>
      <c r="R614" t="s">
        <v>22</v>
      </c>
      <c r="S614">
        <v>818</v>
      </c>
      <c r="T614">
        <v>820</v>
      </c>
      <c r="U614">
        <v>-0.38</v>
      </c>
      <c r="V614">
        <v>5</v>
      </c>
      <c r="W614">
        <v>5.73</v>
      </c>
      <c r="X614">
        <v>1442272937</v>
      </c>
    </row>
    <row r="615" spans="1:24" x14ac:dyDescent="0.25">
      <c r="A615" t="s">
        <v>634</v>
      </c>
      <c r="B615">
        <v>614</v>
      </c>
      <c r="C615">
        <v>0.22</v>
      </c>
      <c r="D615">
        <v>4.76</v>
      </c>
      <c r="E615">
        <v>1008256</v>
      </c>
      <c r="F615">
        <v>212250.76</v>
      </c>
      <c r="G615">
        <v>924016533.44000006</v>
      </c>
      <c r="H615">
        <v>16.18</v>
      </c>
      <c r="I615">
        <v>0.24</v>
      </c>
      <c r="J615">
        <v>0.41394799999999998</v>
      </c>
      <c r="K615">
        <v>4.7000000000000002E-3</v>
      </c>
      <c r="L615">
        <v>0.01</v>
      </c>
      <c r="M615">
        <v>1.725428</v>
      </c>
      <c r="N615">
        <v>1.4670700000000001</v>
      </c>
      <c r="O615">
        <v>8.5865150000000003</v>
      </c>
      <c r="P615">
        <v>2.14</v>
      </c>
      <c r="Q615" t="s">
        <v>22</v>
      </c>
      <c r="R615" t="s">
        <v>22</v>
      </c>
      <c r="S615">
        <v>902</v>
      </c>
      <c r="T615">
        <v>908</v>
      </c>
      <c r="U615">
        <v>-0.55000000000000004</v>
      </c>
      <c r="V615">
        <v>5</v>
      </c>
      <c r="W615">
        <v>0.93</v>
      </c>
      <c r="X615">
        <v>4200075152</v>
      </c>
    </row>
    <row r="616" spans="1:24" x14ac:dyDescent="0.25">
      <c r="A616" t="s">
        <v>635</v>
      </c>
      <c r="B616">
        <v>615</v>
      </c>
      <c r="C616">
        <v>3.12</v>
      </c>
      <c r="D616">
        <v>0.65</v>
      </c>
      <c r="E616">
        <v>219711</v>
      </c>
      <c r="F616">
        <v>682254.1</v>
      </c>
      <c r="G616">
        <v>2470395258.2399998</v>
      </c>
      <c r="H616">
        <v>8.58</v>
      </c>
      <c r="I616">
        <v>1.87</v>
      </c>
      <c r="J616">
        <v>1.0104979999999999</v>
      </c>
      <c r="K616">
        <v>0.17</v>
      </c>
      <c r="L616">
        <v>0.19</v>
      </c>
      <c r="M616">
        <v>12.722462</v>
      </c>
      <c r="N616">
        <v>22.501315999999999</v>
      </c>
      <c r="O616">
        <v>13.859264</v>
      </c>
      <c r="P616">
        <v>5.6</v>
      </c>
      <c r="Q616" t="s">
        <v>22</v>
      </c>
      <c r="R616" t="s">
        <v>22</v>
      </c>
      <c r="S616">
        <v>349</v>
      </c>
      <c r="T616">
        <v>393</v>
      </c>
      <c r="U616">
        <v>0.19</v>
      </c>
      <c r="V616">
        <v>5</v>
      </c>
      <c r="W616">
        <v>1.66</v>
      </c>
      <c r="X616">
        <v>791793352</v>
      </c>
    </row>
    <row r="617" spans="1:24" x14ac:dyDescent="0.25">
      <c r="A617" t="s">
        <v>636</v>
      </c>
      <c r="B617">
        <v>616</v>
      </c>
      <c r="C617">
        <v>1.37</v>
      </c>
      <c r="D617">
        <v>0.74</v>
      </c>
      <c r="E617">
        <v>266221</v>
      </c>
      <c r="F617">
        <v>363388.96</v>
      </c>
      <c r="G617">
        <v>602800000</v>
      </c>
      <c r="H617">
        <v>9.17</v>
      </c>
      <c r="I617">
        <v>0.74</v>
      </c>
      <c r="J617">
        <v>0.50819999999999999</v>
      </c>
      <c r="K617">
        <v>7.0000000000000007E-2</v>
      </c>
      <c r="L617">
        <v>0.08</v>
      </c>
      <c r="M617">
        <v>7.7159839999999997</v>
      </c>
      <c r="N617">
        <v>8.2608890000000006</v>
      </c>
      <c r="O617">
        <v>6.1065300000000002</v>
      </c>
      <c r="P617">
        <v>5.1100000000000003</v>
      </c>
      <c r="Q617" t="s">
        <v>22</v>
      </c>
      <c r="R617" t="s">
        <v>22</v>
      </c>
      <c r="S617">
        <v>553</v>
      </c>
      <c r="T617">
        <v>470</v>
      </c>
      <c r="U617">
        <v>0.61</v>
      </c>
      <c r="V617">
        <v>4</v>
      </c>
      <c r="W617">
        <v>1.84</v>
      </c>
      <c r="X617">
        <v>440000000</v>
      </c>
    </row>
    <row r="618" spans="1:24" x14ac:dyDescent="0.25">
      <c r="A618" t="s">
        <v>637</v>
      </c>
      <c r="B618">
        <v>617</v>
      </c>
      <c r="C618">
        <v>1.62</v>
      </c>
      <c r="D618">
        <v>-1.82</v>
      </c>
      <c r="E618">
        <v>16128416</v>
      </c>
      <c r="F618">
        <v>26479955.789999999</v>
      </c>
      <c r="G618">
        <v>10108845468.540001</v>
      </c>
      <c r="H618">
        <v>18.239999999999998</v>
      </c>
      <c r="I618">
        <v>1.3</v>
      </c>
      <c r="J618">
        <v>0.94416100000000003</v>
      </c>
      <c r="K618">
        <v>0.11</v>
      </c>
      <c r="L618">
        <v>0.06</v>
      </c>
      <c r="M618">
        <v>8.3520310000000002</v>
      </c>
      <c r="N618">
        <v>8.1275490000000001</v>
      </c>
      <c r="O618">
        <v>24.016497999999999</v>
      </c>
      <c r="P618">
        <v>1.25</v>
      </c>
      <c r="Q618" t="s">
        <v>22</v>
      </c>
      <c r="R618" t="s">
        <v>22</v>
      </c>
      <c r="U618">
        <v>-0.21</v>
      </c>
      <c r="V618">
        <v>5</v>
      </c>
      <c r="W618">
        <v>1.25</v>
      </c>
      <c r="X618">
        <v>6240028067</v>
      </c>
    </row>
    <row r="619" spans="1:24" x14ac:dyDescent="0.25">
      <c r="A619" t="s">
        <v>638</v>
      </c>
      <c r="B619">
        <v>618</v>
      </c>
      <c r="C619">
        <v>0.15</v>
      </c>
      <c r="D619">
        <v>0</v>
      </c>
      <c r="E619">
        <v>17709</v>
      </c>
      <c r="F619">
        <v>2657.35</v>
      </c>
      <c r="G619">
        <v>196500000</v>
      </c>
      <c r="H619">
        <v>196500000</v>
      </c>
      <c r="I619">
        <v>0.14000000000000001</v>
      </c>
      <c r="J619">
        <v>0.126501</v>
      </c>
      <c r="K619">
        <v>-0.01</v>
      </c>
      <c r="L619">
        <v>-0.01</v>
      </c>
      <c r="M619">
        <v>-2.7197879999999999</v>
      </c>
      <c r="N619">
        <v>-5.4425480000000004</v>
      </c>
      <c r="O619">
        <v>-12.392582000000001</v>
      </c>
      <c r="P619">
        <v>0.14000000000000001</v>
      </c>
      <c r="Q619" t="s">
        <v>22</v>
      </c>
      <c r="R619" t="s">
        <v>22</v>
      </c>
      <c r="V619">
        <v>5</v>
      </c>
      <c r="W619">
        <v>1.06</v>
      </c>
      <c r="X619">
        <v>1310000000</v>
      </c>
    </row>
    <row r="620" spans="1:24" x14ac:dyDescent="0.25">
      <c r="A620" t="s">
        <v>639</v>
      </c>
      <c r="B620">
        <v>619</v>
      </c>
      <c r="C620">
        <v>8.8000000000000007</v>
      </c>
      <c r="D620">
        <v>0.56999999999999995</v>
      </c>
      <c r="E620">
        <v>113208</v>
      </c>
      <c r="F620">
        <v>991365.3</v>
      </c>
      <c r="G620">
        <v>16173194400</v>
      </c>
      <c r="H620">
        <v>3.54</v>
      </c>
      <c r="I620">
        <v>0.79</v>
      </c>
      <c r="J620">
        <v>1.812103</v>
      </c>
      <c r="K620">
        <v>0.2</v>
      </c>
      <c r="L620">
        <v>2.2400000000000002</v>
      </c>
      <c r="M620">
        <v>11.478821999999999</v>
      </c>
      <c r="N620">
        <v>25.466346000000001</v>
      </c>
      <c r="O620">
        <v>9.1128099999999996</v>
      </c>
      <c r="P620">
        <v>2.27</v>
      </c>
      <c r="Q620" t="s">
        <v>22</v>
      </c>
      <c r="R620" t="s">
        <v>22</v>
      </c>
      <c r="S620">
        <v>64</v>
      </c>
      <c r="T620">
        <v>152</v>
      </c>
      <c r="U620">
        <v>-0.09</v>
      </c>
      <c r="V620">
        <v>5</v>
      </c>
      <c r="W620">
        <v>11.13</v>
      </c>
      <c r="X620">
        <v>1837863000</v>
      </c>
    </row>
    <row r="621" spans="1:24" x14ac:dyDescent="0.25">
      <c r="A621" t="s">
        <v>640</v>
      </c>
      <c r="B621">
        <v>620</v>
      </c>
      <c r="C621">
        <v>43.25</v>
      </c>
      <c r="D621">
        <v>-3.35</v>
      </c>
      <c r="E621">
        <v>300</v>
      </c>
      <c r="F621">
        <v>12950</v>
      </c>
      <c r="G621">
        <v>5687500000</v>
      </c>
      <c r="H621">
        <v>15.98</v>
      </c>
      <c r="I621">
        <v>0.73</v>
      </c>
      <c r="J621">
        <v>7.5752E-2</v>
      </c>
      <c r="K621">
        <v>0.5</v>
      </c>
      <c r="L621">
        <v>1.8</v>
      </c>
      <c r="M621">
        <v>5.8432560000000002</v>
      </c>
      <c r="N621">
        <v>4.6811639999999999</v>
      </c>
      <c r="O621">
        <v>21.292287999999999</v>
      </c>
      <c r="P621">
        <v>1.1399999999999999</v>
      </c>
      <c r="Q621" t="s">
        <v>22</v>
      </c>
      <c r="R621" t="s">
        <v>22</v>
      </c>
      <c r="S621">
        <v>992</v>
      </c>
      <c r="T621">
        <v>850</v>
      </c>
      <c r="U621">
        <v>-0.28999999999999998</v>
      </c>
      <c r="W621">
        <v>59.56</v>
      </c>
      <c r="X621">
        <v>130000000</v>
      </c>
    </row>
    <row r="622" spans="1:24" x14ac:dyDescent="0.25">
      <c r="A622" t="s">
        <v>641</v>
      </c>
      <c r="B622">
        <v>621</v>
      </c>
      <c r="C622">
        <v>1.59</v>
      </c>
      <c r="D622">
        <v>1.27</v>
      </c>
      <c r="E622">
        <v>781026</v>
      </c>
      <c r="F622">
        <v>1231456.98</v>
      </c>
      <c r="G622">
        <v>5713887600</v>
      </c>
      <c r="H622">
        <v>5749824000</v>
      </c>
      <c r="I622">
        <v>0.4</v>
      </c>
      <c r="J622">
        <v>1.4137459999999999</v>
      </c>
      <c r="K622">
        <v>1.4999999999999999E-2</v>
      </c>
      <c r="L622">
        <v>0.05</v>
      </c>
      <c r="M622">
        <v>-1.8815310000000001</v>
      </c>
      <c r="N622">
        <v>-10.778577</v>
      </c>
      <c r="O622">
        <v>3.4118279999999999</v>
      </c>
      <c r="P622">
        <v>4.4000000000000004</v>
      </c>
      <c r="Q622" t="s">
        <v>22</v>
      </c>
      <c r="R622" t="s">
        <v>22</v>
      </c>
      <c r="V622">
        <v>5</v>
      </c>
      <c r="W622">
        <v>3.93</v>
      </c>
      <c r="X622">
        <v>3593640000</v>
      </c>
    </row>
    <row r="623" spans="1:24" x14ac:dyDescent="0.25">
      <c r="A623" t="s">
        <v>642</v>
      </c>
      <c r="B623">
        <v>622</v>
      </c>
      <c r="C623">
        <v>0.99</v>
      </c>
      <c r="D623">
        <v>6.45</v>
      </c>
      <c r="E623">
        <v>19606656</v>
      </c>
      <c r="F623">
        <v>20892305.469999999</v>
      </c>
      <c r="G623">
        <v>587194590.50999999</v>
      </c>
      <c r="H623">
        <v>18.78</v>
      </c>
      <c r="I623">
        <v>0.23</v>
      </c>
      <c r="J623">
        <v>0.22777700000000001</v>
      </c>
      <c r="K623">
        <v>0.01</v>
      </c>
      <c r="L623">
        <v>0.03</v>
      </c>
      <c r="M623">
        <v>1.4638329999999999</v>
      </c>
      <c r="N623">
        <v>1.2360850000000001</v>
      </c>
      <c r="O623">
        <v>4.3</v>
      </c>
      <c r="P623">
        <v>0.18</v>
      </c>
      <c r="Q623" t="s">
        <v>22</v>
      </c>
      <c r="R623" t="s">
        <v>22</v>
      </c>
      <c r="S623">
        <v>1080</v>
      </c>
      <c r="T623">
        <v>1087</v>
      </c>
      <c r="U623">
        <v>0.19</v>
      </c>
      <c r="V623">
        <v>3</v>
      </c>
      <c r="W623">
        <v>4.29</v>
      </c>
      <c r="X623">
        <v>593125849</v>
      </c>
    </row>
    <row r="624" spans="1:24" x14ac:dyDescent="0.25">
      <c r="A624" t="s">
        <v>643</v>
      </c>
      <c r="B624">
        <v>623</v>
      </c>
      <c r="C624">
        <v>3.16</v>
      </c>
      <c r="D624">
        <v>3.95</v>
      </c>
      <c r="E624">
        <v>3763377</v>
      </c>
      <c r="F624">
        <v>11801839.32</v>
      </c>
      <c r="G624">
        <v>1516799633.4400001</v>
      </c>
      <c r="H624">
        <v>19.989999999999998</v>
      </c>
      <c r="I624">
        <v>1.84</v>
      </c>
      <c r="J624">
        <v>0.18373999999999999</v>
      </c>
      <c r="K624">
        <v>2.5000000000000001E-2</v>
      </c>
      <c r="L624">
        <v>0.13</v>
      </c>
      <c r="M624">
        <v>7.8847870000000002</v>
      </c>
      <c r="N624">
        <v>9.5599640000000008</v>
      </c>
      <c r="O624">
        <v>15.984178</v>
      </c>
      <c r="P624">
        <v>0.79</v>
      </c>
      <c r="Q624" t="s">
        <v>22</v>
      </c>
      <c r="R624" t="s">
        <v>22</v>
      </c>
      <c r="S624">
        <v>851</v>
      </c>
      <c r="T624">
        <v>807</v>
      </c>
      <c r="U624">
        <v>1.18</v>
      </c>
      <c r="V624">
        <v>5</v>
      </c>
      <c r="W624">
        <v>1.72</v>
      </c>
      <c r="X624">
        <v>479999884</v>
      </c>
    </row>
    <row r="625" spans="1:24" x14ac:dyDescent="0.25">
      <c r="A625" t="s">
        <v>644</v>
      </c>
      <c r="B625">
        <v>624</v>
      </c>
      <c r="C625">
        <v>1.18</v>
      </c>
      <c r="D625">
        <v>0.85</v>
      </c>
      <c r="E625">
        <v>398300</v>
      </c>
      <c r="F625">
        <v>468449</v>
      </c>
      <c r="G625">
        <v>765306238.62</v>
      </c>
      <c r="H625">
        <v>40.24</v>
      </c>
      <c r="I625">
        <v>0.74</v>
      </c>
      <c r="J625">
        <v>0.67612799999999995</v>
      </c>
      <c r="K625">
        <v>0.09</v>
      </c>
      <c r="L625">
        <v>2.76280576379789</v>
      </c>
      <c r="M625">
        <v>2.7628059999999999</v>
      </c>
      <c r="N625">
        <v>1.7940780000000001</v>
      </c>
      <c r="O625">
        <v>0.301792</v>
      </c>
      <c r="P625">
        <v>7.63</v>
      </c>
      <c r="Q625" t="s">
        <v>22</v>
      </c>
      <c r="R625" t="s">
        <v>22</v>
      </c>
      <c r="S625">
        <v>1022</v>
      </c>
      <c r="T625">
        <v>969</v>
      </c>
      <c r="U625">
        <v>1.31</v>
      </c>
      <c r="W625">
        <v>1.6</v>
      </c>
      <c r="X625">
        <v>648564609</v>
      </c>
    </row>
    <row r="626" spans="1:24" x14ac:dyDescent="0.25">
      <c r="A626" t="s">
        <v>645</v>
      </c>
      <c r="B626">
        <v>625</v>
      </c>
      <c r="C626">
        <v>11.8</v>
      </c>
      <c r="D626">
        <v>-0.84</v>
      </c>
      <c r="E626">
        <v>2676860</v>
      </c>
      <c r="F626">
        <v>31793852.899999999</v>
      </c>
      <c r="G626">
        <v>9618206266.7999992</v>
      </c>
      <c r="H626">
        <v>26.4</v>
      </c>
      <c r="I626">
        <v>0.71</v>
      </c>
      <c r="J626">
        <v>0.15835099999999999</v>
      </c>
      <c r="K626">
        <v>0.26</v>
      </c>
      <c r="L626">
        <v>0.36</v>
      </c>
      <c r="M626">
        <v>4.4942919999999997</v>
      </c>
      <c r="N626">
        <v>2.7147209999999999</v>
      </c>
      <c r="O626">
        <v>17.731801000000001</v>
      </c>
      <c r="P626">
        <v>0.7</v>
      </c>
      <c r="Q626" t="s">
        <v>22</v>
      </c>
      <c r="R626" t="s">
        <v>22</v>
      </c>
      <c r="S626">
        <v>1245</v>
      </c>
      <c r="T626">
        <v>1140</v>
      </c>
      <c r="U626">
        <v>0.89</v>
      </c>
      <c r="V626">
        <v>3</v>
      </c>
      <c r="W626">
        <v>16.649999999999999</v>
      </c>
      <c r="X626">
        <v>815102226</v>
      </c>
    </row>
    <row r="627" spans="1:24" x14ac:dyDescent="0.25">
      <c r="A627" t="s">
        <v>646</v>
      </c>
      <c r="B627">
        <v>626</v>
      </c>
      <c r="C627">
        <v>0.97</v>
      </c>
      <c r="D627">
        <v>0</v>
      </c>
      <c r="E627">
        <v>197401</v>
      </c>
      <c r="F627">
        <v>187883</v>
      </c>
      <c r="G627">
        <v>1008800000</v>
      </c>
      <c r="H627">
        <v>27.32</v>
      </c>
      <c r="I627">
        <v>1.1499999999999999</v>
      </c>
      <c r="J627">
        <v>0.88827900000000004</v>
      </c>
      <c r="K627">
        <v>1.4423E-2</v>
      </c>
      <c r="L627">
        <v>0.01</v>
      </c>
      <c r="M627">
        <v>3.8406479999999998</v>
      </c>
      <c r="N627">
        <v>4.1718760000000001</v>
      </c>
      <c r="O627">
        <v>0.82636699999999996</v>
      </c>
      <c r="P627">
        <v>5.95</v>
      </c>
      <c r="Q627" t="s">
        <v>22</v>
      </c>
      <c r="R627" t="s">
        <v>22</v>
      </c>
      <c r="S627">
        <v>1153</v>
      </c>
      <c r="T627">
        <v>1117</v>
      </c>
      <c r="U627">
        <v>-1.52</v>
      </c>
      <c r="V627">
        <v>4</v>
      </c>
      <c r="W627">
        <v>0.84</v>
      </c>
      <c r="X627">
        <v>1040000000</v>
      </c>
    </row>
    <row r="628" spans="1:24" x14ac:dyDescent="0.25">
      <c r="A628" t="s">
        <v>647</v>
      </c>
      <c r="B628">
        <v>627</v>
      </c>
      <c r="C628">
        <v>1.48</v>
      </c>
      <c r="D628">
        <v>-2.63</v>
      </c>
      <c r="E628">
        <v>55654029</v>
      </c>
      <c r="F628">
        <v>82191136.450000003</v>
      </c>
      <c r="G628">
        <v>26016455650</v>
      </c>
      <c r="H628">
        <v>5.97</v>
      </c>
      <c r="I628">
        <v>0.51</v>
      </c>
      <c r="J628">
        <v>1.9163209999999999</v>
      </c>
      <c r="K628">
        <v>0.05</v>
      </c>
      <c r="L628">
        <v>0.1</v>
      </c>
      <c r="M628">
        <v>3.876846</v>
      </c>
      <c r="N628">
        <v>8.6385459999999998</v>
      </c>
      <c r="O628">
        <v>12.465811</v>
      </c>
      <c r="P628">
        <v>8.7100000000000009</v>
      </c>
      <c r="Q628" t="s">
        <v>22</v>
      </c>
      <c r="R628" t="s">
        <v>22</v>
      </c>
      <c r="S628">
        <v>372</v>
      </c>
      <c r="T628">
        <v>564</v>
      </c>
      <c r="U628">
        <v>0.18</v>
      </c>
      <c r="V628">
        <v>5</v>
      </c>
      <c r="W628">
        <v>2.87</v>
      </c>
      <c r="X628">
        <v>17578686250</v>
      </c>
    </row>
    <row r="629" spans="1:24" x14ac:dyDescent="0.25">
      <c r="A629" t="s">
        <v>648</v>
      </c>
      <c r="B629">
        <v>628</v>
      </c>
      <c r="C629">
        <v>23.9</v>
      </c>
      <c r="D629">
        <v>-1.24</v>
      </c>
      <c r="E629">
        <v>600628</v>
      </c>
      <c r="F629">
        <v>14425972.1</v>
      </c>
      <c r="G629">
        <v>8369747854.5</v>
      </c>
      <c r="H629">
        <v>8.3000000000000007</v>
      </c>
      <c r="I629">
        <v>1.79</v>
      </c>
      <c r="J629">
        <v>1.9678450000000001</v>
      </c>
      <c r="K629">
        <v>1.22</v>
      </c>
      <c r="L629">
        <v>1.5</v>
      </c>
      <c r="M629">
        <v>10.338412999999999</v>
      </c>
      <c r="N629">
        <v>22.975228999999999</v>
      </c>
      <c r="O629">
        <v>3.3471799999999998</v>
      </c>
      <c r="P629">
        <v>5.0999999999999996</v>
      </c>
      <c r="Q629" t="s">
        <v>22</v>
      </c>
      <c r="R629" t="s">
        <v>22</v>
      </c>
      <c r="S629">
        <v>221</v>
      </c>
      <c r="T629">
        <v>320</v>
      </c>
      <c r="U629">
        <v>2.35</v>
      </c>
      <c r="V629">
        <v>5</v>
      </c>
      <c r="W629">
        <v>13.37</v>
      </c>
      <c r="X629">
        <v>350198655</v>
      </c>
    </row>
    <row r="630" spans="1:24" x14ac:dyDescent="0.25">
      <c r="A630" t="s">
        <v>649</v>
      </c>
      <c r="B630">
        <v>629</v>
      </c>
      <c r="C630">
        <v>9.5500000000000007</v>
      </c>
      <c r="D630">
        <v>0.53</v>
      </c>
      <c r="E630">
        <v>2602446</v>
      </c>
      <c r="F630">
        <v>24922478.149999999</v>
      </c>
      <c r="G630">
        <v>8977000000</v>
      </c>
      <c r="H630">
        <v>9.8000000000000007</v>
      </c>
      <c r="I630">
        <v>2.31</v>
      </c>
      <c r="J630">
        <v>0.70064700000000002</v>
      </c>
      <c r="K630">
        <v>0.51</v>
      </c>
      <c r="L630">
        <v>0.44</v>
      </c>
      <c r="M630">
        <v>15.004721999999999</v>
      </c>
      <c r="N630">
        <v>25.007695999999999</v>
      </c>
      <c r="O630">
        <v>32.561613999999999</v>
      </c>
      <c r="P630">
        <v>5.34</v>
      </c>
      <c r="Q630" t="s">
        <v>22</v>
      </c>
      <c r="R630" t="s">
        <v>22</v>
      </c>
      <c r="S630">
        <v>281</v>
      </c>
      <c r="T630">
        <v>282</v>
      </c>
      <c r="U630">
        <v>0.2</v>
      </c>
      <c r="V630">
        <v>3</v>
      </c>
      <c r="W630">
        <v>4.13</v>
      </c>
      <c r="X630">
        <v>940000000</v>
      </c>
    </row>
    <row r="631" spans="1:24" x14ac:dyDescent="0.25">
      <c r="A631" t="s">
        <v>650</v>
      </c>
      <c r="B631">
        <v>630</v>
      </c>
      <c r="C631">
        <v>1.1200000000000001</v>
      </c>
      <c r="D631">
        <v>-0.88</v>
      </c>
      <c r="E631">
        <v>198629</v>
      </c>
      <c r="F631">
        <v>222694.67</v>
      </c>
      <c r="G631">
        <v>2953167728</v>
      </c>
      <c r="H631">
        <v>7.64</v>
      </c>
      <c r="I631">
        <v>0.68</v>
      </c>
      <c r="J631">
        <v>0.58726699999999998</v>
      </c>
      <c r="K631">
        <v>0.02</v>
      </c>
      <c r="L631">
        <v>0.1</v>
      </c>
      <c r="M631">
        <v>7.8769359999999997</v>
      </c>
      <c r="N631">
        <v>9.1066000000000003</v>
      </c>
      <c r="O631">
        <v>6.827407</v>
      </c>
      <c r="P631">
        <v>5.36</v>
      </c>
      <c r="Q631" t="s">
        <v>22</v>
      </c>
      <c r="R631" t="s">
        <v>22</v>
      </c>
      <c r="S631">
        <v>442</v>
      </c>
      <c r="T631">
        <v>381</v>
      </c>
      <c r="U631">
        <v>0.61</v>
      </c>
      <c r="V631">
        <v>5</v>
      </c>
      <c r="W631">
        <v>1.65</v>
      </c>
      <c r="X631">
        <v>2636756900</v>
      </c>
    </row>
    <row r="632" spans="1:24" x14ac:dyDescent="0.25">
      <c r="A632" t="s">
        <v>651</v>
      </c>
      <c r="B632">
        <v>631</v>
      </c>
      <c r="C632">
        <v>9.8000000000000007</v>
      </c>
      <c r="D632">
        <v>2.08</v>
      </c>
      <c r="E632">
        <v>3532766</v>
      </c>
      <c r="F632">
        <v>34494686.549999997</v>
      </c>
      <c r="G632">
        <v>17747998998.799999</v>
      </c>
      <c r="H632">
        <v>13.77</v>
      </c>
      <c r="I632">
        <v>0.75</v>
      </c>
      <c r="J632">
        <v>0.84235099999999996</v>
      </c>
      <c r="K632">
        <v>0.2</v>
      </c>
      <c r="L632">
        <v>0.41</v>
      </c>
      <c r="M632">
        <v>5.0712419999999998</v>
      </c>
      <c r="N632">
        <v>5.5232109999999999</v>
      </c>
      <c r="O632">
        <v>6.0391779999999997</v>
      </c>
      <c r="P632">
        <v>4.08</v>
      </c>
      <c r="Q632" t="s">
        <v>22</v>
      </c>
      <c r="R632" t="s">
        <v>22</v>
      </c>
      <c r="S632">
        <v>1011</v>
      </c>
      <c r="T632">
        <v>958</v>
      </c>
      <c r="U632">
        <v>0.73</v>
      </c>
      <c r="V632">
        <v>5</v>
      </c>
      <c r="W632">
        <v>13.04</v>
      </c>
      <c r="X632">
        <v>1811020306</v>
      </c>
    </row>
    <row r="633" spans="1:24" x14ac:dyDescent="0.25">
      <c r="A633" t="s">
        <v>652</v>
      </c>
      <c r="B633">
        <v>632</v>
      </c>
      <c r="C633">
        <v>0.54</v>
      </c>
      <c r="D633">
        <v>0</v>
      </c>
      <c r="E633">
        <v>4082512</v>
      </c>
      <c r="F633">
        <v>2267342.58</v>
      </c>
      <c r="G633">
        <v>248400000</v>
      </c>
      <c r="H633">
        <v>9.1</v>
      </c>
      <c r="I633">
        <v>0.59</v>
      </c>
      <c r="J633">
        <v>0.33083800000000002</v>
      </c>
      <c r="K633">
        <v>0.03</v>
      </c>
      <c r="L633">
        <v>0.03</v>
      </c>
      <c r="M633">
        <v>5.2648440000000001</v>
      </c>
      <c r="N633">
        <v>6.6067920000000004</v>
      </c>
      <c r="O633">
        <v>4.2947189999999997</v>
      </c>
      <c r="P633">
        <v>5.56</v>
      </c>
      <c r="Q633" t="s">
        <v>22</v>
      </c>
      <c r="R633" t="s">
        <v>22</v>
      </c>
      <c r="S633">
        <v>709</v>
      </c>
      <c r="T633">
        <v>705</v>
      </c>
      <c r="U633">
        <v>0.15</v>
      </c>
      <c r="V633">
        <v>3</v>
      </c>
      <c r="W633">
        <v>0.91</v>
      </c>
      <c r="X633">
        <v>460000000</v>
      </c>
    </row>
    <row r="634" spans="1:24" x14ac:dyDescent="0.25">
      <c r="A634" t="s">
        <v>653</v>
      </c>
      <c r="B634">
        <v>633</v>
      </c>
      <c r="C634">
        <v>0.18</v>
      </c>
      <c r="D634">
        <v>-5.26</v>
      </c>
      <c r="E634">
        <v>162100</v>
      </c>
      <c r="F634">
        <v>29230</v>
      </c>
      <c r="G634">
        <v>200880346.13999999</v>
      </c>
      <c r="H634">
        <v>200880346.13999999</v>
      </c>
      <c r="I634">
        <v>0.37</v>
      </c>
      <c r="J634">
        <v>1.190024</v>
      </c>
      <c r="K634">
        <v>1.4999999999999999E-2</v>
      </c>
      <c r="L634">
        <v>-0.04</v>
      </c>
      <c r="M634">
        <v>-8.142754</v>
      </c>
      <c r="N634">
        <v>-34.157426999999998</v>
      </c>
      <c r="O634">
        <v>-19.683646</v>
      </c>
      <c r="P634">
        <v>0.37</v>
      </c>
      <c r="Q634" t="s">
        <v>22</v>
      </c>
      <c r="R634" t="s">
        <v>22</v>
      </c>
      <c r="V634">
        <v>4</v>
      </c>
      <c r="W634">
        <v>0.49</v>
      </c>
      <c r="X634">
        <v>1116001923</v>
      </c>
    </row>
    <row r="635" spans="1:24" x14ac:dyDescent="0.25">
      <c r="A635" t="s">
        <v>654</v>
      </c>
      <c r="B635">
        <v>634</v>
      </c>
      <c r="C635">
        <v>0.91</v>
      </c>
      <c r="D635">
        <v>2.25</v>
      </c>
      <c r="E635">
        <v>66000</v>
      </c>
      <c r="F635">
        <v>58966</v>
      </c>
      <c r="G635">
        <v>131040000</v>
      </c>
      <c r="H635">
        <v>126720000</v>
      </c>
      <c r="I635">
        <v>1.52</v>
      </c>
      <c r="J635">
        <v>0.18743899999999999</v>
      </c>
      <c r="K635">
        <v>-0.1</v>
      </c>
      <c r="L635">
        <v>-0.1</v>
      </c>
      <c r="M635">
        <v>-19.548228000000002</v>
      </c>
      <c r="N635">
        <v>-24.290685</v>
      </c>
      <c r="O635">
        <v>-21.878579999999999</v>
      </c>
      <c r="P635">
        <v>1.47</v>
      </c>
      <c r="Q635" t="s">
        <v>22</v>
      </c>
      <c r="R635" t="s">
        <v>22</v>
      </c>
      <c r="W635">
        <v>0.6</v>
      </c>
      <c r="X635">
        <v>144000000</v>
      </c>
    </row>
    <row r="636" spans="1:24" x14ac:dyDescent="0.25">
      <c r="A636" t="s">
        <v>655</v>
      </c>
      <c r="B636">
        <v>635</v>
      </c>
      <c r="C636">
        <v>5.2</v>
      </c>
      <c r="D636">
        <v>-0.95</v>
      </c>
      <c r="E636">
        <v>20000</v>
      </c>
      <c r="F636">
        <v>104000</v>
      </c>
      <c r="G636">
        <v>4160000000</v>
      </c>
      <c r="H636">
        <v>24.44</v>
      </c>
      <c r="I636">
        <v>0.96</v>
      </c>
      <c r="J636">
        <v>0.464974</v>
      </c>
      <c r="K636">
        <v>0.4</v>
      </c>
      <c r="L636">
        <v>3.2633505326194241</v>
      </c>
      <c r="M636">
        <v>3.2633510000000001</v>
      </c>
      <c r="N636">
        <v>4.0240859999999996</v>
      </c>
      <c r="O636">
        <v>0.32400299999999999</v>
      </c>
      <c r="P636">
        <v>0.88</v>
      </c>
      <c r="Q636" t="s">
        <v>22</v>
      </c>
      <c r="R636" t="s">
        <v>22</v>
      </c>
      <c r="S636">
        <v>815</v>
      </c>
      <c r="T636">
        <v>758</v>
      </c>
      <c r="U636">
        <v>-1.53</v>
      </c>
      <c r="V636">
        <v>3</v>
      </c>
      <c r="W636">
        <v>5.39</v>
      </c>
      <c r="X636">
        <v>800000000</v>
      </c>
    </row>
    <row r="637" spans="1:24" x14ac:dyDescent="0.25">
      <c r="A637" t="s">
        <v>656</v>
      </c>
      <c r="B637">
        <v>636</v>
      </c>
      <c r="C637">
        <v>8</v>
      </c>
      <c r="D637">
        <v>0</v>
      </c>
      <c r="E637">
        <v>22204</v>
      </c>
      <c r="F637">
        <v>176641.55</v>
      </c>
      <c r="G637">
        <v>16462629192</v>
      </c>
      <c r="H637">
        <v>26.42</v>
      </c>
      <c r="I637">
        <v>2.1</v>
      </c>
      <c r="J637">
        <v>0.19397</v>
      </c>
      <c r="K637">
        <v>0.1</v>
      </c>
      <c r="L637">
        <v>0.14000000000000001</v>
      </c>
      <c r="M637">
        <v>8.4377519999999997</v>
      </c>
      <c r="N637">
        <v>7.9074900000000001</v>
      </c>
      <c r="O637">
        <v>9.9185599999999994</v>
      </c>
      <c r="P637">
        <v>3.15</v>
      </c>
      <c r="Q637" t="s">
        <v>22</v>
      </c>
      <c r="R637" t="s">
        <v>22</v>
      </c>
      <c r="S637">
        <v>922</v>
      </c>
      <c r="T637">
        <v>790</v>
      </c>
      <c r="U637">
        <v>-1.89</v>
      </c>
      <c r="V637">
        <v>5</v>
      </c>
      <c r="W637">
        <v>3.81</v>
      </c>
      <c r="X637">
        <v>2057828649</v>
      </c>
    </row>
    <row r="638" spans="1:24" x14ac:dyDescent="0.25">
      <c r="A638" t="s">
        <v>657</v>
      </c>
      <c r="B638">
        <v>637</v>
      </c>
      <c r="C638">
        <v>18</v>
      </c>
      <c r="D638">
        <v>-1.1000000000000001</v>
      </c>
      <c r="E638">
        <v>395573</v>
      </c>
      <c r="F638">
        <v>7210749.5999999996</v>
      </c>
      <c r="G638">
        <v>12911038272</v>
      </c>
      <c r="H638">
        <v>15.9</v>
      </c>
      <c r="I638">
        <v>2.06</v>
      </c>
      <c r="J638">
        <v>1.198226</v>
      </c>
      <c r="K638">
        <v>0.3</v>
      </c>
      <c r="L638">
        <v>0.67</v>
      </c>
      <c r="M638">
        <v>9.4629379999999994</v>
      </c>
      <c r="N638">
        <v>13.621487999999999</v>
      </c>
      <c r="O638">
        <v>9.5997389999999996</v>
      </c>
      <c r="P638">
        <v>1.67</v>
      </c>
      <c r="Q638" t="s">
        <v>22</v>
      </c>
      <c r="R638" t="s">
        <v>22</v>
      </c>
      <c r="S638">
        <v>666</v>
      </c>
      <c r="T638">
        <v>662</v>
      </c>
      <c r="U638">
        <v>0.11</v>
      </c>
      <c r="V638">
        <v>5</v>
      </c>
      <c r="W638">
        <v>8.73</v>
      </c>
      <c r="X638">
        <v>717279904</v>
      </c>
    </row>
    <row r="639" spans="1:24" x14ac:dyDescent="0.25">
      <c r="A639" t="s">
        <v>658</v>
      </c>
      <c r="B639">
        <v>638</v>
      </c>
      <c r="C639">
        <v>0.48</v>
      </c>
      <c r="D639">
        <v>-7.69</v>
      </c>
      <c r="E639">
        <v>129000</v>
      </c>
      <c r="F639">
        <v>62527</v>
      </c>
      <c r="G639">
        <v>576000000</v>
      </c>
      <c r="H639">
        <v>12.18</v>
      </c>
      <c r="I639">
        <v>0.63</v>
      </c>
      <c r="J639">
        <v>0.14802100000000001</v>
      </c>
      <c r="K639">
        <v>0.02</v>
      </c>
      <c r="L639">
        <v>0.02</v>
      </c>
      <c r="M639">
        <v>5.0975919999999997</v>
      </c>
      <c r="N639">
        <v>5.2982339999999999</v>
      </c>
      <c r="O639">
        <v>8.2416920000000005</v>
      </c>
      <c r="P639">
        <v>0.66</v>
      </c>
      <c r="Q639" t="s">
        <v>22</v>
      </c>
      <c r="R639" t="s">
        <v>22</v>
      </c>
      <c r="S639">
        <v>883</v>
      </c>
      <c r="T639">
        <v>814</v>
      </c>
      <c r="U639">
        <v>-0.09</v>
      </c>
      <c r="W639">
        <v>0.76</v>
      </c>
      <c r="X639">
        <v>1200000000</v>
      </c>
    </row>
    <row r="640" spans="1:24" x14ac:dyDescent="0.25">
      <c r="A640" t="s">
        <v>659</v>
      </c>
      <c r="B640">
        <v>639</v>
      </c>
      <c r="C640">
        <v>0.66</v>
      </c>
      <c r="D640">
        <v>0</v>
      </c>
      <c r="E640">
        <v>1948554</v>
      </c>
      <c r="F640">
        <v>1275466.6399999999</v>
      </c>
      <c r="G640">
        <v>687433981.74000001</v>
      </c>
      <c r="H640">
        <v>26.35</v>
      </c>
      <c r="I640">
        <v>1.19</v>
      </c>
      <c r="J640">
        <v>0.17103299999999999</v>
      </c>
      <c r="K640">
        <v>6.7500000000000004E-2</v>
      </c>
      <c r="L640">
        <v>0.01</v>
      </c>
      <c r="M640">
        <v>5.0767470000000001</v>
      </c>
      <c r="N640">
        <v>4.3301990000000004</v>
      </c>
      <c r="O640">
        <v>4.089728</v>
      </c>
      <c r="P640">
        <v>10.23</v>
      </c>
      <c r="Q640" t="s">
        <v>22</v>
      </c>
      <c r="R640" t="s">
        <v>22</v>
      </c>
      <c r="S640">
        <v>1114</v>
      </c>
      <c r="T640">
        <v>1010</v>
      </c>
      <c r="U640">
        <v>1.05</v>
      </c>
      <c r="W640">
        <v>0.56000000000000005</v>
      </c>
      <c r="X640">
        <v>1041566639</v>
      </c>
    </row>
    <row r="641" spans="1:24" x14ac:dyDescent="0.25">
      <c r="A641" t="s">
        <v>660</v>
      </c>
      <c r="B641">
        <v>640</v>
      </c>
      <c r="C641">
        <v>1.72</v>
      </c>
      <c r="D641">
        <v>6.83</v>
      </c>
      <c r="E641">
        <v>5362958</v>
      </c>
      <c r="F641">
        <v>9464161.5800000001</v>
      </c>
      <c r="G641">
        <v>386456165.24000001</v>
      </c>
      <c r="H641">
        <v>7.3</v>
      </c>
      <c r="I641">
        <v>0.51</v>
      </c>
      <c r="J641">
        <v>0.92111500000000002</v>
      </c>
      <c r="K641">
        <v>6.2420000000000003E-2</v>
      </c>
      <c r="L641">
        <v>-0.01</v>
      </c>
      <c r="M641">
        <v>6.2729419999999996</v>
      </c>
      <c r="N641">
        <v>7.1531390000000004</v>
      </c>
      <c r="O641">
        <v>-0.38047799999999998</v>
      </c>
      <c r="P641">
        <v>3.63</v>
      </c>
      <c r="Q641" t="s">
        <v>22</v>
      </c>
      <c r="R641" t="s">
        <v>22</v>
      </c>
      <c r="S641">
        <v>1300</v>
      </c>
      <c r="T641">
        <v>1230</v>
      </c>
      <c r="U641">
        <v>-0.78</v>
      </c>
      <c r="V641">
        <v>3</v>
      </c>
      <c r="W641">
        <v>3.38</v>
      </c>
      <c r="X641">
        <v>224683817</v>
      </c>
    </row>
    <row r="642" spans="1:24" x14ac:dyDescent="0.25">
      <c r="A642" t="s">
        <v>661</v>
      </c>
      <c r="B642">
        <v>641</v>
      </c>
      <c r="C642">
        <v>3.58</v>
      </c>
      <c r="D642">
        <v>-0.56000000000000005</v>
      </c>
      <c r="E642">
        <v>22700</v>
      </c>
      <c r="F642">
        <v>81222</v>
      </c>
      <c r="G642">
        <v>1897400000</v>
      </c>
      <c r="H642">
        <v>11.73</v>
      </c>
      <c r="I642">
        <v>0.71</v>
      </c>
      <c r="J642">
        <v>0.112959</v>
      </c>
      <c r="K642">
        <v>0.1</v>
      </c>
      <c r="L642">
        <v>0.16</v>
      </c>
      <c r="M642">
        <v>6.6474919999999997</v>
      </c>
      <c r="N642">
        <v>6.0618020000000001</v>
      </c>
      <c r="O642">
        <v>10.225364000000001</v>
      </c>
      <c r="P642">
        <v>6.7</v>
      </c>
      <c r="Q642" t="s">
        <v>22</v>
      </c>
      <c r="R642" t="s">
        <v>22</v>
      </c>
      <c r="S642">
        <v>809</v>
      </c>
      <c r="T642">
        <v>665</v>
      </c>
      <c r="U642">
        <v>-1.1299999999999999</v>
      </c>
      <c r="W642">
        <v>5.07</v>
      </c>
      <c r="X642">
        <v>530000000</v>
      </c>
    </row>
    <row r="643" spans="1:24" x14ac:dyDescent="0.25">
      <c r="A643" t="s">
        <v>662</v>
      </c>
      <c r="B643">
        <v>642</v>
      </c>
      <c r="C643">
        <v>3.48</v>
      </c>
      <c r="D643">
        <v>-0.56999999999999995</v>
      </c>
      <c r="E643">
        <v>131710</v>
      </c>
      <c r="F643">
        <v>461015</v>
      </c>
      <c r="G643">
        <v>3201600000</v>
      </c>
      <c r="H643">
        <v>24.46</v>
      </c>
      <c r="I643">
        <v>1.1399999999999999</v>
      </c>
      <c r="J643">
        <v>0.62699300000000002</v>
      </c>
      <c r="K643">
        <v>0.2</v>
      </c>
      <c r="L643">
        <v>-0.03</v>
      </c>
      <c r="M643">
        <v>3.7382689999999998</v>
      </c>
      <c r="N643">
        <v>5.4962059999999999</v>
      </c>
      <c r="O643">
        <v>-0.49815799999999999</v>
      </c>
      <c r="P643">
        <v>10.06</v>
      </c>
      <c r="Q643" t="s">
        <v>22</v>
      </c>
      <c r="R643" t="s">
        <v>22</v>
      </c>
      <c r="U643">
        <v>0.03</v>
      </c>
      <c r="W643">
        <v>3.05</v>
      </c>
      <c r="X643">
        <v>920000000</v>
      </c>
    </row>
    <row r="644" spans="1:24" x14ac:dyDescent="0.25">
      <c r="A644" t="s">
        <v>663</v>
      </c>
      <c r="B644">
        <v>643</v>
      </c>
      <c r="C644">
        <v>9.9</v>
      </c>
      <c r="D644">
        <v>0.51</v>
      </c>
      <c r="E644">
        <v>130421</v>
      </c>
      <c r="F644">
        <v>1286042.3999999999</v>
      </c>
      <c r="G644">
        <v>5301512696.6999998</v>
      </c>
      <c r="H644">
        <v>8.2200000000000006</v>
      </c>
      <c r="I644">
        <v>1.51</v>
      </c>
      <c r="J644">
        <v>0.23200499999999999</v>
      </c>
      <c r="K644">
        <v>0.45</v>
      </c>
      <c r="L644">
        <v>0.73</v>
      </c>
      <c r="M644">
        <v>16.562422999999999</v>
      </c>
      <c r="N644">
        <v>19.088221000000001</v>
      </c>
      <c r="O644">
        <v>17.470395</v>
      </c>
      <c r="P644">
        <v>7.07</v>
      </c>
      <c r="Q644" t="s">
        <v>22</v>
      </c>
      <c r="R644" t="s">
        <v>22</v>
      </c>
      <c r="S644">
        <v>254</v>
      </c>
      <c r="T644">
        <v>222</v>
      </c>
      <c r="U644">
        <v>1.68</v>
      </c>
      <c r="V644">
        <v>5</v>
      </c>
      <c r="W644">
        <v>6.55</v>
      </c>
      <c r="X644">
        <v>535506333</v>
      </c>
    </row>
    <row r="645" spans="1:24" x14ac:dyDescent="0.25">
      <c r="A645" t="s">
        <v>664</v>
      </c>
      <c r="B645">
        <v>644</v>
      </c>
      <c r="C645">
        <v>6.05</v>
      </c>
      <c r="D645">
        <v>2.54</v>
      </c>
      <c r="E645">
        <v>21618759</v>
      </c>
      <c r="F645">
        <v>128354709.45</v>
      </c>
      <c r="G645">
        <v>5072881821.1499996</v>
      </c>
      <c r="H645">
        <v>4569786103.3500004</v>
      </c>
      <c r="I645">
        <v>2.84</v>
      </c>
      <c r="J645">
        <v>0.37156299999999998</v>
      </c>
      <c r="K645">
        <v>0.03</v>
      </c>
      <c r="L645">
        <v>0.06</v>
      </c>
      <c r="M645">
        <v>0.22120400000000001</v>
      </c>
      <c r="N645">
        <v>-0.39477299999999999</v>
      </c>
      <c r="O645">
        <v>3.7999000000000001</v>
      </c>
      <c r="P645">
        <v>0.5</v>
      </c>
      <c r="Q645" t="s">
        <v>22</v>
      </c>
      <c r="R645" t="s">
        <v>22</v>
      </c>
      <c r="V645">
        <v>4</v>
      </c>
      <c r="W645">
        <v>2.13</v>
      </c>
      <c r="X645">
        <v>838492863</v>
      </c>
    </row>
    <row r="646" spans="1:24" x14ac:dyDescent="0.25">
      <c r="A646" t="s">
        <v>665</v>
      </c>
      <c r="B646">
        <v>645</v>
      </c>
      <c r="C646">
        <v>7.4</v>
      </c>
      <c r="D646">
        <v>-0.67</v>
      </c>
      <c r="E646">
        <v>147800</v>
      </c>
      <c r="F646">
        <v>1080755</v>
      </c>
      <c r="G646">
        <v>2680430508.5999999</v>
      </c>
      <c r="H646">
        <v>6.73</v>
      </c>
      <c r="I646">
        <v>0.48</v>
      </c>
      <c r="J646">
        <v>1.2566269999999999</v>
      </c>
      <c r="K646">
        <v>0.25</v>
      </c>
      <c r="L646">
        <v>0.99</v>
      </c>
      <c r="M646">
        <v>4.7693719999999997</v>
      </c>
      <c r="N646">
        <v>7.3601599999999996</v>
      </c>
      <c r="O646">
        <v>6.4644700000000004</v>
      </c>
      <c r="P646">
        <v>0.48</v>
      </c>
      <c r="Q646" t="s">
        <v>22</v>
      </c>
      <c r="R646" t="s">
        <v>22</v>
      </c>
      <c r="S646">
        <v>483</v>
      </c>
      <c r="T646">
        <v>541</v>
      </c>
      <c r="U646">
        <v>-0.1</v>
      </c>
      <c r="V646">
        <v>5</v>
      </c>
      <c r="W646">
        <v>15.49</v>
      </c>
      <c r="X646">
        <v>362220339</v>
      </c>
    </row>
    <row r="647" spans="1:24" x14ac:dyDescent="0.25">
      <c r="A647" t="s">
        <v>666</v>
      </c>
      <c r="B647">
        <v>646</v>
      </c>
      <c r="C647">
        <v>6.75</v>
      </c>
      <c r="D647">
        <v>0.75</v>
      </c>
      <c r="E647">
        <v>279782</v>
      </c>
      <c r="F647">
        <v>1878006.45</v>
      </c>
      <c r="G647">
        <v>6075034425</v>
      </c>
      <c r="H647">
        <v>17.440000000000001</v>
      </c>
      <c r="I647">
        <v>2.67</v>
      </c>
      <c r="J647">
        <v>1.353761</v>
      </c>
      <c r="K647">
        <v>0.16</v>
      </c>
      <c r="L647">
        <v>0.14000000000000001</v>
      </c>
      <c r="M647">
        <v>8.3534419999999994</v>
      </c>
      <c r="N647">
        <v>14.647563</v>
      </c>
      <c r="O647">
        <v>4.7897590000000001</v>
      </c>
      <c r="P647">
        <v>8.81</v>
      </c>
      <c r="Q647" t="s">
        <v>22</v>
      </c>
      <c r="R647" t="s">
        <v>22</v>
      </c>
      <c r="S647">
        <v>667</v>
      </c>
      <c r="T647">
        <v>745</v>
      </c>
      <c r="U647">
        <v>3.09</v>
      </c>
      <c r="V647">
        <v>5</v>
      </c>
      <c r="W647">
        <v>2.5299999999999998</v>
      </c>
      <c r="X647">
        <v>900005100</v>
      </c>
    </row>
    <row r="648" spans="1:24" x14ac:dyDescent="0.25">
      <c r="A648" t="s">
        <v>667</v>
      </c>
      <c r="B648">
        <v>647</v>
      </c>
      <c r="C648">
        <v>8.75</v>
      </c>
      <c r="D648">
        <v>0.56999999999999995</v>
      </c>
      <c r="E648">
        <v>16432</v>
      </c>
      <c r="F648">
        <v>143000</v>
      </c>
      <c r="G648">
        <v>4503715851.25</v>
      </c>
      <c r="H648">
        <v>18.11</v>
      </c>
      <c r="I648">
        <v>1.88</v>
      </c>
      <c r="J648">
        <v>0.59960899999999995</v>
      </c>
      <c r="K648">
        <v>0.05</v>
      </c>
      <c r="L648">
        <v>0.12</v>
      </c>
      <c r="M648">
        <v>8.1248070000000006</v>
      </c>
      <c r="N648">
        <v>10.367492</v>
      </c>
      <c r="O648">
        <v>2.4108710000000002</v>
      </c>
      <c r="P648">
        <v>5.71</v>
      </c>
      <c r="Q648" t="s">
        <v>22</v>
      </c>
      <c r="R648" t="s">
        <v>22</v>
      </c>
      <c r="S648">
        <v>788</v>
      </c>
      <c r="T648">
        <v>759</v>
      </c>
      <c r="U648">
        <v>-9.2899999999999991</v>
      </c>
      <c r="V648">
        <v>5</v>
      </c>
      <c r="W648">
        <v>4.6500000000000004</v>
      </c>
      <c r="X648">
        <v>514710383</v>
      </c>
    </row>
    <row r="649" spans="1:24" x14ac:dyDescent="0.25">
      <c r="A649" t="s">
        <v>668</v>
      </c>
      <c r="B649">
        <v>648</v>
      </c>
      <c r="C649">
        <v>4.32</v>
      </c>
      <c r="D649">
        <v>-1.37</v>
      </c>
      <c r="E649">
        <v>1600</v>
      </c>
      <c r="F649">
        <v>6912</v>
      </c>
      <c r="G649">
        <v>1749600000</v>
      </c>
      <c r="H649">
        <v>16.010000000000002</v>
      </c>
      <c r="I649">
        <v>2.02</v>
      </c>
      <c r="J649">
        <v>0.12682499999999999</v>
      </c>
      <c r="K649">
        <v>0.19</v>
      </c>
      <c r="L649">
        <v>0.11</v>
      </c>
      <c r="M649">
        <v>13.500007999999999</v>
      </c>
      <c r="N649">
        <v>12.658299</v>
      </c>
      <c r="O649">
        <v>17.071404000000001</v>
      </c>
      <c r="P649">
        <v>6.02</v>
      </c>
      <c r="Q649" t="s">
        <v>22</v>
      </c>
      <c r="R649" t="s">
        <v>22</v>
      </c>
      <c r="S649">
        <v>646</v>
      </c>
      <c r="T649">
        <v>538</v>
      </c>
      <c r="U649">
        <v>0.4</v>
      </c>
      <c r="V649">
        <v>3</v>
      </c>
      <c r="W649">
        <v>2.14</v>
      </c>
      <c r="X649">
        <v>405000000</v>
      </c>
    </row>
    <row r="650" spans="1:24" x14ac:dyDescent="0.25">
      <c r="A650" t="s">
        <v>669</v>
      </c>
      <c r="B650">
        <v>649</v>
      </c>
      <c r="C650">
        <v>4.76</v>
      </c>
      <c r="D650">
        <v>-1.24</v>
      </c>
      <c r="E650">
        <v>205394</v>
      </c>
      <c r="F650">
        <v>981721.4</v>
      </c>
      <c r="G650">
        <v>2266474019.04</v>
      </c>
      <c r="H650">
        <v>11.55</v>
      </c>
      <c r="I650">
        <v>1.99</v>
      </c>
      <c r="J650">
        <v>1.254664</v>
      </c>
      <c r="K650">
        <v>0.18</v>
      </c>
      <c r="L650">
        <v>0.22</v>
      </c>
      <c r="M650">
        <v>9.5442540000000005</v>
      </c>
      <c r="N650">
        <v>17.215112000000001</v>
      </c>
      <c r="O650">
        <v>7.3236220000000003</v>
      </c>
      <c r="P650">
        <v>8.0299999999999994</v>
      </c>
      <c r="Q650" t="s">
        <v>22</v>
      </c>
      <c r="R650" t="s">
        <v>22</v>
      </c>
      <c r="S650">
        <v>326</v>
      </c>
      <c r="T650">
        <v>378</v>
      </c>
      <c r="U650">
        <v>0.96</v>
      </c>
      <c r="V650">
        <v>5</v>
      </c>
      <c r="W650">
        <v>2.39</v>
      </c>
      <c r="X650">
        <v>476150004</v>
      </c>
    </row>
    <row r="651" spans="1:24" x14ac:dyDescent="0.25">
      <c r="A651" t="s">
        <v>670</v>
      </c>
      <c r="B651">
        <v>650</v>
      </c>
      <c r="C651">
        <v>0.23</v>
      </c>
      <c r="D651">
        <v>-4.17</v>
      </c>
      <c r="E651">
        <v>725672</v>
      </c>
      <c r="F651">
        <v>168398.86</v>
      </c>
      <c r="G651">
        <v>300637771.12</v>
      </c>
      <c r="H651">
        <v>300637771.12</v>
      </c>
      <c r="I651">
        <v>1.53</v>
      </c>
      <c r="J651">
        <v>5.2389760000000001</v>
      </c>
      <c r="K651">
        <v>-0.06</v>
      </c>
      <c r="L651">
        <v>-0.06</v>
      </c>
      <c r="M651">
        <v>-33.751612999999999</v>
      </c>
      <c r="N651">
        <v>-111.675613</v>
      </c>
      <c r="O651">
        <v>-39.036028000000002</v>
      </c>
      <c r="P651">
        <v>1.53</v>
      </c>
      <c r="Q651" t="s">
        <v>22</v>
      </c>
      <c r="R651" t="s">
        <v>22</v>
      </c>
      <c r="W651">
        <v>0.15</v>
      </c>
      <c r="X651">
        <v>1307120744</v>
      </c>
    </row>
    <row r="652" spans="1:24" x14ac:dyDescent="0.25">
      <c r="A652" t="s">
        <v>671</v>
      </c>
      <c r="B652">
        <v>651</v>
      </c>
      <c r="C652">
        <v>1.53</v>
      </c>
      <c r="D652">
        <v>0</v>
      </c>
      <c r="E652">
        <v>206001</v>
      </c>
      <c r="F652">
        <v>315074.52</v>
      </c>
      <c r="G652">
        <v>1289313851.76</v>
      </c>
      <c r="H652">
        <v>8.33</v>
      </c>
      <c r="I652">
        <v>0.76</v>
      </c>
      <c r="J652">
        <v>0.27808500000000003</v>
      </c>
      <c r="K652">
        <v>0.06</v>
      </c>
      <c r="L652">
        <v>0.1</v>
      </c>
      <c r="M652">
        <v>9.4861070000000005</v>
      </c>
      <c r="N652">
        <v>9.1951499999999999</v>
      </c>
      <c r="O652">
        <v>7.5709549999999997</v>
      </c>
      <c r="P652">
        <v>4.08</v>
      </c>
      <c r="Q652" t="s">
        <v>22</v>
      </c>
      <c r="R652" t="s">
        <v>22</v>
      </c>
      <c r="S652">
        <v>633</v>
      </c>
      <c r="T652">
        <v>510</v>
      </c>
      <c r="U652">
        <v>-2.33</v>
      </c>
      <c r="V652">
        <v>5</v>
      </c>
      <c r="W652">
        <v>2.02</v>
      </c>
      <c r="X652">
        <v>842688792</v>
      </c>
    </row>
    <row r="653" spans="1:24" x14ac:dyDescent="0.25">
      <c r="A653" t="s">
        <v>672</v>
      </c>
      <c r="B653">
        <v>652</v>
      </c>
      <c r="C653">
        <v>3.4</v>
      </c>
      <c r="D653">
        <v>0</v>
      </c>
      <c r="E653">
        <v>158916</v>
      </c>
      <c r="F653">
        <v>536146.66</v>
      </c>
      <c r="G653">
        <v>1099560000</v>
      </c>
      <c r="H653">
        <v>26.67</v>
      </c>
      <c r="I653">
        <v>0.83</v>
      </c>
      <c r="J653">
        <v>1.5643419999999999</v>
      </c>
      <c r="K653">
        <v>0.25</v>
      </c>
      <c r="L653">
        <v>2.1468362399328318</v>
      </c>
      <c r="M653">
        <v>2.146836</v>
      </c>
      <c r="N653">
        <v>3.0408529999999998</v>
      </c>
      <c r="O653">
        <v>-0.437164</v>
      </c>
      <c r="P653">
        <v>7.35</v>
      </c>
      <c r="Q653" t="s">
        <v>22</v>
      </c>
      <c r="R653" t="s">
        <v>22</v>
      </c>
      <c r="S653">
        <v>1201</v>
      </c>
      <c r="T653">
        <v>1222</v>
      </c>
      <c r="U653">
        <v>1.61</v>
      </c>
      <c r="V653">
        <v>3</v>
      </c>
      <c r="W653">
        <v>4.0999999999999996</v>
      </c>
      <c r="X653">
        <v>323400000</v>
      </c>
    </row>
    <row r="654" spans="1:24" x14ac:dyDescent="0.25">
      <c r="A654" t="s">
        <v>673</v>
      </c>
      <c r="B654">
        <v>653</v>
      </c>
      <c r="C654">
        <v>3.12</v>
      </c>
      <c r="D654">
        <v>0</v>
      </c>
      <c r="E654">
        <v>502010</v>
      </c>
      <c r="F654">
        <v>1567687.26</v>
      </c>
      <c r="G654">
        <v>4001397266.8800001</v>
      </c>
      <c r="H654">
        <v>20.34</v>
      </c>
      <c r="I654">
        <v>3.2</v>
      </c>
      <c r="J654">
        <v>1.1118809999999999</v>
      </c>
      <c r="K654">
        <v>0.1</v>
      </c>
      <c r="L654">
        <v>7.0000000000000007E-2</v>
      </c>
      <c r="M654">
        <v>11.788570999999999</v>
      </c>
      <c r="N654">
        <v>16.347615000000001</v>
      </c>
      <c r="O654">
        <v>10.243923000000001</v>
      </c>
      <c r="P654">
        <v>3.21</v>
      </c>
      <c r="Q654" t="s">
        <v>22</v>
      </c>
      <c r="R654" t="s">
        <v>22</v>
      </c>
      <c r="S654">
        <v>708</v>
      </c>
      <c r="T654">
        <v>700</v>
      </c>
      <c r="U654">
        <v>-0.14000000000000001</v>
      </c>
      <c r="V654">
        <v>4</v>
      </c>
      <c r="W654">
        <v>0.97</v>
      </c>
      <c r="X654">
        <v>1282499124</v>
      </c>
    </row>
    <row r="655" spans="1:24" x14ac:dyDescent="0.25">
      <c r="A655" t="s">
        <v>674</v>
      </c>
      <c r="B655">
        <v>654</v>
      </c>
      <c r="C655">
        <v>1.67</v>
      </c>
      <c r="D655">
        <v>-2.34</v>
      </c>
      <c r="E655">
        <v>243601</v>
      </c>
      <c r="F655">
        <v>411923.7</v>
      </c>
      <c r="G655">
        <v>501000000</v>
      </c>
      <c r="H655">
        <v>10.29</v>
      </c>
      <c r="I655">
        <v>0.68</v>
      </c>
      <c r="J655">
        <v>0.76486100000000001</v>
      </c>
      <c r="K655">
        <v>0.08</v>
      </c>
      <c r="L655">
        <v>0.08</v>
      </c>
      <c r="M655">
        <v>4.6126950000000004</v>
      </c>
      <c r="N655">
        <v>6.7998760000000003</v>
      </c>
      <c r="O655">
        <v>4.3295329999999996</v>
      </c>
      <c r="P655">
        <v>0.71</v>
      </c>
      <c r="Q655" t="s">
        <v>22</v>
      </c>
      <c r="R655" t="s">
        <v>22</v>
      </c>
      <c r="S655">
        <v>725</v>
      </c>
      <c r="T655">
        <v>772</v>
      </c>
      <c r="U655">
        <v>0.18</v>
      </c>
      <c r="W655">
        <v>2.46</v>
      </c>
      <c r="X655">
        <v>300000000</v>
      </c>
    </row>
    <row r="656" spans="1:24" x14ac:dyDescent="0.25">
      <c r="A656" t="s">
        <v>675</v>
      </c>
      <c r="B656">
        <v>655</v>
      </c>
      <c r="C656">
        <v>16.5</v>
      </c>
      <c r="D656">
        <v>2.48</v>
      </c>
      <c r="E656">
        <v>12473737</v>
      </c>
      <c r="F656">
        <v>204224867.69999999</v>
      </c>
      <c r="G656">
        <v>32225391495</v>
      </c>
      <c r="H656">
        <v>6.89</v>
      </c>
      <c r="I656">
        <v>0.56000000000000005</v>
      </c>
      <c r="J656">
        <v>0.81512799999999996</v>
      </c>
      <c r="K656">
        <v>0.55000000000000004</v>
      </c>
      <c r="L656">
        <v>1.0900000000000001</v>
      </c>
      <c r="M656">
        <v>6.2165239999999997</v>
      </c>
      <c r="N656">
        <v>8.3769600000000004</v>
      </c>
      <c r="O656">
        <v>18.841875000000002</v>
      </c>
      <c r="P656">
        <v>7.53</v>
      </c>
      <c r="Q656" t="s">
        <v>22</v>
      </c>
      <c r="R656" t="s">
        <v>22</v>
      </c>
      <c r="S656">
        <v>524</v>
      </c>
      <c r="T656">
        <v>508</v>
      </c>
      <c r="U656">
        <v>-0.72</v>
      </c>
      <c r="V656">
        <v>5</v>
      </c>
      <c r="W656">
        <v>29.56</v>
      </c>
      <c r="X656">
        <v>1953054030</v>
      </c>
    </row>
    <row r="657" spans="1:24" x14ac:dyDescent="0.25">
      <c r="A657" t="s">
        <v>676</v>
      </c>
      <c r="B657">
        <v>656</v>
      </c>
      <c r="C657">
        <v>56</v>
      </c>
      <c r="D657">
        <v>-0.44</v>
      </c>
      <c r="E657">
        <v>15907</v>
      </c>
      <c r="F657">
        <v>891618.75</v>
      </c>
      <c r="G657">
        <v>18480000000</v>
      </c>
      <c r="H657">
        <v>7.17</v>
      </c>
      <c r="I657">
        <v>0.62</v>
      </c>
      <c r="J657">
        <v>0.29732399999999998</v>
      </c>
      <c r="K657">
        <v>1.6</v>
      </c>
      <c r="L657">
        <v>4.3099999999999996</v>
      </c>
      <c r="M657">
        <v>8.3658319999999993</v>
      </c>
      <c r="N657">
        <v>8.9136729999999993</v>
      </c>
      <c r="O657">
        <v>7.344201</v>
      </c>
      <c r="P657">
        <v>4.29</v>
      </c>
      <c r="Q657" t="s">
        <v>22</v>
      </c>
      <c r="R657" t="s">
        <v>22</v>
      </c>
      <c r="S657">
        <v>417</v>
      </c>
      <c r="T657">
        <v>328</v>
      </c>
      <c r="U657">
        <v>0.57999999999999996</v>
      </c>
      <c r="V657">
        <v>5</v>
      </c>
      <c r="W657">
        <v>90.4</v>
      </c>
      <c r="X657">
        <v>330000000</v>
      </c>
    </row>
    <row r="658" spans="1:24" x14ac:dyDescent="0.25">
      <c r="A658" t="s">
        <v>677</v>
      </c>
      <c r="B658">
        <v>657</v>
      </c>
      <c r="C658">
        <v>11.1</v>
      </c>
      <c r="D658">
        <v>-4.3099999999999996</v>
      </c>
      <c r="E658">
        <v>26396814</v>
      </c>
      <c r="F658">
        <v>308320270.10000002</v>
      </c>
      <c r="G658">
        <v>11719269000</v>
      </c>
      <c r="H658">
        <v>31.59</v>
      </c>
      <c r="I658">
        <v>0.73</v>
      </c>
      <c r="J658">
        <v>9.7339999999999996E-3</v>
      </c>
      <c r="K658">
        <v>0.26</v>
      </c>
      <c r="L658">
        <v>0.21</v>
      </c>
      <c r="M658">
        <v>2.173699</v>
      </c>
      <c r="N658">
        <v>2.1722049999999999</v>
      </c>
      <c r="O658">
        <v>27.955577999999999</v>
      </c>
      <c r="P658">
        <v>19.46</v>
      </c>
      <c r="Q658" t="s">
        <v>22</v>
      </c>
      <c r="R658" t="s">
        <v>22</v>
      </c>
      <c r="S658">
        <v>1225</v>
      </c>
      <c r="T658">
        <v>1229</v>
      </c>
      <c r="U658">
        <v>-0.83</v>
      </c>
      <c r="V658">
        <v>5</v>
      </c>
      <c r="W658">
        <v>15.28</v>
      </c>
      <c r="X658">
        <v>1055790000</v>
      </c>
    </row>
    <row r="659" spans="1:24" x14ac:dyDescent="0.25">
      <c r="A659" t="s">
        <v>678</v>
      </c>
      <c r="B659">
        <v>658</v>
      </c>
      <c r="C659">
        <v>11.8</v>
      </c>
      <c r="D659">
        <v>2.61</v>
      </c>
      <c r="E659">
        <v>2800</v>
      </c>
      <c r="F659">
        <v>32840</v>
      </c>
      <c r="G659">
        <v>4071000000</v>
      </c>
      <c r="H659">
        <v>11.7</v>
      </c>
      <c r="I659">
        <v>0.71</v>
      </c>
      <c r="J659">
        <v>8.3799999999999999E-2</v>
      </c>
      <c r="K659">
        <v>0.8</v>
      </c>
      <c r="L659">
        <v>0.64</v>
      </c>
      <c r="M659">
        <v>7.1293990000000003</v>
      </c>
      <c r="N659">
        <v>6.110195</v>
      </c>
      <c r="O659">
        <v>18.307380999999999</v>
      </c>
      <c r="P659">
        <v>6.78</v>
      </c>
      <c r="Q659" t="s">
        <v>22</v>
      </c>
      <c r="R659" t="s">
        <v>22</v>
      </c>
      <c r="S659">
        <v>770</v>
      </c>
      <c r="T659">
        <v>597</v>
      </c>
      <c r="U659">
        <v>-1.89</v>
      </c>
      <c r="W659">
        <v>16.59</v>
      </c>
      <c r="X659">
        <v>345000000</v>
      </c>
    </row>
    <row r="660" spans="1:24" x14ac:dyDescent="0.25">
      <c r="A660" t="s">
        <v>679</v>
      </c>
      <c r="B660">
        <v>659</v>
      </c>
      <c r="C660">
        <v>33.75</v>
      </c>
      <c r="D660">
        <v>0</v>
      </c>
      <c r="E660">
        <v>113</v>
      </c>
      <c r="F660">
        <v>3830.25</v>
      </c>
      <c r="G660">
        <v>43430923203.75</v>
      </c>
      <c r="H660">
        <v>25.9</v>
      </c>
      <c r="I660">
        <v>0.86</v>
      </c>
      <c r="J660">
        <v>0.44677899999999998</v>
      </c>
      <c r="K660">
        <v>0.2</v>
      </c>
      <c r="L660">
        <v>0.87</v>
      </c>
      <c r="M660">
        <v>3.110986</v>
      </c>
      <c r="N660">
        <v>3.3491460000000002</v>
      </c>
      <c r="O660">
        <v>58.826723000000001</v>
      </c>
      <c r="P660">
        <v>0.79</v>
      </c>
      <c r="Q660" t="s">
        <v>22</v>
      </c>
      <c r="R660" t="s">
        <v>22</v>
      </c>
      <c r="S660">
        <v>1198</v>
      </c>
      <c r="T660">
        <v>1178</v>
      </c>
      <c r="U660">
        <v>-3.09</v>
      </c>
      <c r="V660">
        <v>5</v>
      </c>
      <c r="W660">
        <v>39.35</v>
      </c>
      <c r="X660">
        <v>1286842169</v>
      </c>
    </row>
    <row r="661" spans="1:24" x14ac:dyDescent="0.25">
      <c r="A661" t="s">
        <v>680</v>
      </c>
      <c r="B661">
        <v>660</v>
      </c>
      <c r="C661">
        <v>12.8</v>
      </c>
      <c r="D661">
        <v>0</v>
      </c>
      <c r="E661">
        <v>30338091</v>
      </c>
      <c r="F661">
        <v>388767391.5</v>
      </c>
      <c r="G661">
        <v>55499547200</v>
      </c>
      <c r="H661">
        <v>3.27</v>
      </c>
      <c r="I661">
        <v>1.04</v>
      </c>
      <c r="J661">
        <v>0.44464399999999998</v>
      </c>
      <c r="K661">
        <v>0.3</v>
      </c>
      <c r="L661">
        <v>3.29</v>
      </c>
      <c r="M661">
        <v>30.572741000000001</v>
      </c>
      <c r="N661">
        <v>37.665348000000002</v>
      </c>
      <c r="O661">
        <v>10.540409</v>
      </c>
      <c r="P661">
        <v>3.52</v>
      </c>
      <c r="Q661" t="s">
        <v>22</v>
      </c>
      <c r="R661" t="s">
        <v>22</v>
      </c>
      <c r="S661">
        <v>125</v>
      </c>
      <c r="T661">
        <v>111</v>
      </c>
      <c r="U661">
        <v>-7.0000000000000007E-2</v>
      </c>
      <c r="V661">
        <v>5</v>
      </c>
      <c r="W661">
        <v>12.25</v>
      </c>
      <c r="X661">
        <v>4335902125</v>
      </c>
    </row>
    <row r="662" spans="1:24" x14ac:dyDescent="0.25">
      <c r="A662" t="s">
        <v>681</v>
      </c>
      <c r="B662">
        <v>661</v>
      </c>
      <c r="C662">
        <v>1.5</v>
      </c>
      <c r="D662">
        <v>0</v>
      </c>
      <c r="E662">
        <v>148400</v>
      </c>
      <c r="F662">
        <v>222882</v>
      </c>
      <c r="G662">
        <v>1110000000</v>
      </c>
      <c r="H662">
        <v>6.26</v>
      </c>
      <c r="I662">
        <v>1.1200000000000001</v>
      </c>
      <c r="J662">
        <v>5.1033600000000003</v>
      </c>
      <c r="K662">
        <v>0.12</v>
      </c>
      <c r="L662">
        <v>0.09</v>
      </c>
      <c r="M662">
        <v>6.2941440000000002</v>
      </c>
      <c r="N662">
        <v>18.685929000000002</v>
      </c>
      <c r="O662">
        <v>8.5411859999999997</v>
      </c>
      <c r="P662">
        <v>8</v>
      </c>
      <c r="Q662" t="s">
        <v>22</v>
      </c>
      <c r="R662" t="s">
        <v>22</v>
      </c>
      <c r="S662">
        <v>219</v>
      </c>
      <c r="T662">
        <v>403</v>
      </c>
      <c r="U662">
        <v>2.74</v>
      </c>
      <c r="V662">
        <v>3</v>
      </c>
      <c r="W662">
        <v>1.34</v>
      </c>
      <c r="X662">
        <v>740000000</v>
      </c>
    </row>
    <row r="663" spans="1:24" x14ac:dyDescent="0.25">
      <c r="A663" t="s">
        <v>682</v>
      </c>
      <c r="B663">
        <v>662</v>
      </c>
      <c r="C663">
        <v>0.01</v>
      </c>
      <c r="D663">
        <v>0</v>
      </c>
      <c r="E663">
        <v>1763541</v>
      </c>
      <c r="F663">
        <v>17635.41</v>
      </c>
      <c r="G663">
        <v>2136448815.4100001</v>
      </c>
      <c r="H663">
        <v>2136448815.4100001</v>
      </c>
      <c r="I663">
        <v>2</v>
      </c>
      <c r="J663">
        <v>1.0850230000000001</v>
      </c>
      <c r="L663">
        <v>-3.1488859355744325</v>
      </c>
      <c r="M663">
        <v>-3.1488860000000001</v>
      </c>
      <c r="N663">
        <v>-32.073459</v>
      </c>
      <c r="O663">
        <v>-173.68185199999999</v>
      </c>
      <c r="P663">
        <v>2</v>
      </c>
      <c r="Q663" t="s">
        <v>22</v>
      </c>
      <c r="R663" t="s">
        <v>22</v>
      </c>
      <c r="W663">
        <v>0.01</v>
      </c>
      <c r="X663">
        <v>213644881541</v>
      </c>
    </row>
    <row r="664" spans="1:24" x14ac:dyDescent="0.25">
      <c r="A664" t="s">
        <v>683</v>
      </c>
      <c r="B664">
        <v>663</v>
      </c>
      <c r="C664">
        <v>3.82</v>
      </c>
      <c r="D664">
        <v>1.06</v>
      </c>
      <c r="E664">
        <v>695561</v>
      </c>
      <c r="F664">
        <v>2671830.44</v>
      </c>
      <c r="G664">
        <v>1528000000</v>
      </c>
      <c r="H664">
        <v>9.09</v>
      </c>
      <c r="I664">
        <v>2.2200000000000002</v>
      </c>
      <c r="J664">
        <v>0.72496099999999997</v>
      </c>
      <c r="K664">
        <v>0.14499999999999999</v>
      </c>
      <c r="L664">
        <v>0.27</v>
      </c>
      <c r="M664">
        <v>17.416979000000001</v>
      </c>
      <c r="N664">
        <v>26.579815</v>
      </c>
      <c r="O664">
        <v>2.6770290000000001</v>
      </c>
      <c r="P664">
        <v>3.8</v>
      </c>
      <c r="Q664" t="s">
        <v>22</v>
      </c>
      <c r="R664" t="s">
        <v>22</v>
      </c>
      <c r="S664">
        <v>234</v>
      </c>
      <c r="T664">
        <v>235</v>
      </c>
      <c r="U664">
        <v>0.94</v>
      </c>
      <c r="V664">
        <v>4</v>
      </c>
      <c r="W664">
        <v>1.72</v>
      </c>
      <c r="X664">
        <v>400000000</v>
      </c>
    </row>
    <row r="665" spans="1:24" x14ac:dyDescent="0.25">
      <c r="A665" t="s">
        <v>684</v>
      </c>
      <c r="B665">
        <v>664</v>
      </c>
      <c r="C665">
        <v>0.17</v>
      </c>
      <c r="D665">
        <v>6.25</v>
      </c>
      <c r="E665">
        <v>230800</v>
      </c>
      <c r="F665">
        <v>39056</v>
      </c>
      <c r="G665">
        <v>195357200</v>
      </c>
      <c r="H665">
        <v>195357200</v>
      </c>
      <c r="I665">
        <v>0.14000000000000001</v>
      </c>
      <c r="J665">
        <v>4.2241499999999998</v>
      </c>
      <c r="K665">
        <v>0.05</v>
      </c>
      <c r="L665">
        <v>-0.39</v>
      </c>
      <c r="M665">
        <v>-13.064398000000001</v>
      </c>
      <c r="N665">
        <v>-64.233997000000002</v>
      </c>
      <c r="O665">
        <v>-40.375436999999998</v>
      </c>
      <c r="P665">
        <v>0.14000000000000001</v>
      </c>
      <c r="Q665" t="s">
        <v>22</v>
      </c>
      <c r="R665" t="s">
        <v>22</v>
      </c>
      <c r="W665">
        <v>1.22</v>
      </c>
      <c r="X665">
        <v>1149160000</v>
      </c>
    </row>
    <row r="666" spans="1:24" x14ac:dyDescent="0.25">
      <c r="A666" t="s">
        <v>685</v>
      </c>
      <c r="B666">
        <v>665</v>
      </c>
      <c r="C666">
        <v>0.4</v>
      </c>
      <c r="D666">
        <v>-2.44</v>
      </c>
      <c r="E666">
        <v>40403</v>
      </c>
      <c r="F666">
        <v>16550.2</v>
      </c>
      <c r="G666">
        <v>270680000</v>
      </c>
      <c r="H666">
        <v>263913000</v>
      </c>
      <c r="I666">
        <v>0.44</v>
      </c>
      <c r="J666">
        <v>2.125515</v>
      </c>
      <c r="K666">
        <v>0.03</v>
      </c>
      <c r="L666">
        <v>0.03</v>
      </c>
      <c r="M666">
        <v>3.0675919999999999</v>
      </c>
      <c r="N666">
        <v>-0.35955300000000001</v>
      </c>
      <c r="O666">
        <v>3.4445899999999998</v>
      </c>
      <c r="P666">
        <v>0.43</v>
      </c>
      <c r="Q666" t="s">
        <v>22</v>
      </c>
      <c r="R666" t="s">
        <v>22</v>
      </c>
      <c r="V666">
        <v>5</v>
      </c>
      <c r="W666">
        <v>0.92</v>
      </c>
      <c r="X666">
        <v>676700000</v>
      </c>
    </row>
    <row r="667" spans="1:24" x14ac:dyDescent="0.25">
      <c r="A667" t="s">
        <v>686</v>
      </c>
      <c r="B667">
        <v>666</v>
      </c>
      <c r="C667">
        <v>18.2</v>
      </c>
      <c r="D667">
        <v>-5.21</v>
      </c>
      <c r="E667">
        <v>578738</v>
      </c>
      <c r="F667">
        <v>10546713.199999999</v>
      </c>
      <c r="G667">
        <v>5639797800</v>
      </c>
      <c r="H667">
        <v>3.27</v>
      </c>
      <c r="I667">
        <v>2.7</v>
      </c>
      <c r="J667">
        <v>0.53501600000000005</v>
      </c>
      <c r="K667">
        <v>1</v>
      </c>
      <c r="L667">
        <v>2.2000000000000002</v>
      </c>
      <c r="M667">
        <v>78.368893</v>
      </c>
      <c r="N667">
        <v>112.529228</v>
      </c>
      <c r="O667">
        <v>25.458786</v>
      </c>
      <c r="P667">
        <v>5.49</v>
      </c>
      <c r="Q667" t="s">
        <v>22</v>
      </c>
      <c r="R667" t="s">
        <v>22</v>
      </c>
      <c r="S667">
        <v>37</v>
      </c>
      <c r="T667">
        <v>30</v>
      </c>
      <c r="U667">
        <v>-0.02</v>
      </c>
      <c r="W667">
        <v>6.73</v>
      </c>
      <c r="X667">
        <v>309879000</v>
      </c>
    </row>
    <row r="668" spans="1:24" x14ac:dyDescent="0.25">
      <c r="A668" t="s">
        <v>687</v>
      </c>
      <c r="B668">
        <v>667</v>
      </c>
      <c r="C668">
        <v>2.52</v>
      </c>
      <c r="D668">
        <v>-1.56</v>
      </c>
      <c r="E668">
        <v>68310</v>
      </c>
      <c r="F668">
        <v>174237</v>
      </c>
      <c r="G668">
        <v>403200000</v>
      </c>
      <c r="H668">
        <v>31.42</v>
      </c>
      <c r="I668">
        <v>0.59</v>
      </c>
      <c r="J668">
        <v>0.86311400000000005</v>
      </c>
      <c r="K668">
        <v>0.05</v>
      </c>
      <c r="L668">
        <v>0.17</v>
      </c>
      <c r="M668">
        <v>1.848274</v>
      </c>
      <c r="N668">
        <v>1.8803380000000001</v>
      </c>
      <c r="O668">
        <v>4.930987</v>
      </c>
      <c r="P668">
        <v>0.55000000000000004</v>
      </c>
      <c r="Q668" t="s">
        <v>22</v>
      </c>
      <c r="R668" t="s">
        <v>22</v>
      </c>
      <c r="V668">
        <v>4</v>
      </c>
      <c r="W668">
        <v>4.3099999999999996</v>
      </c>
      <c r="X668">
        <v>160000000</v>
      </c>
    </row>
    <row r="669" spans="1:24" x14ac:dyDescent="0.25">
      <c r="A669" t="s">
        <v>688</v>
      </c>
      <c r="B669">
        <v>668</v>
      </c>
      <c r="C669">
        <v>5.0999999999999996</v>
      </c>
      <c r="D669">
        <v>0.99</v>
      </c>
      <c r="E669">
        <v>5200</v>
      </c>
      <c r="F669">
        <v>26520</v>
      </c>
      <c r="G669">
        <v>1376994900</v>
      </c>
      <c r="H669">
        <v>16.190000000000001</v>
      </c>
      <c r="I669">
        <v>0.74</v>
      </c>
      <c r="J669">
        <v>0.58321800000000001</v>
      </c>
      <c r="K669">
        <v>0.37040000000000001</v>
      </c>
      <c r="L669">
        <v>0.14000000000000001</v>
      </c>
      <c r="M669">
        <v>5.2825100000000003</v>
      </c>
      <c r="N669">
        <v>4.4776959999999999</v>
      </c>
      <c r="O669">
        <v>2.8534510000000002</v>
      </c>
      <c r="P669">
        <v>7.26</v>
      </c>
      <c r="Q669" t="s">
        <v>22</v>
      </c>
      <c r="R669" t="s">
        <v>22</v>
      </c>
      <c r="S669">
        <v>749</v>
      </c>
      <c r="T669">
        <v>589</v>
      </c>
      <c r="U669">
        <v>13.18</v>
      </c>
      <c r="V669">
        <v>5</v>
      </c>
      <c r="W669">
        <v>6.85</v>
      </c>
      <c r="X669">
        <v>269999000</v>
      </c>
    </row>
    <row r="670" spans="1:24" x14ac:dyDescent="0.25">
      <c r="A670" t="s">
        <v>689</v>
      </c>
      <c r="B670">
        <v>669</v>
      </c>
      <c r="C670">
        <v>5.15</v>
      </c>
      <c r="D670">
        <v>1.98</v>
      </c>
      <c r="E670">
        <v>332442</v>
      </c>
      <c r="F670">
        <v>1696303.05</v>
      </c>
      <c r="G670">
        <v>6431452035.6999998</v>
      </c>
      <c r="H670">
        <v>9.6999999999999993</v>
      </c>
      <c r="I670">
        <v>0.83</v>
      </c>
      <c r="J670">
        <v>2.4655909999999999</v>
      </c>
      <c r="K670">
        <v>0.20499999999999999</v>
      </c>
      <c r="L670">
        <v>0.26</v>
      </c>
      <c r="M670">
        <v>4.9710179999999999</v>
      </c>
      <c r="N670">
        <v>8.763382</v>
      </c>
      <c r="O670">
        <v>19.709987999999999</v>
      </c>
      <c r="P670">
        <v>3.98</v>
      </c>
      <c r="Q670" t="s">
        <v>22</v>
      </c>
      <c r="R670" t="s">
        <v>22</v>
      </c>
      <c r="S670">
        <v>648</v>
      </c>
      <c r="T670">
        <v>704</v>
      </c>
      <c r="U670">
        <v>-2.1800000000000002</v>
      </c>
      <c r="V670">
        <v>5</v>
      </c>
      <c r="W670">
        <v>6.21</v>
      </c>
      <c r="X670">
        <v>1248825638</v>
      </c>
    </row>
    <row r="671" spans="1:24" x14ac:dyDescent="0.25">
      <c r="A671" t="s">
        <v>690</v>
      </c>
      <c r="B671">
        <v>670</v>
      </c>
      <c r="C671">
        <v>2.34</v>
      </c>
      <c r="D671">
        <v>-0.85</v>
      </c>
      <c r="E671">
        <v>203051</v>
      </c>
      <c r="F671">
        <v>472214.14</v>
      </c>
      <c r="G671">
        <v>1497595039.2</v>
      </c>
      <c r="H671">
        <v>7.12</v>
      </c>
      <c r="I671">
        <v>0.44</v>
      </c>
      <c r="J671">
        <v>0.13248099999999999</v>
      </c>
      <c r="K671">
        <v>0.16500000000000001</v>
      </c>
      <c r="L671">
        <v>0.2</v>
      </c>
      <c r="M671">
        <v>7.0704399999999996</v>
      </c>
      <c r="N671">
        <v>6.3120620000000001</v>
      </c>
      <c r="O671">
        <v>5.8727499999999999</v>
      </c>
      <c r="P671">
        <v>7.05</v>
      </c>
      <c r="Q671" t="s">
        <v>22</v>
      </c>
      <c r="R671" t="s">
        <v>22</v>
      </c>
      <c r="S671">
        <v>655</v>
      </c>
      <c r="T671">
        <v>527</v>
      </c>
      <c r="U671">
        <v>-1.47</v>
      </c>
      <c r="V671">
        <v>5</v>
      </c>
      <c r="W671">
        <v>5.29</v>
      </c>
      <c r="X671">
        <v>639997880</v>
      </c>
    </row>
    <row r="672" spans="1:24" x14ac:dyDescent="0.25">
      <c r="A672" t="s">
        <v>691</v>
      </c>
      <c r="B672">
        <v>671</v>
      </c>
      <c r="C672">
        <v>0.99</v>
      </c>
      <c r="D672">
        <v>-1.98</v>
      </c>
      <c r="E672">
        <v>25832</v>
      </c>
      <c r="F672">
        <v>24993.8</v>
      </c>
      <c r="G672">
        <v>521191984.5</v>
      </c>
      <c r="H672">
        <v>536985681</v>
      </c>
      <c r="I672">
        <v>0.48</v>
      </c>
      <c r="J672">
        <v>3.1034549999999999</v>
      </c>
      <c r="K672">
        <v>0.01</v>
      </c>
      <c r="L672">
        <v>-0.31</v>
      </c>
      <c r="M672">
        <v>-10.226171000000001</v>
      </c>
      <c r="N672">
        <v>-40.502572999999998</v>
      </c>
      <c r="O672">
        <v>-21.527166999999999</v>
      </c>
      <c r="P672">
        <v>0.5</v>
      </c>
      <c r="Q672" t="s">
        <v>22</v>
      </c>
      <c r="R672" t="s">
        <v>22</v>
      </c>
      <c r="V672">
        <v>3</v>
      </c>
      <c r="W672">
        <v>2.06</v>
      </c>
      <c r="X672">
        <v>526456550</v>
      </c>
    </row>
    <row r="673" spans="1:24" x14ac:dyDescent="0.25">
      <c r="A673" t="s">
        <v>692</v>
      </c>
      <c r="B673">
        <v>672</v>
      </c>
      <c r="C673">
        <v>21.3</v>
      </c>
      <c r="D673">
        <v>5.97</v>
      </c>
      <c r="E673">
        <v>39780170</v>
      </c>
      <c r="F673">
        <v>827974041.10000002</v>
      </c>
      <c r="G673">
        <v>32716799957.400002</v>
      </c>
      <c r="H673">
        <v>87.75</v>
      </c>
      <c r="I673">
        <v>0.66</v>
      </c>
      <c r="J673">
        <v>0.58933599999999997</v>
      </c>
      <c r="K673">
        <v>0.5</v>
      </c>
      <c r="L673">
        <v>1</v>
      </c>
      <c r="M673">
        <v>1.509296</v>
      </c>
      <c r="N673">
        <v>0.75015799999999999</v>
      </c>
      <c r="O673">
        <v>3.4832589999999999</v>
      </c>
      <c r="P673">
        <v>2.35</v>
      </c>
      <c r="Q673" t="s">
        <v>22</v>
      </c>
      <c r="R673" t="s">
        <v>22</v>
      </c>
      <c r="V673">
        <v>5</v>
      </c>
      <c r="W673">
        <v>32.450000000000003</v>
      </c>
      <c r="X673">
        <v>1535999998</v>
      </c>
    </row>
    <row r="674" spans="1:24" x14ac:dyDescent="0.25">
      <c r="A674" t="s">
        <v>693</v>
      </c>
      <c r="B674">
        <v>673</v>
      </c>
      <c r="C674">
        <v>230</v>
      </c>
      <c r="D674">
        <v>-0.43</v>
      </c>
      <c r="E674">
        <v>31298</v>
      </c>
      <c r="F674">
        <v>7212927</v>
      </c>
      <c r="G674">
        <v>17623750000</v>
      </c>
      <c r="H674">
        <v>9.19</v>
      </c>
      <c r="I674">
        <v>0.85</v>
      </c>
      <c r="J674">
        <v>0.19393199999999999</v>
      </c>
      <c r="K674">
        <v>17</v>
      </c>
      <c r="L674">
        <v>4.72</v>
      </c>
      <c r="M674">
        <v>9.4558549999999997</v>
      </c>
      <c r="N674">
        <v>9.2087509999999995</v>
      </c>
      <c r="O674">
        <v>13.555234</v>
      </c>
      <c r="P674">
        <v>10.87</v>
      </c>
      <c r="Q674" t="s">
        <v>22</v>
      </c>
      <c r="R674" t="s">
        <v>22</v>
      </c>
      <c r="S674">
        <v>513</v>
      </c>
      <c r="T674">
        <v>393</v>
      </c>
      <c r="U674">
        <v>0.99</v>
      </c>
      <c r="V674">
        <v>3</v>
      </c>
      <c r="W674">
        <v>271.68</v>
      </c>
      <c r="X674">
        <v>76625000</v>
      </c>
    </row>
    <row r="675" spans="1:24" x14ac:dyDescent="0.25">
      <c r="A675" t="s">
        <v>694</v>
      </c>
      <c r="B675">
        <v>674</v>
      </c>
      <c r="C675">
        <v>0.98</v>
      </c>
      <c r="D675">
        <v>-1.01</v>
      </c>
      <c r="E675">
        <v>67700</v>
      </c>
      <c r="F675">
        <v>66036</v>
      </c>
      <c r="G675">
        <v>1078000000</v>
      </c>
      <c r="H675">
        <v>11.86</v>
      </c>
      <c r="I675">
        <v>0.9</v>
      </c>
      <c r="J675">
        <v>1.270159</v>
      </c>
      <c r="K675">
        <v>5.8000000000000003E-2</v>
      </c>
      <c r="L675">
        <v>0.05</v>
      </c>
      <c r="M675">
        <v>6.8382420000000002</v>
      </c>
      <c r="N675">
        <v>7.7083779999999997</v>
      </c>
      <c r="O675">
        <v>7.6829619999999998</v>
      </c>
      <c r="P675">
        <v>5.92</v>
      </c>
      <c r="Q675" t="s">
        <v>22</v>
      </c>
      <c r="R675" t="s">
        <v>22</v>
      </c>
      <c r="S675">
        <v>710</v>
      </c>
      <c r="T675">
        <v>882</v>
      </c>
      <c r="U675">
        <v>1.36</v>
      </c>
      <c r="V675">
        <v>5</v>
      </c>
      <c r="W675">
        <v>1.0900000000000001</v>
      </c>
      <c r="X675">
        <v>1100000000</v>
      </c>
    </row>
    <row r="676" spans="1:24" x14ac:dyDescent="0.25">
      <c r="A676" t="s">
        <v>695</v>
      </c>
      <c r="B676">
        <v>675</v>
      </c>
      <c r="C676">
        <v>0.59</v>
      </c>
      <c r="D676">
        <v>-4.84</v>
      </c>
      <c r="E676">
        <v>67810</v>
      </c>
      <c r="F676">
        <v>40705.9</v>
      </c>
      <c r="G676">
        <v>335120000</v>
      </c>
      <c r="H676">
        <v>19.2</v>
      </c>
      <c r="I676">
        <v>0.88</v>
      </c>
      <c r="J676">
        <v>1.109111</v>
      </c>
      <c r="K676">
        <v>0.01</v>
      </c>
      <c r="L676">
        <v>0.01</v>
      </c>
      <c r="M676">
        <v>3.549499</v>
      </c>
      <c r="N676">
        <v>4.6680479999999998</v>
      </c>
      <c r="O676">
        <v>2.965992</v>
      </c>
      <c r="P676">
        <v>1.69</v>
      </c>
      <c r="Q676" t="s">
        <v>22</v>
      </c>
      <c r="R676" t="s">
        <v>22</v>
      </c>
      <c r="S676">
        <v>1070</v>
      </c>
      <c r="T676">
        <v>1079</v>
      </c>
      <c r="U676">
        <v>0.15</v>
      </c>
      <c r="V676">
        <v>3</v>
      </c>
      <c r="W676">
        <v>0.67</v>
      </c>
      <c r="X676">
        <v>568000000</v>
      </c>
    </row>
    <row r="677" spans="1:24" x14ac:dyDescent="0.25">
      <c r="A677" t="s">
        <v>696</v>
      </c>
      <c r="B677">
        <v>676</v>
      </c>
      <c r="C677">
        <v>1.62</v>
      </c>
      <c r="D677">
        <v>0</v>
      </c>
      <c r="E677">
        <v>232210</v>
      </c>
      <c r="F677">
        <v>374362.1</v>
      </c>
      <c r="G677">
        <v>1174500000</v>
      </c>
      <c r="H677">
        <v>5.89</v>
      </c>
      <c r="I677">
        <v>0.67</v>
      </c>
      <c r="J677">
        <v>0.92998800000000004</v>
      </c>
      <c r="K677">
        <v>0.04</v>
      </c>
      <c r="L677">
        <v>0.22</v>
      </c>
      <c r="M677">
        <v>8.2983879999999992</v>
      </c>
      <c r="N677">
        <v>11.951601999999999</v>
      </c>
      <c r="O677">
        <v>11.565083</v>
      </c>
      <c r="P677">
        <v>2.4700000000000002</v>
      </c>
      <c r="Q677" t="s">
        <v>22</v>
      </c>
      <c r="R677" t="s">
        <v>22</v>
      </c>
      <c r="S677">
        <v>359</v>
      </c>
      <c r="T677">
        <v>336</v>
      </c>
      <c r="U677">
        <v>0.48</v>
      </c>
      <c r="W677">
        <v>2.42</v>
      </c>
      <c r="X677">
        <v>725000000</v>
      </c>
    </row>
    <row r="678" spans="1:24" x14ac:dyDescent="0.25">
      <c r="A678" t="s">
        <v>697</v>
      </c>
      <c r="B678">
        <v>677</v>
      </c>
      <c r="C678">
        <v>19</v>
      </c>
      <c r="D678">
        <v>0.53</v>
      </c>
      <c r="E678">
        <v>27247380</v>
      </c>
      <c r="F678">
        <v>522343720.10000002</v>
      </c>
      <c r="G678">
        <v>28862523667</v>
      </c>
      <c r="H678">
        <v>12.25</v>
      </c>
      <c r="I678">
        <v>1.38</v>
      </c>
      <c r="J678">
        <v>1.965522</v>
      </c>
      <c r="K678">
        <v>0.55000000000000004</v>
      </c>
      <c r="L678">
        <v>0.84</v>
      </c>
      <c r="M678">
        <v>5.2681930000000001</v>
      </c>
      <c r="N678">
        <v>13.109163000000001</v>
      </c>
      <c r="O678">
        <v>7.152183</v>
      </c>
      <c r="P678">
        <v>2.86</v>
      </c>
      <c r="Q678" t="s">
        <v>22</v>
      </c>
      <c r="R678" t="s">
        <v>22</v>
      </c>
      <c r="S678">
        <v>620</v>
      </c>
      <c r="T678">
        <v>840</v>
      </c>
      <c r="U678">
        <v>-7.0000000000000007E-2</v>
      </c>
      <c r="V678">
        <v>5</v>
      </c>
      <c r="W678">
        <v>13.81</v>
      </c>
      <c r="X678">
        <v>1519080193</v>
      </c>
    </row>
    <row r="679" spans="1:24" x14ac:dyDescent="0.25">
      <c r="A679" t="s">
        <v>698</v>
      </c>
      <c r="B679">
        <v>678</v>
      </c>
      <c r="C679">
        <v>0.22</v>
      </c>
      <c r="D679">
        <v>-8.33</v>
      </c>
      <c r="E679">
        <v>1241100</v>
      </c>
      <c r="F679">
        <v>285824</v>
      </c>
      <c r="G679">
        <v>4792312528.7399998</v>
      </c>
      <c r="H679">
        <v>5227977304.0799999</v>
      </c>
      <c r="I679">
        <v>0.84</v>
      </c>
      <c r="J679">
        <v>1.2326189999999999</v>
      </c>
      <c r="L679">
        <v>-20.44395239515103</v>
      </c>
      <c r="M679">
        <v>-20.443951999999999</v>
      </c>
      <c r="N679">
        <v>-42.471426000000001</v>
      </c>
      <c r="O679">
        <v>-28.069631999999999</v>
      </c>
      <c r="P679">
        <v>0.92</v>
      </c>
      <c r="Q679" t="s">
        <v>22</v>
      </c>
      <c r="R679" t="s">
        <v>22</v>
      </c>
      <c r="W679">
        <v>0.26</v>
      </c>
      <c r="X679">
        <v>21783238767</v>
      </c>
    </row>
    <row r="680" spans="1:24" x14ac:dyDescent="0.25">
      <c r="A680" t="s">
        <v>699</v>
      </c>
      <c r="B680">
        <v>679</v>
      </c>
      <c r="C680">
        <v>10.7</v>
      </c>
      <c r="D680">
        <v>-0.93</v>
      </c>
      <c r="E680">
        <v>3694854</v>
      </c>
      <c r="F680">
        <v>39642116.399999999</v>
      </c>
      <c r="G680">
        <v>30657425037</v>
      </c>
      <c r="H680">
        <v>86.62</v>
      </c>
      <c r="I680">
        <v>0.77</v>
      </c>
      <c r="J680">
        <v>0.22267400000000001</v>
      </c>
      <c r="K680">
        <v>0.25</v>
      </c>
      <c r="L680">
        <v>0.34</v>
      </c>
      <c r="M680">
        <v>0.99490199999999995</v>
      </c>
      <c r="N680">
        <v>0.89713100000000001</v>
      </c>
      <c r="O680">
        <v>7.9125059999999996</v>
      </c>
      <c r="P680">
        <v>4.7</v>
      </c>
      <c r="Q680" t="s">
        <v>22</v>
      </c>
      <c r="R680" t="s">
        <v>22</v>
      </c>
      <c r="V680">
        <v>5</v>
      </c>
      <c r="W680">
        <v>13.9</v>
      </c>
      <c r="X680">
        <v>2865179910</v>
      </c>
    </row>
    <row r="681" spans="1:24" x14ac:dyDescent="0.25">
      <c r="A681" t="s">
        <v>700</v>
      </c>
      <c r="B681">
        <v>680</v>
      </c>
      <c r="C681">
        <v>1.75</v>
      </c>
      <c r="D681">
        <v>0.56999999999999995</v>
      </c>
      <c r="E681">
        <v>4900</v>
      </c>
      <c r="F681">
        <v>8533</v>
      </c>
      <c r="G681">
        <v>1055244888.25</v>
      </c>
      <c r="H681">
        <v>18.28</v>
      </c>
      <c r="I681">
        <v>1.2</v>
      </c>
      <c r="J681">
        <v>0.97238000000000002</v>
      </c>
      <c r="K681">
        <v>2.5999999999999999E-2</v>
      </c>
      <c r="L681">
        <v>0.06</v>
      </c>
      <c r="M681">
        <v>4.5557530000000002</v>
      </c>
      <c r="N681">
        <v>6.7128329999999998</v>
      </c>
      <c r="O681">
        <v>3.6684679999999998</v>
      </c>
      <c r="P681">
        <v>1.49</v>
      </c>
      <c r="Q681" t="s">
        <v>22</v>
      </c>
      <c r="R681" t="s">
        <v>22</v>
      </c>
      <c r="S681">
        <v>939</v>
      </c>
      <c r="T681">
        <v>983</v>
      </c>
      <c r="U681">
        <v>-0.7</v>
      </c>
      <c r="V681">
        <v>5</v>
      </c>
      <c r="W681">
        <v>1.45</v>
      </c>
      <c r="X681">
        <v>602997079</v>
      </c>
    </row>
    <row r="682" spans="1:24" x14ac:dyDescent="0.25">
      <c r="A682" t="s">
        <v>701</v>
      </c>
      <c r="B682">
        <v>681</v>
      </c>
      <c r="C682">
        <v>0.03</v>
      </c>
      <c r="D682">
        <v>-25</v>
      </c>
      <c r="E682">
        <v>192920</v>
      </c>
      <c r="F682">
        <v>5916.6</v>
      </c>
      <c r="G682">
        <v>121871259.75</v>
      </c>
      <c r="H682">
        <v>162495013</v>
      </c>
      <c r="I682">
        <v>0.18</v>
      </c>
      <c r="J682">
        <v>0.23972399999999999</v>
      </c>
      <c r="K682">
        <v>-0.01</v>
      </c>
      <c r="L682">
        <v>-0.01</v>
      </c>
      <c r="M682">
        <v>-8.7016650000000002</v>
      </c>
      <c r="N682">
        <v>-12.70303</v>
      </c>
      <c r="O682">
        <v>-25.434808</v>
      </c>
      <c r="P682">
        <v>0.24</v>
      </c>
      <c r="Q682" t="s">
        <v>22</v>
      </c>
      <c r="R682" t="s">
        <v>22</v>
      </c>
      <c r="W682">
        <v>0.16</v>
      </c>
      <c r="X682">
        <v>4062375325</v>
      </c>
    </row>
    <row r="683" spans="1:24" x14ac:dyDescent="0.25">
      <c r="A683" t="s">
        <v>702</v>
      </c>
      <c r="B683">
        <v>682</v>
      </c>
      <c r="C683">
        <v>12.2</v>
      </c>
      <c r="D683">
        <v>0.83</v>
      </c>
      <c r="E683">
        <v>10801</v>
      </c>
      <c r="F683">
        <v>130472</v>
      </c>
      <c r="G683">
        <v>1220000000</v>
      </c>
      <c r="H683">
        <v>7.13</v>
      </c>
      <c r="I683">
        <v>1.29</v>
      </c>
      <c r="J683">
        <v>0.21897</v>
      </c>
      <c r="K683">
        <v>0.3</v>
      </c>
      <c r="L683">
        <v>0.99</v>
      </c>
      <c r="M683">
        <v>18.504339000000002</v>
      </c>
      <c r="N683">
        <v>19.097065000000001</v>
      </c>
      <c r="O683">
        <v>21.776789999999998</v>
      </c>
      <c r="P683">
        <v>5.49</v>
      </c>
      <c r="Q683" t="s">
        <v>22</v>
      </c>
      <c r="R683" t="s">
        <v>22</v>
      </c>
      <c r="S683">
        <v>196</v>
      </c>
      <c r="T683">
        <v>130</v>
      </c>
      <c r="U683">
        <v>0.54</v>
      </c>
      <c r="W683">
        <v>9.48</v>
      </c>
      <c r="X683">
        <v>100000000</v>
      </c>
    </row>
    <row r="684" spans="1:24" x14ac:dyDescent="0.25">
      <c r="A684" t="s">
        <v>703</v>
      </c>
      <c r="B684">
        <v>683</v>
      </c>
      <c r="C684">
        <v>5.85</v>
      </c>
      <c r="D684">
        <v>0.86</v>
      </c>
      <c r="E684">
        <v>7306533</v>
      </c>
      <c r="F684">
        <v>42825864.5</v>
      </c>
      <c r="G684">
        <v>10601793463.950001</v>
      </c>
      <c r="H684">
        <v>10873634322</v>
      </c>
      <c r="I684">
        <v>1.2</v>
      </c>
      <c r="J684">
        <v>0.58579300000000001</v>
      </c>
      <c r="L684">
        <v>2.0205001409979348</v>
      </c>
      <c r="M684">
        <v>2.0205000000000002</v>
      </c>
      <c r="N684">
        <v>-0.11874700000000001</v>
      </c>
      <c r="O684">
        <v>0.39095200000000002</v>
      </c>
      <c r="P684">
        <v>1.23</v>
      </c>
      <c r="Q684" t="s">
        <v>22</v>
      </c>
      <c r="R684" t="s">
        <v>22</v>
      </c>
      <c r="S684">
        <v>1335</v>
      </c>
      <c r="T684">
        <v>1268</v>
      </c>
      <c r="U684">
        <v>-1.42</v>
      </c>
      <c r="V684">
        <v>3</v>
      </c>
      <c r="W684">
        <v>4.8899999999999997</v>
      </c>
      <c r="X684">
        <v>1812272387</v>
      </c>
    </row>
    <row r="685" spans="1:24" x14ac:dyDescent="0.25">
      <c r="A685" t="s">
        <v>704</v>
      </c>
      <c r="B685">
        <v>684</v>
      </c>
      <c r="C685">
        <v>0.78</v>
      </c>
      <c r="D685">
        <v>0</v>
      </c>
      <c r="E685">
        <v>1285208</v>
      </c>
      <c r="F685">
        <v>1005694.32</v>
      </c>
      <c r="G685">
        <v>239564988</v>
      </c>
      <c r="H685">
        <v>37.450000000000003</v>
      </c>
      <c r="I685">
        <v>0.28000000000000003</v>
      </c>
      <c r="J685">
        <v>0.26323800000000003</v>
      </c>
      <c r="K685">
        <v>8.5000000000000006E-2</v>
      </c>
      <c r="L685">
        <v>1.0205008652399286</v>
      </c>
      <c r="M685">
        <v>1.0205010000000001</v>
      </c>
      <c r="N685">
        <v>0.73532200000000003</v>
      </c>
      <c r="O685">
        <v>-0.356012</v>
      </c>
      <c r="P685">
        <v>10.9</v>
      </c>
      <c r="Q685" t="s">
        <v>22</v>
      </c>
      <c r="R685" t="s">
        <v>22</v>
      </c>
      <c r="S685">
        <v>1250</v>
      </c>
      <c r="T685">
        <v>1270</v>
      </c>
      <c r="U685">
        <v>1.47</v>
      </c>
      <c r="V685">
        <v>3</v>
      </c>
      <c r="W685">
        <v>2.8</v>
      </c>
      <c r="X685">
        <v>307134600</v>
      </c>
    </row>
    <row r="686" spans="1:24" x14ac:dyDescent="0.25">
      <c r="A686" t="s">
        <v>705</v>
      </c>
      <c r="B686">
        <v>685</v>
      </c>
      <c r="C686">
        <v>27.75</v>
      </c>
      <c r="D686">
        <v>0</v>
      </c>
      <c r="E686">
        <v>2905</v>
      </c>
      <c r="F686">
        <v>80113.75</v>
      </c>
      <c r="G686">
        <v>8325000000</v>
      </c>
      <c r="H686">
        <v>7.28</v>
      </c>
      <c r="I686">
        <v>0.33</v>
      </c>
      <c r="J686">
        <v>9.0558E-2</v>
      </c>
      <c r="K686">
        <v>1.5</v>
      </c>
      <c r="L686">
        <v>2.0099999999999998</v>
      </c>
      <c r="M686">
        <v>4.6315600000000003</v>
      </c>
      <c r="N686">
        <v>4.6466380000000003</v>
      </c>
      <c r="O686">
        <v>17.744039000000001</v>
      </c>
      <c r="P686">
        <v>5.41</v>
      </c>
      <c r="Q686" t="s">
        <v>22</v>
      </c>
      <c r="R686" t="s">
        <v>22</v>
      </c>
      <c r="S686">
        <v>444</v>
      </c>
      <c r="T686">
        <v>360</v>
      </c>
      <c r="U686">
        <v>0.14000000000000001</v>
      </c>
      <c r="V686">
        <v>5</v>
      </c>
      <c r="W686">
        <v>84.75</v>
      </c>
      <c r="X686">
        <v>300000000</v>
      </c>
    </row>
    <row r="687" spans="1:24" x14ac:dyDescent="0.25">
      <c r="A687" t="s">
        <v>706</v>
      </c>
      <c r="B687">
        <v>686</v>
      </c>
      <c r="C687">
        <v>2.2999999999999998</v>
      </c>
      <c r="D687">
        <v>-0.86</v>
      </c>
      <c r="E687">
        <v>396736</v>
      </c>
      <c r="F687">
        <v>909783.52</v>
      </c>
      <c r="G687">
        <v>1780192161.5999999</v>
      </c>
      <c r="H687">
        <v>29.29</v>
      </c>
      <c r="I687">
        <v>1.28</v>
      </c>
      <c r="J687">
        <v>0.66151899999999997</v>
      </c>
      <c r="K687">
        <v>0.05</v>
      </c>
      <c r="L687">
        <v>0.02</v>
      </c>
      <c r="M687">
        <v>3.3240560000000001</v>
      </c>
      <c r="N687">
        <v>4.2949440000000001</v>
      </c>
      <c r="O687">
        <v>0.93601900000000005</v>
      </c>
      <c r="P687">
        <v>6.52</v>
      </c>
      <c r="Q687" t="s">
        <v>22</v>
      </c>
      <c r="R687" t="s">
        <v>22</v>
      </c>
      <c r="S687">
        <v>1156</v>
      </c>
      <c r="T687">
        <v>1159</v>
      </c>
      <c r="U687">
        <v>1.38</v>
      </c>
      <c r="V687">
        <v>5</v>
      </c>
      <c r="W687">
        <v>1.79</v>
      </c>
      <c r="X687">
        <v>773996592</v>
      </c>
    </row>
    <row r="688" spans="1:24" x14ac:dyDescent="0.25">
      <c r="A688" t="s">
        <v>707</v>
      </c>
      <c r="B688">
        <v>687</v>
      </c>
      <c r="C688">
        <v>0.13</v>
      </c>
      <c r="D688">
        <v>8.33</v>
      </c>
      <c r="E688">
        <v>5329730</v>
      </c>
      <c r="F688">
        <v>653574.13</v>
      </c>
      <c r="G688">
        <v>3555431503.9099998</v>
      </c>
      <c r="H688">
        <v>2.4</v>
      </c>
      <c r="I688">
        <v>0.17</v>
      </c>
      <c r="J688">
        <v>1.9415560000000001</v>
      </c>
      <c r="K688">
        <v>6.0000000000000001E-3</v>
      </c>
      <c r="L688">
        <v>0.03</v>
      </c>
      <c r="M688">
        <v>7.0438229999999997</v>
      </c>
      <c r="N688">
        <v>7.4659009999999997</v>
      </c>
      <c r="O688">
        <v>21.820338</v>
      </c>
      <c r="P688">
        <v>0.16</v>
      </c>
      <c r="Q688" t="s">
        <v>22</v>
      </c>
      <c r="R688" t="s">
        <v>22</v>
      </c>
      <c r="S688">
        <v>681</v>
      </c>
      <c r="T688">
        <v>484</v>
      </c>
      <c r="V688">
        <v>4</v>
      </c>
      <c r="W688">
        <v>0.75</v>
      </c>
      <c r="X688">
        <v>27349473107</v>
      </c>
    </row>
    <row r="689" spans="1:24" x14ac:dyDescent="0.25">
      <c r="A689" t="s">
        <v>708</v>
      </c>
      <c r="B689">
        <v>688</v>
      </c>
      <c r="C689">
        <v>2.54</v>
      </c>
      <c r="D689">
        <v>0</v>
      </c>
      <c r="E689">
        <v>4834641</v>
      </c>
      <c r="F689">
        <v>12421073.52</v>
      </c>
      <c r="G689">
        <v>2539999888.2399998</v>
      </c>
      <c r="H689">
        <v>10.54</v>
      </c>
      <c r="I689">
        <v>0.53</v>
      </c>
      <c r="J689">
        <v>1.242548</v>
      </c>
      <c r="K689">
        <v>0.03</v>
      </c>
      <c r="L689">
        <v>0.22</v>
      </c>
      <c r="M689">
        <v>4.3054899999999998</v>
      </c>
      <c r="N689">
        <v>5.1556439999999997</v>
      </c>
      <c r="O689">
        <v>1.3059769999999999</v>
      </c>
      <c r="P689">
        <v>3.54</v>
      </c>
      <c r="Q689" t="s">
        <v>22</v>
      </c>
      <c r="R689" t="s">
        <v>22</v>
      </c>
      <c r="S689">
        <v>1128</v>
      </c>
      <c r="T689">
        <v>1086</v>
      </c>
      <c r="U689">
        <v>0.56000000000000005</v>
      </c>
      <c r="V689">
        <v>5</v>
      </c>
      <c r="W689">
        <v>4.7699999999999996</v>
      </c>
      <c r="X689">
        <v>999999956</v>
      </c>
    </row>
    <row r="690" spans="1:24" x14ac:dyDescent="0.25">
      <c r="A690" t="s">
        <v>709</v>
      </c>
      <c r="B690">
        <v>689</v>
      </c>
      <c r="C690">
        <v>3.12</v>
      </c>
      <c r="D690">
        <v>-3.7</v>
      </c>
      <c r="E690">
        <v>13110</v>
      </c>
      <c r="F690">
        <v>42352</v>
      </c>
      <c r="G690">
        <v>1130666337.8399999</v>
      </c>
      <c r="H690">
        <v>45.44</v>
      </c>
      <c r="I690">
        <v>1.07</v>
      </c>
      <c r="J690">
        <v>1.033561</v>
      </c>
      <c r="K690">
        <v>7.0000000000000007E-2</v>
      </c>
      <c r="L690">
        <v>0.23</v>
      </c>
      <c r="M690">
        <v>3.1659890000000002</v>
      </c>
      <c r="N690">
        <v>2.3727320000000001</v>
      </c>
      <c r="O690">
        <v>11.198297999999999</v>
      </c>
      <c r="P690">
        <v>2.2400000000000002</v>
      </c>
      <c r="Q690" t="s">
        <v>22</v>
      </c>
      <c r="R690" t="s">
        <v>22</v>
      </c>
      <c r="V690">
        <v>5</v>
      </c>
      <c r="W690">
        <v>2.93</v>
      </c>
      <c r="X690">
        <v>362393057</v>
      </c>
    </row>
    <row r="691" spans="1:24" x14ac:dyDescent="0.25">
      <c r="A691" t="s">
        <v>710</v>
      </c>
      <c r="B691">
        <v>690</v>
      </c>
      <c r="C691">
        <v>2.12</v>
      </c>
      <c r="D691">
        <v>1.92</v>
      </c>
      <c r="E691">
        <v>4231746</v>
      </c>
      <c r="F691">
        <v>9091754.4000000004</v>
      </c>
      <c r="G691">
        <v>1724562760</v>
      </c>
      <c r="H691">
        <v>6.18</v>
      </c>
      <c r="I691">
        <v>0.72</v>
      </c>
      <c r="J691">
        <v>3.1548910000000001</v>
      </c>
      <c r="K691">
        <v>0.08</v>
      </c>
      <c r="L691">
        <v>0.2</v>
      </c>
      <c r="M691">
        <v>5.0015280000000004</v>
      </c>
      <c r="N691">
        <v>12.15579</v>
      </c>
      <c r="O691">
        <v>2.3173680000000001</v>
      </c>
      <c r="P691">
        <v>3.77</v>
      </c>
      <c r="Q691" t="s">
        <v>22</v>
      </c>
      <c r="R691" t="s">
        <v>22</v>
      </c>
      <c r="S691">
        <v>403</v>
      </c>
      <c r="T691">
        <v>597</v>
      </c>
      <c r="U691">
        <v>0.05</v>
      </c>
      <c r="V691">
        <v>5</v>
      </c>
      <c r="W691">
        <v>2.95</v>
      </c>
      <c r="X691">
        <v>813473000</v>
      </c>
    </row>
    <row r="692" spans="1:24" x14ac:dyDescent="0.25">
      <c r="A692" t="s">
        <v>711</v>
      </c>
      <c r="B692">
        <v>691</v>
      </c>
      <c r="C692">
        <v>0.39</v>
      </c>
      <c r="D692">
        <v>2.63</v>
      </c>
      <c r="E692">
        <v>195400</v>
      </c>
      <c r="F692">
        <v>75470</v>
      </c>
      <c r="G692">
        <v>198900000</v>
      </c>
      <c r="H692">
        <v>178500000</v>
      </c>
      <c r="I692">
        <v>0.28999999999999998</v>
      </c>
      <c r="J692">
        <v>1.276343</v>
      </c>
      <c r="K692">
        <v>0.2</v>
      </c>
      <c r="L692">
        <v>-0.06</v>
      </c>
      <c r="M692">
        <v>-2.9680390000000001</v>
      </c>
      <c r="N692">
        <v>-7.7916379999999998</v>
      </c>
      <c r="O692">
        <v>-27.609691999999999</v>
      </c>
      <c r="P692">
        <v>0.26</v>
      </c>
      <c r="Q692" t="s">
        <v>22</v>
      </c>
      <c r="R692" t="s">
        <v>22</v>
      </c>
      <c r="V692">
        <v>3</v>
      </c>
      <c r="W692">
        <v>1.34</v>
      </c>
      <c r="X692">
        <v>510000000</v>
      </c>
    </row>
    <row r="693" spans="1:24" x14ac:dyDescent="0.25">
      <c r="A693" t="s">
        <v>712</v>
      </c>
      <c r="B693">
        <v>692</v>
      </c>
      <c r="C693">
        <v>1.6</v>
      </c>
      <c r="D693">
        <v>5.26</v>
      </c>
      <c r="E693">
        <v>16872512</v>
      </c>
      <c r="F693">
        <v>27354593.170000002</v>
      </c>
      <c r="G693">
        <v>1120000000</v>
      </c>
      <c r="H693">
        <v>10.75</v>
      </c>
      <c r="I693">
        <v>0.81</v>
      </c>
      <c r="J693">
        <v>0.37375700000000001</v>
      </c>
      <c r="K693">
        <v>0.05</v>
      </c>
      <c r="L693">
        <v>0.09</v>
      </c>
      <c r="M693">
        <v>7.1613689999999997</v>
      </c>
      <c r="N693">
        <v>7.7639199999999997</v>
      </c>
      <c r="O693">
        <v>4.2002389999999998</v>
      </c>
      <c r="P693">
        <v>3.13</v>
      </c>
      <c r="Q693" t="s">
        <v>22</v>
      </c>
      <c r="R693" t="s">
        <v>22</v>
      </c>
      <c r="S693">
        <v>640</v>
      </c>
      <c r="T693">
        <v>558</v>
      </c>
      <c r="U693">
        <v>0.95</v>
      </c>
      <c r="V693">
        <v>3</v>
      </c>
      <c r="W693">
        <v>1.97</v>
      </c>
      <c r="X693">
        <v>700000000</v>
      </c>
    </row>
    <row r="694" spans="1:24" x14ac:dyDescent="0.25">
      <c r="A694" t="s">
        <v>713</v>
      </c>
      <c r="B694">
        <v>693</v>
      </c>
      <c r="C694">
        <v>4.88</v>
      </c>
      <c r="D694">
        <v>9.91</v>
      </c>
      <c r="E694">
        <v>5107</v>
      </c>
      <c r="F694">
        <v>24899.62</v>
      </c>
      <c r="G694">
        <v>2433813038.4000001</v>
      </c>
      <c r="H694">
        <v>12.1</v>
      </c>
      <c r="I694">
        <v>3.04</v>
      </c>
      <c r="J694">
        <v>0.60563999999999996</v>
      </c>
      <c r="K694">
        <v>0.125</v>
      </c>
      <c r="L694">
        <v>0.21</v>
      </c>
      <c r="M694">
        <v>21.815284999999999</v>
      </c>
      <c r="N694">
        <v>25.885511999999999</v>
      </c>
      <c r="O694">
        <v>12.74366</v>
      </c>
      <c r="P694">
        <v>6.66</v>
      </c>
      <c r="Q694" t="s">
        <v>22</v>
      </c>
      <c r="R694" t="s">
        <v>22</v>
      </c>
      <c r="S694">
        <v>517</v>
      </c>
      <c r="T694">
        <v>473</v>
      </c>
      <c r="U694">
        <v>0.2</v>
      </c>
      <c r="V694">
        <v>4</v>
      </c>
      <c r="W694">
        <v>1.6</v>
      </c>
      <c r="X694">
        <v>498732180</v>
      </c>
    </row>
    <row r="695" spans="1:24" x14ac:dyDescent="0.25">
      <c r="A695" t="s">
        <v>714</v>
      </c>
      <c r="B695">
        <v>694</v>
      </c>
      <c r="C695">
        <v>6.55</v>
      </c>
      <c r="D695">
        <v>-0.76</v>
      </c>
      <c r="E695">
        <v>39914</v>
      </c>
      <c r="F695">
        <v>261159.15</v>
      </c>
      <c r="G695">
        <v>2840439509.8499999</v>
      </c>
      <c r="H695">
        <v>21.42</v>
      </c>
      <c r="I695">
        <v>0.89</v>
      </c>
      <c r="J695">
        <v>0.56899599999999995</v>
      </c>
      <c r="K695">
        <v>9.7299999999999998E-2</v>
      </c>
      <c r="L695">
        <v>0.24</v>
      </c>
      <c r="M695">
        <v>4.2997350000000001</v>
      </c>
      <c r="N695">
        <v>4.2408020000000004</v>
      </c>
      <c r="O695">
        <v>8.9478039999999996</v>
      </c>
      <c r="P695">
        <v>1.49</v>
      </c>
      <c r="Q695" t="s">
        <v>22</v>
      </c>
      <c r="R695" t="s">
        <v>22</v>
      </c>
      <c r="S695">
        <v>1127</v>
      </c>
      <c r="T695">
        <v>1071</v>
      </c>
      <c r="U695">
        <v>3.34</v>
      </c>
      <c r="V695">
        <v>5</v>
      </c>
      <c r="W695">
        <v>7.34</v>
      </c>
      <c r="X695">
        <v>433654887</v>
      </c>
    </row>
    <row r="696" spans="1:24" x14ac:dyDescent="0.25">
      <c r="A696" t="s">
        <v>715</v>
      </c>
      <c r="B696">
        <v>695</v>
      </c>
      <c r="C696">
        <v>9.8000000000000007</v>
      </c>
      <c r="D696">
        <v>0</v>
      </c>
      <c r="E696">
        <v>3372002</v>
      </c>
      <c r="F696">
        <v>33354580.300000001</v>
      </c>
      <c r="G696">
        <v>8304139818.8000002</v>
      </c>
      <c r="H696">
        <v>9.94</v>
      </c>
      <c r="I696">
        <v>1.68</v>
      </c>
      <c r="J696">
        <v>2.6276640000000002</v>
      </c>
      <c r="K696">
        <v>0.1</v>
      </c>
      <c r="L696">
        <v>0.53</v>
      </c>
      <c r="M696">
        <v>6.500813</v>
      </c>
      <c r="N696">
        <v>17.696964999999999</v>
      </c>
      <c r="O696">
        <v>1.92083</v>
      </c>
      <c r="P696">
        <v>4.9000000000000004</v>
      </c>
      <c r="Q696" t="s">
        <v>22</v>
      </c>
      <c r="R696" t="s">
        <v>22</v>
      </c>
      <c r="S696">
        <v>335</v>
      </c>
      <c r="T696">
        <v>558</v>
      </c>
      <c r="U696">
        <v>14.33</v>
      </c>
      <c r="V696">
        <v>5</v>
      </c>
      <c r="W696">
        <v>5.84</v>
      </c>
      <c r="X696">
        <v>847361206</v>
      </c>
    </row>
    <row r="697" spans="1:24" x14ac:dyDescent="0.25">
      <c r="A697" t="s">
        <v>716</v>
      </c>
      <c r="B697">
        <v>696</v>
      </c>
      <c r="C697">
        <v>1.97</v>
      </c>
      <c r="D697">
        <v>-2.48</v>
      </c>
      <c r="E697">
        <v>4901102</v>
      </c>
      <c r="F697">
        <v>9732446.9600000009</v>
      </c>
      <c r="G697">
        <v>3134185881</v>
      </c>
      <c r="H697">
        <v>4.88</v>
      </c>
      <c r="I697">
        <v>0.49</v>
      </c>
      <c r="J697">
        <v>0.52123200000000003</v>
      </c>
      <c r="K697">
        <v>7.0000000000000007E-2</v>
      </c>
      <c r="L697">
        <v>0.21</v>
      </c>
      <c r="M697">
        <v>7.6358009999999998</v>
      </c>
      <c r="N697">
        <v>10.574031</v>
      </c>
      <c r="O697">
        <v>8.3577969999999997</v>
      </c>
      <c r="P697">
        <v>6.09</v>
      </c>
      <c r="Q697" t="s">
        <v>22</v>
      </c>
      <c r="R697" t="s">
        <v>22</v>
      </c>
      <c r="S697">
        <v>329</v>
      </c>
      <c r="T697">
        <v>332</v>
      </c>
      <c r="U697">
        <v>-0.06</v>
      </c>
      <c r="V697">
        <v>5</v>
      </c>
      <c r="W697">
        <v>3.98</v>
      </c>
      <c r="X697">
        <v>1590957300</v>
      </c>
    </row>
    <row r="698" spans="1:24" x14ac:dyDescent="0.25">
      <c r="A698" t="s">
        <v>717</v>
      </c>
      <c r="B698">
        <v>697</v>
      </c>
      <c r="C698">
        <v>6.5</v>
      </c>
      <c r="D698">
        <v>0</v>
      </c>
      <c r="E698">
        <v>940886</v>
      </c>
      <c r="F698">
        <v>6124696.3499999996</v>
      </c>
      <c r="G698">
        <v>3952000000</v>
      </c>
      <c r="H698">
        <v>11.24</v>
      </c>
      <c r="I698">
        <v>4.59</v>
      </c>
      <c r="J698">
        <v>0.607151</v>
      </c>
      <c r="K698">
        <v>0.21</v>
      </c>
      <c r="L698">
        <v>0.34</v>
      </c>
      <c r="M698">
        <v>33.624910999999997</v>
      </c>
      <c r="N698">
        <v>43.277819999999998</v>
      </c>
      <c r="O698">
        <v>15.388463</v>
      </c>
      <c r="P698">
        <v>6.39</v>
      </c>
      <c r="Q698" t="s">
        <v>22</v>
      </c>
      <c r="R698" t="s">
        <v>22</v>
      </c>
      <c r="S698">
        <v>334</v>
      </c>
      <c r="T698">
        <v>321</v>
      </c>
      <c r="U698">
        <v>1.19</v>
      </c>
      <c r="V698">
        <v>5</v>
      </c>
      <c r="W698">
        <v>1.42</v>
      </c>
      <c r="X698">
        <v>608000000</v>
      </c>
    </row>
    <row r="699" spans="1:24" x14ac:dyDescent="0.25">
      <c r="A699" t="s">
        <v>718</v>
      </c>
      <c r="B699">
        <v>698</v>
      </c>
      <c r="C699">
        <v>1.65</v>
      </c>
      <c r="D699">
        <v>1.23</v>
      </c>
      <c r="E699">
        <v>3723211</v>
      </c>
      <c r="F699">
        <v>6153610.6399999997</v>
      </c>
      <c r="G699">
        <v>1650000000</v>
      </c>
      <c r="H699">
        <v>6.86</v>
      </c>
      <c r="I699">
        <v>0.87</v>
      </c>
      <c r="J699">
        <v>0.49037199999999997</v>
      </c>
      <c r="K699">
        <v>0.01</v>
      </c>
      <c r="L699">
        <v>0.23</v>
      </c>
      <c r="M699">
        <v>12.025980000000001</v>
      </c>
      <c r="N699">
        <v>13.586258000000001</v>
      </c>
      <c r="O699">
        <v>17.683025000000001</v>
      </c>
      <c r="P699">
        <v>0.85</v>
      </c>
      <c r="Q699" t="s">
        <v>22</v>
      </c>
      <c r="R699" t="s">
        <v>22</v>
      </c>
      <c r="S699">
        <v>258</v>
      </c>
      <c r="T699">
        <v>201</v>
      </c>
      <c r="U699">
        <v>-0.1</v>
      </c>
      <c r="V699">
        <v>4</v>
      </c>
      <c r="W699">
        <v>1.89</v>
      </c>
      <c r="X699">
        <v>1000000000</v>
      </c>
    </row>
    <row r="700" spans="1:24" x14ac:dyDescent="0.25">
      <c r="A700" t="s">
        <v>719</v>
      </c>
      <c r="B700">
        <v>699</v>
      </c>
      <c r="C700">
        <v>0.48</v>
      </c>
      <c r="D700">
        <v>0</v>
      </c>
      <c r="E700">
        <v>4132815</v>
      </c>
      <c r="F700">
        <v>1976735.05</v>
      </c>
      <c r="G700">
        <v>384000113.27999997</v>
      </c>
      <c r="H700">
        <v>312000092.04000002</v>
      </c>
      <c r="I700">
        <v>0.78</v>
      </c>
      <c r="J700">
        <v>2.5189029999999999</v>
      </c>
      <c r="K700">
        <v>0.03</v>
      </c>
      <c r="L700">
        <v>0.02</v>
      </c>
      <c r="M700">
        <v>-10.939871999999999</v>
      </c>
      <c r="N700">
        <v>-60.566268000000001</v>
      </c>
      <c r="O700">
        <v>3.4857200000000002</v>
      </c>
      <c r="P700">
        <v>0.63</v>
      </c>
      <c r="Q700" t="s">
        <v>22</v>
      </c>
      <c r="R700" t="s">
        <v>22</v>
      </c>
      <c r="V700">
        <v>3</v>
      </c>
      <c r="W700">
        <v>0.61</v>
      </c>
      <c r="X700">
        <v>800000236</v>
      </c>
    </row>
    <row r="701" spans="1:24" x14ac:dyDescent="0.25">
      <c r="A701" t="s">
        <v>720</v>
      </c>
      <c r="B701">
        <v>700</v>
      </c>
      <c r="C701">
        <v>4.12</v>
      </c>
      <c r="D701">
        <v>0</v>
      </c>
      <c r="E701">
        <v>3100</v>
      </c>
      <c r="F701">
        <v>12700</v>
      </c>
      <c r="G701">
        <v>1236000000</v>
      </c>
      <c r="H701">
        <v>22.97</v>
      </c>
      <c r="I701">
        <v>0.82</v>
      </c>
      <c r="J701">
        <v>0.80328999999999995</v>
      </c>
      <c r="K701">
        <v>0.27</v>
      </c>
      <c r="L701">
        <v>0.12</v>
      </c>
      <c r="M701">
        <v>4.4279650000000004</v>
      </c>
      <c r="N701">
        <v>3.5255079999999999</v>
      </c>
      <c r="O701">
        <v>3.2591610000000002</v>
      </c>
      <c r="P701">
        <v>6.55</v>
      </c>
      <c r="Q701" t="s">
        <v>22</v>
      </c>
      <c r="R701" t="s">
        <v>22</v>
      </c>
      <c r="S701">
        <v>1183</v>
      </c>
      <c r="T701">
        <v>1080</v>
      </c>
      <c r="U701">
        <v>-0.56000000000000005</v>
      </c>
      <c r="V701">
        <v>5</v>
      </c>
      <c r="W701">
        <v>5.01</v>
      </c>
      <c r="X701">
        <v>300000000</v>
      </c>
    </row>
    <row r="702" spans="1:24" x14ac:dyDescent="0.25">
      <c r="A702" t="s">
        <v>721</v>
      </c>
      <c r="B702">
        <v>701</v>
      </c>
      <c r="C702">
        <v>2024</v>
      </c>
      <c r="D702">
        <v>0</v>
      </c>
      <c r="E702">
        <v>0</v>
      </c>
      <c r="F702">
        <v>0</v>
      </c>
      <c r="G702">
        <v>214</v>
      </c>
      <c r="H702">
        <v>0</v>
      </c>
      <c r="I702">
        <v>1.2253851400838021</v>
      </c>
      <c r="J702">
        <v>1.2253849999999999</v>
      </c>
      <c r="K702">
        <v>0.04</v>
      </c>
      <c r="L702">
        <v>-1.08</v>
      </c>
      <c r="M702">
        <v>-10.057795</v>
      </c>
      <c r="N702">
        <v>-37.154415</v>
      </c>
      <c r="O702">
        <v>-24.772445999999999</v>
      </c>
      <c r="P702">
        <v>0</v>
      </c>
      <c r="Q702" t="s">
        <v>22</v>
      </c>
      <c r="R702" t="s">
        <v>22</v>
      </c>
      <c r="W702">
        <v>1.54</v>
      </c>
      <c r="X702">
        <v>411864308</v>
      </c>
    </row>
    <row r="703" spans="1:24" x14ac:dyDescent="0.25">
      <c r="A703" t="s">
        <v>722</v>
      </c>
      <c r="B703">
        <v>702</v>
      </c>
      <c r="C703">
        <v>16.8</v>
      </c>
      <c r="D703">
        <v>-0.59</v>
      </c>
      <c r="E703">
        <v>5075738</v>
      </c>
      <c r="F703">
        <v>84895064.799999997</v>
      </c>
      <c r="G703">
        <v>26516474376</v>
      </c>
      <c r="H703">
        <v>22.64</v>
      </c>
      <c r="I703">
        <v>1.83</v>
      </c>
      <c r="J703">
        <v>0.53234700000000001</v>
      </c>
      <c r="K703">
        <v>0.2</v>
      </c>
      <c r="L703">
        <v>0.56000000000000005</v>
      </c>
      <c r="M703">
        <v>7.0385369999999998</v>
      </c>
      <c r="N703">
        <v>7.9451070000000001</v>
      </c>
      <c r="O703">
        <v>5.8699269999999997</v>
      </c>
      <c r="P703">
        <v>5.95</v>
      </c>
      <c r="Q703" t="s">
        <v>22</v>
      </c>
      <c r="R703" t="s">
        <v>22</v>
      </c>
      <c r="S703">
        <v>929</v>
      </c>
      <c r="T703">
        <v>879</v>
      </c>
      <c r="U703">
        <v>-1.48</v>
      </c>
      <c r="V703">
        <v>5</v>
      </c>
      <c r="W703">
        <v>9.1999999999999993</v>
      </c>
      <c r="X703">
        <v>1578361570</v>
      </c>
    </row>
    <row r="704" spans="1:24" x14ac:dyDescent="0.25">
      <c r="A704" t="s">
        <v>723</v>
      </c>
      <c r="B704">
        <v>703</v>
      </c>
      <c r="C704">
        <v>1.07</v>
      </c>
      <c r="D704">
        <v>7</v>
      </c>
      <c r="E704">
        <v>12125403</v>
      </c>
      <c r="F704">
        <v>13268064.27</v>
      </c>
      <c r="G704">
        <v>428000000</v>
      </c>
      <c r="H704">
        <v>5.75</v>
      </c>
      <c r="I704">
        <v>0.38</v>
      </c>
      <c r="J704">
        <v>0.83795600000000003</v>
      </c>
      <c r="K704">
        <v>7.0000000000000007E-2</v>
      </c>
      <c r="L704">
        <v>0.1</v>
      </c>
      <c r="M704">
        <v>5.4843089999999997</v>
      </c>
      <c r="N704">
        <v>6.6517720000000002</v>
      </c>
      <c r="O704">
        <v>3.478113</v>
      </c>
      <c r="P704">
        <v>6.54</v>
      </c>
      <c r="Q704" t="s">
        <v>22</v>
      </c>
      <c r="R704" t="s">
        <v>22</v>
      </c>
      <c r="S704">
        <v>485</v>
      </c>
      <c r="T704">
        <v>454</v>
      </c>
      <c r="U704">
        <v>0.19</v>
      </c>
      <c r="V704">
        <v>3</v>
      </c>
      <c r="W704">
        <v>2.85</v>
      </c>
      <c r="X704">
        <v>400000000</v>
      </c>
    </row>
    <row r="705" spans="1:24" x14ac:dyDescent="0.25">
      <c r="A705" t="s">
        <v>724</v>
      </c>
      <c r="B705">
        <v>704</v>
      </c>
      <c r="C705">
        <v>3.44</v>
      </c>
      <c r="D705">
        <v>-1.71</v>
      </c>
      <c r="E705">
        <v>18854</v>
      </c>
      <c r="F705">
        <v>66238.880000000005</v>
      </c>
      <c r="G705">
        <v>344000000</v>
      </c>
      <c r="H705">
        <v>324000000</v>
      </c>
      <c r="I705">
        <v>0.73</v>
      </c>
      <c r="J705">
        <v>0.40937099999999998</v>
      </c>
      <c r="K705">
        <v>0.21</v>
      </c>
      <c r="L705">
        <v>-0.19</v>
      </c>
      <c r="M705">
        <v>-0.82265299999999997</v>
      </c>
      <c r="N705">
        <v>-1.897535</v>
      </c>
      <c r="O705">
        <v>-11.142087999999999</v>
      </c>
      <c r="P705">
        <v>6.1</v>
      </c>
      <c r="Q705" t="s">
        <v>22</v>
      </c>
      <c r="R705" t="s">
        <v>22</v>
      </c>
      <c r="S705">
        <v>1323</v>
      </c>
      <c r="T705">
        <v>1323</v>
      </c>
      <c r="U705">
        <v>11.03</v>
      </c>
      <c r="V705">
        <v>5</v>
      </c>
      <c r="W705">
        <v>4.6900000000000004</v>
      </c>
      <c r="X705">
        <v>100000000</v>
      </c>
    </row>
    <row r="706" spans="1:24" x14ac:dyDescent="0.25">
      <c r="A706" t="s">
        <v>725</v>
      </c>
      <c r="B706">
        <v>705</v>
      </c>
      <c r="C706">
        <v>1.0900000000000001</v>
      </c>
      <c r="D706">
        <v>0.93</v>
      </c>
      <c r="E706">
        <v>1101</v>
      </c>
      <c r="F706">
        <v>1200.06</v>
      </c>
      <c r="G706">
        <v>400374782.25999999</v>
      </c>
      <c r="H706">
        <v>352623661.44</v>
      </c>
      <c r="I706">
        <v>1.53</v>
      </c>
      <c r="J706">
        <v>0.90424499999999997</v>
      </c>
      <c r="K706">
        <v>0.9</v>
      </c>
      <c r="L706">
        <v>-0.03</v>
      </c>
      <c r="M706">
        <v>-96.950770000000006</v>
      </c>
      <c r="N706">
        <v>-372.84454299999999</v>
      </c>
      <c r="O706">
        <v>-7.1504250000000003</v>
      </c>
      <c r="P706">
        <v>1.34</v>
      </c>
      <c r="Q706" t="s">
        <v>22</v>
      </c>
      <c r="R706" t="s">
        <v>22</v>
      </c>
      <c r="V706">
        <v>3</v>
      </c>
      <c r="W706">
        <v>0.71</v>
      </c>
      <c r="X706">
        <v>367316314</v>
      </c>
    </row>
    <row r="707" spans="1:24" x14ac:dyDescent="0.25">
      <c r="A707" t="s">
        <v>726</v>
      </c>
      <c r="B707">
        <v>706</v>
      </c>
      <c r="C707">
        <v>8.1999999999999993</v>
      </c>
      <c r="D707">
        <v>0</v>
      </c>
      <c r="E707">
        <v>88517</v>
      </c>
      <c r="F707">
        <v>730635.5</v>
      </c>
      <c r="G707">
        <v>2706000000</v>
      </c>
      <c r="H707">
        <v>10.25</v>
      </c>
      <c r="I707">
        <v>0.95</v>
      </c>
      <c r="J707">
        <v>0.62368400000000002</v>
      </c>
      <c r="K707">
        <v>0.3</v>
      </c>
      <c r="L707">
        <v>0.5</v>
      </c>
      <c r="M707">
        <v>7.0633549999999996</v>
      </c>
      <c r="N707">
        <v>9.5201989999999999</v>
      </c>
      <c r="O707">
        <v>5.3958649999999997</v>
      </c>
      <c r="P707">
        <v>3.66</v>
      </c>
      <c r="Q707" t="s">
        <v>22</v>
      </c>
      <c r="R707" t="s">
        <v>22</v>
      </c>
      <c r="S707">
        <v>514</v>
      </c>
      <c r="T707">
        <v>515</v>
      </c>
      <c r="U707">
        <v>0.05</v>
      </c>
      <c r="W707">
        <v>8.65</v>
      </c>
      <c r="X707">
        <v>330000000</v>
      </c>
    </row>
    <row r="708" spans="1:24" x14ac:dyDescent="0.25">
      <c r="A708" t="s">
        <v>727</v>
      </c>
      <c r="B708">
        <v>707</v>
      </c>
      <c r="C708">
        <v>85.75</v>
      </c>
      <c r="D708">
        <v>-1.72</v>
      </c>
      <c r="E708">
        <v>3244058</v>
      </c>
      <c r="F708">
        <v>279589294.75</v>
      </c>
      <c r="G708">
        <v>89917896500.25</v>
      </c>
      <c r="H708">
        <v>10.29</v>
      </c>
      <c r="I708">
        <v>1.07</v>
      </c>
      <c r="J708">
        <v>0.76216700000000004</v>
      </c>
      <c r="K708">
        <v>2.2000000000000002</v>
      </c>
      <c r="L708">
        <v>4.54</v>
      </c>
      <c r="M708">
        <v>7.4476389999999997</v>
      </c>
      <c r="N708">
        <v>10.937052</v>
      </c>
      <c r="O708">
        <v>53.535868000000001</v>
      </c>
      <c r="P708">
        <v>4.08</v>
      </c>
      <c r="Q708" t="s">
        <v>22</v>
      </c>
      <c r="R708" t="s">
        <v>22</v>
      </c>
      <c r="S708">
        <v>537</v>
      </c>
      <c r="T708">
        <v>655</v>
      </c>
      <c r="U708">
        <v>1.01</v>
      </c>
      <c r="V708">
        <v>5</v>
      </c>
      <c r="W708">
        <v>79.88</v>
      </c>
      <c r="X708">
        <v>1048605207</v>
      </c>
    </row>
    <row r="709" spans="1:24" x14ac:dyDescent="0.25">
      <c r="A709" t="s">
        <v>728</v>
      </c>
      <c r="B709">
        <v>708</v>
      </c>
      <c r="C709">
        <v>0.31</v>
      </c>
      <c r="D709">
        <v>0</v>
      </c>
      <c r="E709">
        <v>210044</v>
      </c>
      <c r="F709">
        <v>63278.2</v>
      </c>
      <c r="G709">
        <v>432620546.5</v>
      </c>
      <c r="H709">
        <v>108.85</v>
      </c>
      <c r="I709">
        <v>0.39</v>
      </c>
      <c r="J709">
        <v>0.423678</v>
      </c>
      <c r="K709">
        <v>2.5000000000000001E-2</v>
      </c>
      <c r="L709">
        <v>2.2056033218156217</v>
      </c>
      <c r="M709">
        <v>2.205603</v>
      </c>
      <c r="N709">
        <v>0.35939300000000002</v>
      </c>
      <c r="O709">
        <v>-0.194664</v>
      </c>
      <c r="P709">
        <v>0.37</v>
      </c>
      <c r="Q709" t="s">
        <v>22</v>
      </c>
      <c r="R709" t="s">
        <v>22</v>
      </c>
      <c r="S709">
        <v>1262</v>
      </c>
      <c r="T709">
        <v>1191</v>
      </c>
      <c r="U709">
        <v>4.4000000000000004</v>
      </c>
      <c r="W709">
        <v>0.79</v>
      </c>
      <c r="X709">
        <v>1395550150</v>
      </c>
    </row>
    <row r="710" spans="1:24" x14ac:dyDescent="0.25">
      <c r="A710" t="s">
        <v>729</v>
      </c>
      <c r="B710">
        <v>709</v>
      </c>
      <c r="C710">
        <v>2.82</v>
      </c>
      <c r="D710">
        <v>1.44</v>
      </c>
      <c r="E710">
        <v>10500</v>
      </c>
      <c r="F710">
        <v>29012</v>
      </c>
      <c r="G710">
        <v>297781667.51999998</v>
      </c>
      <c r="H710">
        <v>11.45</v>
      </c>
      <c r="I710">
        <v>0.22</v>
      </c>
      <c r="J710">
        <v>0.44316</v>
      </c>
      <c r="K710">
        <v>0.24</v>
      </c>
      <c r="L710">
        <v>0.24</v>
      </c>
      <c r="M710">
        <v>2.5317419999999999</v>
      </c>
      <c r="N710">
        <v>1.9302239999999999</v>
      </c>
      <c r="O710">
        <v>5.350638</v>
      </c>
      <c r="P710">
        <v>0.19</v>
      </c>
      <c r="Q710" t="s">
        <v>22</v>
      </c>
      <c r="R710" t="s">
        <v>22</v>
      </c>
      <c r="S710">
        <v>1212</v>
      </c>
      <c r="T710">
        <v>1174</v>
      </c>
      <c r="U710">
        <v>-0.08</v>
      </c>
      <c r="W710">
        <v>12.89</v>
      </c>
      <c r="X710">
        <v>105596336</v>
      </c>
    </row>
    <row r="711" spans="1:24" x14ac:dyDescent="0.25">
      <c r="A711" t="s">
        <v>730</v>
      </c>
      <c r="B711">
        <v>710</v>
      </c>
      <c r="C711">
        <v>0.3</v>
      </c>
      <c r="D711">
        <v>0</v>
      </c>
      <c r="E711">
        <v>121100</v>
      </c>
      <c r="F711">
        <v>36328</v>
      </c>
      <c r="G711">
        <v>228960337.5</v>
      </c>
      <c r="H711">
        <v>221328326.25</v>
      </c>
      <c r="I711">
        <v>0.33</v>
      </c>
      <c r="J711">
        <v>6.2507970000000004</v>
      </c>
      <c r="K711">
        <v>-0.15</v>
      </c>
      <c r="L711">
        <v>-0.15</v>
      </c>
      <c r="M711">
        <v>-10.720677</v>
      </c>
      <c r="N711">
        <v>-71.297809999999998</v>
      </c>
      <c r="O711">
        <v>-7.6890479999999997</v>
      </c>
      <c r="P711">
        <v>0.32</v>
      </c>
      <c r="Q711" t="s">
        <v>22</v>
      </c>
      <c r="R711" t="s">
        <v>22</v>
      </c>
      <c r="V711">
        <v>5</v>
      </c>
      <c r="W711">
        <v>0.9</v>
      </c>
      <c r="X711">
        <v>763201125</v>
      </c>
    </row>
    <row r="712" spans="1:24" x14ac:dyDescent="0.25">
      <c r="A712" t="s">
        <v>731</v>
      </c>
      <c r="B712">
        <v>711</v>
      </c>
      <c r="C712">
        <v>26.5</v>
      </c>
      <c r="D712">
        <v>0.95</v>
      </c>
      <c r="E712">
        <v>100</v>
      </c>
      <c r="F712">
        <v>2650</v>
      </c>
      <c r="G712">
        <v>278250000</v>
      </c>
      <c r="H712">
        <v>99.55</v>
      </c>
      <c r="I712">
        <v>0.54</v>
      </c>
      <c r="J712">
        <v>0.23272000000000001</v>
      </c>
      <c r="K712">
        <v>0.5</v>
      </c>
      <c r="L712">
        <v>0.76</v>
      </c>
      <c r="M712">
        <v>1.121175</v>
      </c>
      <c r="N712">
        <v>0.53890000000000005</v>
      </c>
      <c r="O712">
        <v>2.2680400000000001</v>
      </c>
      <c r="P712">
        <v>1.89</v>
      </c>
      <c r="Q712" t="s">
        <v>22</v>
      </c>
      <c r="R712" t="s">
        <v>22</v>
      </c>
      <c r="S712">
        <v>1345</v>
      </c>
      <c r="T712">
        <v>1346</v>
      </c>
      <c r="U712">
        <v>-0.56999999999999995</v>
      </c>
      <c r="W712">
        <v>49.5</v>
      </c>
      <c r="X712">
        <v>10500000</v>
      </c>
    </row>
    <row r="713" spans="1:24" x14ac:dyDescent="0.25">
      <c r="A713" t="s">
        <v>732</v>
      </c>
      <c r="B713">
        <v>712</v>
      </c>
      <c r="C713">
        <v>5.65</v>
      </c>
      <c r="D713">
        <v>2.73</v>
      </c>
      <c r="E713">
        <v>4227729</v>
      </c>
      <c r="F713">
        <v>23888624.149999999</v>
      </c>
      <c r="G713">
        <v>3599408125.25</v>
      </c>
      <c r="H713">
        <v>13.65</v>
      </c>
      <c r="I713">
        <v>2.4300000000000002</v>
      </c>
      <c r="J713">
        <v>0.63546800000000003</v>
      </c>
      <c r="K713">
        <v>0.12</v>
      </c>
      <c r="L713">
        <v>0.23</v>
      </c>
      <c r="M713">
        <v>11.578436999999999</v>
      </c>
      <c r="N713">
        <v>18.672691</v>
      </c>
      <c r="O713">
        <v>9.2675689999999999</v>
      </c>
      <c r="P713">
        <v>3.54</v>
      </c>
      <c r="Q713" t="s">
        <v>22</v>
      </c>
      <c r="R713" t="s">
        <v>22</v>
      </c>
      <c r="S713">
        <v>414</v>
      </c>
      <c r="T713">
        <v>445</v>
      </c>
      <c r="U713">
        <v>4.5999999999999996</v>
      </c>
      <c r="W713">
        <v>2.3199999999999998</v>
      </c>
      <c r="X713">
        <v>637063385</v>
      </c>
    </row>
    <row r="714" spans="1:24" x14ac:dyDescent="0.25">
      <c r="A714" t="s">
        <v>733</v>
      </c>
      <c r="B714">
        <v>713</v>
      </c>
      <c r="C714">
        <v>3.08</v>
      </c>
      <c r="D714">
        <v>0</v>
      </c>
      <c r="E714">
        <v>1051490</v>
      </c>
      <c r="F714">
        <v>3246034</v>
      </c>
      <c r="G714">
        <v>2519137633.3200002</v>
      </c>
      <c r="H714">
        <v>11.77</v>
      </c>
      <c r="I714">
        <v>1.92</v>
      </c>
      <c r="J714">
        <v>1.7520340000000001</v>
      </c>
      <c r="K714">
        <v>0.16</v>
      </c>
      <c r="L714">
        <v>0.14000000000000001</v>
      </c>
      <c r="M714">
        <v>8.4280779999999993</v>
      </c>
      <c r="N714">
        <v>16.251189</v>
      </c>
      <c r="O714">
        <v>8.6969969999999996</v>
      </c>
      <c r="P714">
        <v>5.19</v>
      </c>
      <c r="Q714" t="s">
        <v>22</v>
      </c>
      <c r="R714" t="s">
        <v>22</v>
      </c>
      <c r="S714">
        <v>454</v>
      </c>
      <c r="T714">
        <v>547</v>
      </c>
      <c r="U714">
        <v>0.71</v>
      </c>
      <c r="V714">
        <v>5</v>
      </c>
      <c r="W714">
        <v>1.6</v>
      </c>
      <c r="X714">
        <v>817901829</v>
      </c>
    </row>
    <row r="715" spans="1:24" x14ac:dyDescent="0.25">
      <c r="A715" t="s">
        <v>734</v>
      </c>
      <c r="B715">
        <v>714</v>
      </c>
      <c r="C715">
        <v>3.26</v>
      </c>
      <c r="D715">
        <v>5.84</v>
      </c>
      <c r="E715">
        <v>11262239</v>
      </c>
      <c r="F715">
        <v>36017478.840000004</v>
      </c>
      <c r="G715">
        <v>3520800000</v>
      </c>
      <c r="H715">
        <v>8.98</v>
      </c>
      <c r="I715">
        <v>0.9</v>
      </c>
      <c r="J715">
        <v>1.159986</v>
      </c>
      <c r="K715">
        <v>0.22</v>
      </c>
      <c r="L715">
        <v>0.23</v>
      </c>
      <c r="M715">
        <v>6.3365559999999999</v>
      </c>
      <c r="N715">
        <v>10.160382999999999</v>
      </c>
      <c r="O715">
        <v>2.7838630000000002</v>
      </c>
      <c r="P715">
        <v>6.75</v>
      </c>
      <c r="Q715" t="s">
        <v>22</v>
      </c>
      <c r="R715" t="s">
        <v>22</v>
      </c>
      <c r="S715">
        <v>355</v>
      </c>
      <c r="T715">
        <v>428</v>
      </c>
      <c r="U715">
        <v>0.28000000000000003</v>
      </c>
      <c r="V715">
        <v>5</v>
      </c>
      <c r="W715">
        <v>3.63</v>
      </c>
      <c r="X715">
        <v>1080000000</v>
      </c>
    </row>
    <row r="716" spans="1:24" x14ac:dyDescent="0.25">
      <c r="A716" t="s">
        <v>735</v>
      </c>
      <c r="B716">
        <v>715</v>
      </c>
      <c r="C716">
        <v>1.86</v>
      </c>
      <c r="D716">
        <v>-0.53</v>
      </c>
      <c r="E716">
        <v>372200</v>
      </c>
      <c r="F716">
        <v>692305</v>
      </c>
      <c r="G716">
        <v>558000000</v>
      </c>
      <c r="H716">
        <v>5.58</v>
      </c>
      <c r="I716">
        <v>0.62</v>
      </c>
      <c r="J716">
        <v>0.92207300000000003</v>
      </c>
      <c r="K716">
        <v>0.15</v>
      </c>
      <c r="L716">
        <v>0.13</v>
      </c>
      <c r="M716">
        <v>7.3612310000000001</v>
      </c>
      <c r="N716">
        <v>11.394698</v>
      </c>
      <c r="O716">
        <v>3.854508</v>
      </c>
      <c r="P716">
        <v>8.06</v>
      </c>
      <c r="Q716" t="s">
        <v>22</v>
      </c>
      <c r="R716" t="s">
        <v>22</v>
      </c>
      <c r="S716">
        <v>288</v>
      </c>
      <c r="T716">
        <v>332</v>
      </c>
      <c r="U716">
        <v>-1.1299999999999999</v>
      </c>
      <c r="V716">
        <v>5</v>
      </c>
      <c r="W716">
        <v>3.02</v>
      </c>
      <c r="X716">
        <v>300000000</v>
      </c>
    </row>
    <row r="717" spans="1:24" x14ac:dyDescent="0.25">
      <c r="A717" t="s">
        <v>736</v>
      </c>
      <c r="B717">
        <v>716</v>
      </c>
      <c r="C717">
        <v>1.38</v>
      </c>
      <c r="D717">
        <v>2.2200000000000002</v>
      </c>
      <c r="E717">
        <v>159405</v>
      </c>
      <c r="F717">
        <v>220825.58</v>
      </c>
      <c r="G717">
        <v>331200000</v>
      </c>
      <c r="H717">
        <v>12.36</v>
      </c>
      <c r="I717">
        <v>1.24</v>
      </c>
      <c r="J717">
        <v>1.1202559999999999</v>
      </c>
      <c r="K717">
        <v>3.6999999999999998E-2</v>
      </c>
      <c r="L717">
        <v>0.06</v>
      </c>
      <c r="M717">
        <v>6.441859</v>
      </c>
      <c r="N717">
        <v>10.194213</v>
      </c>
      <c r="O717">
        <v>5.7626030000000004</v>
      </c>
      <c r="P717">
        <v>4.8600000000000003</v>
      </c>
      <c r="Q717" t="s">
        <v>22</v>
      </c>
      <c r="R717" t="s">
        <v>22</v>
      </c>
      <c r="S717">
        <v>568</v>
      </c>
      <c r="T717">
        <v>633</v>
      </c>
      <c r="U717">
        <v>-0.39</v>
      </c>
      <c r="W717">
        <v>1.1200000000000001</v>
      </c>
      <c r="X717">
        <v>240000000</v>
      </c>
    </row>
    <row r="718" spans="1:24" x14ac:dyDescent="0.25">
      <c r="A718" t="s">
        <v>737</v>
      </c>
      <c r="B718">
        <v>717</v>
      </c>
      <c r="C718">
        <v>9.9499999999999993</v>
      </c>
      <c r="D718">
        <v>0.51</v>
      </c>
      <c r="E718">
        <v>15713907</v>
      </c>
      <c r="F718">
        <v>156307714.5</v>
      </c>
      <c r="G718">
        <v>59071013426.550003</v>
      </c>
      <c r="H718">
        <v>9.27</v>
      </c>
      <c r="I718">
        <v>2.67</v>
      </c>
      <c r="J718">
        <v>1.3408420000000001</v>
      </c>
      <c r="K718">
        <v>0.22500000000000001</v>
      </c>
      <c r="L718">
        <v>0.6</v>
      </c>
      <c r="M718">
        <v>16.707478999999999</v>
      </c>
      <c r="N718">
        <v>30.912557</v>
      </c>
      <c r="O718">
        <v>9.7220049999999993</v>
      </c>
      <c r="P718">
        <v>6.9</v>
      </c>
      <c r="Q718" t="s">
        <v>22</v>
      </c>
      <c r="R718" t="s">
        <v>22</v>
      </c>
      <c r="S718">
        <v>235</v>
      </c>
      <c r="T718">
        <v>255</v>
      </c>
      <c r="U718">
        <v>0.13</v>
      </c>
      <c r="V718">
        <v>5</v>
      </c>
      <c r="W718">
        <v>3.73</v>
      </c>
      <c r="X718">
        <v>5936785269</v>
      </c>
    </row>
    <row r="719" spans="1:24" x14ac:dyDescent="0.25">
      <c r="A719" t="s">
        <v>738</v>
      </c>
      <c r="B719">
        <v>718</v>
      </c>
      <c r="C719">
        <v>0.03</v>
      </c>
      <c r="D719">
        <v>-25</v>
      </c>
      <c r="E719">
        <v>202600</v>
      </c>
      <c r="F719">
        <v>8090</v>
      </c>
      <c r="G719">
        <v>504787094.69999999</v>
      </c>
      <c r="H719">
        <v>841311824.5</v>
      </c>
      <c r="I719">
        <v>0.32</v>
      </c>
      <c r="J719">
        <v>0.531779</v>
      </c>
      <c r="K719">
        <v>-0.01</v>
      </c>
      <c r="L719">
        <v>-0.01</v>
      </c>
      <c r="M719">
        <v>-14.147147</v>
      </c>
      <c r="N719">
        <v>-17.902010000000001</v>
      </c>
      <c r="O719">
        <v>-59.582763999999997</v>
      </c>
      <c r="P719">
        <v>0.54</v>
      </c>
      <c r="Q719" t="s">
        <v>22</v>
      </c>
      <c r="R719" t="s">
        <v>22</v>
      </c>
      <c r="V719">
        <v>3</v>
      </c>
      <c r="W719">
        <v>0.09</v>
      </c>
      <c r="X719">
        <v>16826236490</v>
      </c>
    </row>
    <row r="720" spans="1:24" x14ac:dyDescent="0.25">
      <c r="A720" t="s">
        <v>739</v>
      </c>
      <c r="B720">
        <v>719</v>
      </c>
      <c r="C720">
        <v>6.35</v>
      </c>
      <c r="D720">
        <v>0</v>
      </c>
      <c r="E720">
        <v>213410</v>
      </c>
      <c r="F720">
        <v>1358314</v>
      </c>
      <c r="G720">
        <v>6350000000</v>
      </c>
      <c r="H720">
        <v>8.8699999999999992</v>
      </c>
      <c r="I720">
        <v>2.5</v>
      </c>
      <c r="J720">
        <v>0.36096699999999998</v>
      </c>
      <c r="K720">
        <v>0.18</v>
      </c>
      <c r="L720">
        <v>0.31</v>
      </c>
      <c r="M720">
        <v>20.293405</v>
      </c>
      <c r="N720">
        <v>28.716277000000002</v>
      </c>
      <c r="O720">
        <v>10.581251</v>
      </c>
      <c r="P720">
        <v>9.4499999999999993</v>
      </c>
      <c r="Q720" t="s">
        <v>22</v>
      </c>
      <c r="R720" t="s">
        <v>22</v>
      </c>
      <c r="S720">
        <v>236</v>
      </c>
      <c r="T720">
        <v>223</v>
      </c>
      <c r="U720">
        <v>0.08</v>
      </c>
      <c r="V720">
        <v>4</v>
      </c>
      <c r="W720">
        <v>2.54</v>
      </c>
      <c r="X720">
        <v>1000000000</v>
      </c>
    </row>
    <row r="721" spans="1:24" x14ac:dyDescent="0.25">
      <c r="A721" t="s">
        <v>740</v>
      </c>
      <c r="B721">
        <v>720</v>
      </c>
      <c r="C721">
        <v>185.5</v>
      </c>
      <c r="D721">
        <v>-0.27</v>
      </c>
      <c r="E721">
        <v>7900</v>
      </c>
      <c r="F721">
        <v>1469155</v>
      </c>
      <c r="G721">
        <v>61160094597</v>
      </c>
      <c r="H721">
        <v>16.920000000000002</v>
      </c>
      <c r="I721">
        <v>1.62</v>
      </c>
      <c r="J721">
        <v>9.6240000000000006E-2</v>
      </c>
      <c r="K721">
        <v>2.02</v>
      </c>
      <c r="L721">
        <v>5.54</v>
      </c>
      <c r="M721">
        <v>10.437697</v>
      </c>
      <c r="N721">
        <v>9.9050930000000008</v>
      </c>
      <c r="O721">
        <v>16.670584999999999</v>
      </c>
      <c r="P721">
        <v>2.46</v>
      </c>
      <c r="Q721" t="s">
        <v>22</v>
      </c>
      <c r="R721" t="s">
        <v>22</v>
      </c>
      <c r="S721">
        <v>787</v>
      </c>
      <c r="T721">
        <v>658</v>
      </c>
      <c r="U721">
        <v>4.57</v>
      </c>
      <c r="V721">
        <v>5</v>
      </c>
      <c r="W721">
        <v>114.21</v>
      </c>
      <c r="X721">
        <v>329704014</v>
      </c>
    </row>
    <row r="722" spans="1:24" x14ac:dyDescent="0.25">
      <c r="A722" t="s">
        <v>741</v>
      </c>
      <c r="B722">
        <v>721</v>
      </c>
      <c r="C722">
        <v>1.1399999999999999</v>
      </c>
      <c r="D722">
        <v>-0.87</v>
      </c>
      <c r="E722">
        <v>586335</v>
      </c>
      <c r="F722">
        <v>666611.75</v>
      </c>
      <c r="G722">
        <v>2863327917.8400002</v>
      </c>
      <c r="H722">
        <v>13.64</v>
      </c>
      <c r="I722">
        <v>0.9</v>
      </c>
      <c r="J722">
        <v>0.31269000000000002</v>
      </c>
      <c r="K722">
        <v>3.1900000000000001E-3</v>
      </c>
      <c r="L722">
        <v>0.04</v>
      </c>
      <c r="M722">
        <v>5.958196</v>
      </c>
      <c r="N722">
        <v>6.7743989999999998</v>
      </c>
      <c r="O722">
        <v>18.166463</v>
      </c>
      <c r="P722">
        <v>0.28000000000000003</v>
      </c>
      <c r="Q722" t="s">
        <v>22</v>
      </c>
      <c r="R722" t="s">
        <v>22</v>
      </c>
      <c r="S722">
        <v>753</v>
      </c>
      <c r="T722">
        <v>693</v>
      </c>
      <c r="U722">
        <v>3.43</v>
      </c>
      <c r="V722">
        <v>5</v>
      </c>
      <c r="W722">
        <v>1.27</v>
      </c>
      <c r="X722">
        <v>2511691156</v>
      </c>
    </row>
    <row r="723" spans="1:24" x14ac:dyDescent="0.25">
      <c r="A723" t="s">
        <v>742</v>
      </c>
      <c r="B723">
        <v>722</v>
      </c>
      <c r="C723">
        <v>10.9</v>
      </c>
      <c r="D723">
        <v>-1.8</v>
      </c>
      <c r="E723">
        <v>3003</v>
      </c>
      <c r="F723">
        <v>33234.5</v>
      </c>
      <c r="G723">
        <v>8197866368.8000002</v>
      </c>
      <c r="H723">
        <v>7.68</v>
      </c>
      <c r="I723">
        <v>0.74</v>
      </c>
      <c r="J723">
        <v>7.2004000000000001</v>
      </c>
      <c r="K723">
        <v>0.1</v>
      </c>
      <c r="L723">
        <v>0.68</v>
      </c>
      <c r="M723">
        <v>2.145931</v>
      </c>
      <c r="N723">
        <v>10.399737</v>
      </c>
      <c r="O723">
        <v>5.6740320000000004</v>
      </c>
      <c r="P723">
        <v>0.92</v>
      </c>
      <c r="Q723" t="s">
        <v>22</v>
      </c>
      <c r="R723" t="s">
        <v>22</v>
      </c>
      <c r="S723">
        <v>291</v>
      </c>
      <c r="T723">
        <v>758</v>
      </c>
      <c r="U723">
        <v>0.05</v>
      </c>
      <c r="V723">
        <v>5</v>
      </c>
      <c r="W723">
        <v>14.7</v>
      </c>
      <c r="X723">
        <v>752097832</v>
      </c>
    </row>
    <row r="724" spans="1:24" x14ac:dyDescent="0.25">
      <c r="A724" t="s">
        <v>743</v>
      </c>
      <c r="B724">
        <v>723</v>
      </c>
      <c r="C724">
        <v>0.03</v>
      </c>
      <c r="D724">
        <v>-25</v>
      </c>
      <c r="E724">
        <v>1527200</v>
      </c>
      <c r="F724">
        <v>45830</v>
      </c>
      <c r="G724">
        <v>141583796.81999999</v>
      </c>
      <c r="H724">
        <v>188778395.75999999</v>
      </c>
      <c r="I724">
        <v>0.09</v>
      </c>
      <c r="J724">
        <v>0.66802700000000004</v>
      </c>
      <c r="K724">
        <v>-0.01</v>
      </c>
      <c r="L724">
        <v>-0.01</v>
      </c>
      <c r="M724">
        <v>-3.7520579999999999</v>
      </c>
      <c r="N724">
        <v>-8.7327189999999995</v>
      </c>
      <c r="O724">
        <v>-5.5350109999999999</v>
      </c>
      <c r="P724">
        <v>0.12</v>
      </c>
      <c r="Q724" t="s">
        <v>22</v>
      </c>
      <c r="R724" t="s">
        <v>22</v>
      </c>
      <c r="W724">
        <v>0.33</v>
      </c>
      <c r="X724">
        <v>4719459894</v>
      </c>
    </row>
    <row r="725" spans="1:24" x14ac:dyDescent="0.25">
      <c r="A725" t="s">
        <v>744</v>
      </c>
      <c r="B725">
        <v>724</v>
      </c>
      <c r="C725">
        <v>0.46</v>
      </c>
      <c r="D725">
        <v>-4.17</v>
      </c>
      <c r="E725">
        <v>463900</v>
      </c>
      <c r="F725">
        <v>217615</v>
      </c>
      <c r="G725">
        <v>459239083.63999999</v>
      </c>
      <c r="H725">
        <v>7.15</v>
      </c>
      <c r="I725">
        <v>0.27</v>
      </c>
      <c r="J725">
        <v>2.4001999999999999E-2</v>
      </c>
      <c r="K725">
        <v>0.02</v>
      </c>
      <c r="L725">
        <v>0.02</v>
      </c>
      <c r="M725">
        <v>4.7753399999999999</v>
      </c>
      <c r="N725">
        <v>3.8854380000000002</v>
      </c>
      <c r="O725">
        <v>13.851742</v>
      </c>
      <c r="P725">
        <v>0.27</v>
      </c>
      <c r="Q725" t="s">
        <v>22</v>
      </c>
      <c r="R725" t="s">
        <v>22</v>
      </c>
      <c r="S725">
        <v>1204</v>
      </c>
      <c r="T725">
        <v>1208</v>
      </c>
      <c r="U725">
        <v>2.93</v>
      </c>
      <c r="W725">
        <v>1.69</v>
      </c>
      <c r="X725">
        <v>998345834</v>
      </c>
    </row>
    <row r="726" spans="1:24" x14ac:dyDescent="0.25">
      <c r="A726" t="s">
        <v>745</v>
      </c>
      <c r="B726">
        <v>725</v>
      </c>
      <c r="C726">
        <v>5.95</v>
      </c>
      <c r="D726">
        <v>0.85</v>
      </c>
      <c r="E726">
        <v>105207139</v>
      </c>
      <c r="F726">
        <v>622256951.29999995</v>
      </c>
      <c r="G726">
        <v>168404584823.64999</v>
      </c>
      <c r="H726">
        <v>8.18</v>
      </c>
      <c r="I726">
        <v>2.06</v>
      </c>
      <c r="J726">
        <v>2.9358949999999999</v>
      </c>
      <c r="K726">
        <v>0.21</v>
      </c>
      <c r="L726">
        <v>0.41</v>
      </c>
      <c r="M726">
        <v>10.208079</v>
      </c>
      <c r="N726">
        <v>27.571539000000001</v>
      </c>
      <c r="O726">
        <v>11.294900999999999</v>
      </c>
      <c r="P726">
        <v>3.53</v>
      </c>
      <c r="Q726" t="s">
        <v>22</v>
      </c>
      <c r="R726" t="s">
        <v>22</v>
      </c>
      <c r="S726">
        <v>69</v>
      </c>
      <c r="T726">
        <v>137</v>
      </c>
      <c r="W726">
        <v>2.89</v>
      </c>
      <c r="X726">
        <v>28303291567</v>
      </c>
    </row>
    <row r="727" spans="1:24" x14ac:dyDescent="0.25">
      <c r="A727" t="s">
        <v>746</v>
      </c>
      <c r="B727">
        <v>726</v>
      </c>
      <c r="C727">
        <v>1.59</v>
      </c>
      <c r="D727">
        <v>0</v>
      </c>
      <c r="E727">
        <v>51000</v>
      </c>
      <c r="F727">
        <v>81090</v>
      </c>
      <c r="G727">
        <v>441026924.16000003</v>
      </c>
      <c r="H727">
        <v>432705661.44</v>
      </c>
      <c r="I727">
        <v>0.82</v>
      </c>
      <c r="J727">
        <v>1.516867</v>
      </c>
      <c r="K727">
        <v>1.6E-2</v>
      </c>
      <c r="L727">
        <v>-0.09</v>
      </c>
      <c r="M727">
        <v>-1.407446</v>
      </c>
      <c r="N727">
        <v>-4.2887529999999998</v>
      </c>
      <c r="O727">
        <v>-16.261137999999999</v>
      </c>
      <c r="P727">
        <v>0.8</v>
      </c>
      <c r="Q727" t="s">
        <v>22</v>
      </c>
      <c r="R727" t="s">
        <v>22</v>
      </c>
      <c r="V727">
        <v>5</v>
      </c>
      <c r="W727">
        <v>1.94</v>
      </c>
      <c r="X727">
        <v>277375424</v>
      </c>
    </row>
    <row r="728" spans="1:24" x14ac:dyDescent="0.25">
      <c r="A728" t="s">
        <v>747</v>
      </c>
      <c r="B728">
        <v>727</v>
      </c>
      <c r="C728">
        <v>2.16</v>
      </c>
      <c r="D728">
        <v>0</v>
      </c>
      <c r="E728">
        <v>11099312</v>
      </c>
      <c r="F728">
        <v>23813961.899999999</v>
      </c>
      <c r="G728">
        <v>13455349970.4</v>
      </c>
      <c r="H728">
        <v>10.23</v>
      </c>
      <c r="I728">
        <v>0.96</v>
      </c>
      <c r="J728">
        <v>1.756481</v>
      </c>
      <c r="K728">
        <v>0.11</v>
      </c>
      <c r="L728">
        <v>0.11</v>
      </c>
      <c r="M728">
        <v>6.0857999999999999</v>
      </c>
      <c r="N728">
        <v>9.549614</v>
      </c>
      <c r="O728">
        <v>40.528104999999996</v>
      </c>
      <c r="P728">
        <v>5.09</v>
      </c>
      <c r="Q728" t="s">
        <v>22</v>
      </c>
      <c r="R728" t="s">
        <v>22</v>
      </c>
      <c r="S728">
        <v>580</v>
      </c>
      <c r="T728">
        <v>842</v>
      </c>
      <c r="U728">
        <v>-2.37</v>
      </c>
      <c r="V728">
        <v>5</v>
      </c>
      <c r="W728">
        <v>2.2599999999999998</v>
      </c>
      <c r="X728">
        <v>6229328690</v>
      </c>
    </row>
    <row r="729" spans="1:24" x14ac:dyDescent="0.25">
      <c r="A729" t="s">
        <v>748</v>
      </c>
      <c r="B729">
        <v>728</v>
      </c>
      <c r="C729">
        <v>11.1</v>
      </c>
      <c r="D729">
        <v>-1.77</v>
      </c>
      <c r="E729">
        <v>2182422</v>
      </c>
      <c r="F729">
        <v>24403471.800000001</v>
      </c>
      <c r="G729">
        <v>12166731689.4</v>
      </c>
      <c r="H729">
        <v>19.37</v>
      </c>
      <c r="I729">
        <v>1.1599999999999999</v>
      </c>
      <c r="J729">
        <v>0.62659500000000001</v>
      </c>
      <c r="K729">
        <v>0.13</v>
      </c>
      <c r="L729">
        <v>0.46</v>
      </c>
      <c r="M729">
        <v>4.8947279999999997</v>
      </c>
      <c r="N729">
        <v>6.1306000000000003</v>
      </c>
      <c r="O729">
        <v>32.563335000000002</v>
      </c>
      <c r="P729">
        <v>1.1399999999999999</v>
      </c>
      <c r="Q729" t="s">
        <v>22</v>
      </c>
      <c r="R729" t="s">
        <v>22</v>
      </c>
      <c r="S729">
        <v>982</v>
      </c>
      <c r="T729">
        <v>968</v>
      </c>
      <c r="U729">
        <v>0.26</v>
      </c>
      <c r="V729">
        <v>5</v>
      </c>
      <c r="W729">
        <v>9.61</v>
      </c>
      <c r="X729">
        <v>1096101954</v>
      </c>
    </row>
    <row r="730" spans="1:24" x14ac:dyDescent="0.25">
      <c r="A730" t="s">
        <v>749</v>
      </c>
      <c r="B730">
        <v>729</v>
      </c>
      <c r="C730">
        <v>0.88</v>
      </c>
      <c r="D730">
        <v>2.33</v>
      </c>
      <c r="E730">
        <v>57751302</v>
      </c>
      <c r="F730">
        <v>58348948.219999999</v>
      </c>
      <c r="G730">
        <v>969814018.79999995</v>
      </c>
      <c r="H730">
        <v>10.64</v>
      </c>
      <c r="I730">
        <v>0.48</v>
      </c>
      <c r="J730">
        <v>0.53312599999999999</v>
      </c>
      <c r="K730">
        <v>0.1</v>
      </c>
      <c r="L730">
        <v>0.13</v>
      </c>
      <c r="M730">
        <v>4.1244310000000004</v>
      </c>
      <c r="N730">
        <v>4.6242359999999998</v>
      </c>
      <c r="O730">
        <v>4.7929979999999999</v>
      </c>
      <c r="P730">
        <v>0.44</v>
      </c>
      <c r="Q730" t="s">
        <v>22</v>
      </c>
      <c r="R730" t="s">
        <v>22</v>
      </c>
      <c r="S730">
        <v>1368</v>
      </c>
      <c r="T730">
        <v>1326</v>
      </c>
      <c r="U730">
        <v>-5.88</v>
      </c>
      <c r="W730">
        <v>1.83</v>
      </c>
      <c r="X730">
        <v>1102061385</v>
      </c>
    </row>
    <row r="731" spans="1:24" x14ac:dyDescent="0.25">
      <c r="A731" t="s">
        <v>750</v>
      </c>
      <c r="B731">
        <v>730</v>
      </c>
      <c r="C731">
        <v>7.55</v>
      </c>
      <c r="D731">
        <v>-0.66</v>
      </c>
      <c r="E731">
        <v>579837</v>
      </c>
      <c r="F731">
        <v>4403072.25</v>
      </c>
      <c r="G731">
        <v>13508115418</v>
      </c>
      <c r="H731">
        <v>79.47</v>
      </c>
      <c r="I731">
        <v>1.01</v>
      </c>
      <c r="J731">
        <v>0.389741</v>
      </c>
      <c r="K731">
        <v>0.14000000000000001</v>
      </c>
      <c r="L731">
        <v>0.05</v>
      </c>
      <c r="M731">
        <v>3.1987030000000001</v>
      </c>
      <c r="N731">
        <v>1.6629719999999999</v>
      </c>
      <c r="O731">
        <v>2.4304790000000001</v>
      </c>
      <c r="P731">
        <v>1.85</v>
      </c>
      <c r="Q731" t="s">
        <v>22</v>
      </c>
      <c r="R731" t="s">
        <v>22</v>
      </c>
      <c r="S731">
        <v>1300</v>
      </c>
      <c r="T731">
        <v>1219</v>
      </c>
      <c r="U731">
        <v>-0.37</v>
      </c>
      <c r="V731">
        <v>3</v>
      </c>
      <c r="W731">
        <v>7.45</v>
      </c>
      <c r="X731">
        <v>1789154360</v>
      </c>
    </row>
    <row r="732" spans="1:24" x14ac:dyDescent="0.25">
      <c r="A732" t="s">
        <v>751</v>
      </c>
      <c r="B732">
        <v>731</v>
      </c>
      <c r="C732">
        <v>23</v>
      </c>
      <c r="D732">
        <v>-0.86</v>
      </c>
      <c r="E732">
        <v>10159</v>
      </c>
      <c r="F732">
        <v>233859.6</v>
      </c>
      <c r="G732">
        <v>2069992778</v>
      </c>
      <c r="H732">
        <v>12.68</v>
      </c>
      <c r="I732">
        <v>0.73</v>
      </c>
      <c r="J732">
        <v>0.449822</v>
      </c>
      <c r="K732">
        <v>0.55000000000000004</v>
      </c>
      <c r="L732">
        <v>1.1599999999999999</v>
      </c>
      <c r="M732">
        <v>6.4116410000000004</v>
      </c>
      <c r="N732">
        <v>5.7844059999999997</v>
      </c>
      <c r="O732">
        <v>4.6073139999999997</v>
      </c>
      <c r="P732">
        <v>6.96</v>
      </c>
      <c r="Q732" t="s">
        <v>22</v>
      </c>
      <c r="R732" t="s">
        <v>22</v>
      </c>
      <c r="S732">
        <v>841</v>
      </c>
      <c r="T732">
        <v>700</v>
      </c>
      <c r="U732">
        <v>-1.02</v>
      </c>
      <c r="V732">
        <v>5</v>
      </c>
      <c r="W732">
        <v>31.43</v>
      </c>
      <c r="X732">
        <v>89999686</v>
      </c>
    </row>
    <row r="733" spans="1:24" x14ac:dyDescent="0.25">
      <c r="A733" t="s">
        <v>752</v>
      </c>
      <c r="B733">
        <v>732</v>
      </c>
      <c r="C733">
        <v>0.32</v>
      </c>
      <c r="D733">
        <v>0</v>
      </c>
      <c r="E733">
        <v>574710</v>
      </c>
      <c r="F733">
        <v>186127.6</v>
      </c>
      <c r="G733">
        <v>136000000</v>
      </c>
      <c r="H733">
        <v>9.5399999999999991</v>
      </c>
      <c r="I733">
        <v>0.37</v>
      </c>
      <c r="J733">
        <v>0.802651</v>
      </c>
      <c r="L733">
        <v>4.5760147411430108</v>
      </c>
      <c r="M733">
        <v>4.5760149999999999</v>
      </c>
      <c r="N733">
        <v>4.2629460000000003</v>
      </c>
      <c r="O733">
        <v>6.5129999999999993E-2</v>
      </c>
      <c r="P733">
        <v>0.35</v>
      </c>
      <c r="Q733" t="s">
        <v>22</v>
      </c>
      <c r="R733" t="s">
        <v>22</v>
      </c>
      <c r="S733">
        <v>729</v>
      </c>
      <c r="T733">
        <v>651</v>
      </c>
      <c r="U733">
        <v>-0.01</v>
      </c>
      <c r="W733">
        <v>0.86</v>
      </c>
      <c r="X733">
        <v>425000000</v>
      </c>
    </row>
    <row r="734" spans="1:24" x14ac:dyDescent="0.25">
      <c r="A734" t="s">
        <v>753</v>
      </c>
      <c r="B734">
        <v>733</v>
      </c>
      <c r="C734">
        <v>0.56999999999999995</v>
      </c>
      <c r="D734">
        <v>-3.39</v>
      </c>
      <c r="E734">
        <v>48381438</v>
      </c>
      <c r="F734">
        <v>28741911.949999999</v>
      </c>
      <c r="G734">
        <v>2402546484.2399998</v>
      </c>
      <c r="H734">
        <v>15.18</v>
      </c>
      <c r="I734">
        <v>0.61</v>
      </c>
      <c r="J734">
        <v>0.55016799999999999</v>
      </c>
      <c r="K734">
        <v>0.04</v>
      </c>
      <c r="L734">
        <v>0.05</v>
      </c>
      <c r="M734">
        <v>3.2165870000000001</v>
      </c>
      <c r="N734">
        <v>4.1482720000000004</v>
      </c>
      <c r="O734">
        <v>12.521243999999999</v>
      </c>
      <c r="P734">
        <v>0.48</v>
      </c>
      <c r="Q734" t="s">
        <v>22</v>
      </c>
      <c r="R734" t="s">
        <v>22</v>
      </c>
      <c r="S734">
        <v>908</v>
      </c>
      <c r="T734">
        <v>948</v>
      </c>
      <c r="U734">
        <v>-0.15</v>
      </c>
      <c r="V734">
        <v>5</v>
      </c>
      <c r="W734">
        <v>0.94</v>
      </c>
      <c r="X734">
        <v>4214993832</v>
      </c>
    </row>
    <row r="735" spans="1:24" x14ac:dyDescent="0.25">
      <c r="A735" t="s">
        <v>754</v>
      </c>
      <c r="B735">
        <v>734</v>
      </c>
      <c r="C735">
        <v>1.37</v>
      </c>
      <c r="D735">
        <v>-8.67</v>
      </c>
      <c r="E735">
        <v>11343474</v>
      </c>
      <c r="F735">
        <v>16038248.82</v>
      </c>
      <c r="G735">
        <v>849400000</v>
      </c>
      <c r="H735">
        <v>632400000</v>
      </c>
      <c r="I735">
        <v>1.7</v>
      </c>
      <c r="J735">
        <v>3.9731510000000001</v>
      </c>
      <c r="K735">
        <v>7.0000000000000007E-2</v>
      </c>
      <c r="L735">
        <v>-0.09</v>
      </c>
      <c r="M735">
        <v>-2.2792680000000001</v>
      </c>
      <c r="N735">
        <v>-8.8984450000000006</v>
      </c>
      <c r="O735">
        <v>-5.0726969999999998</v>
      </c>
      <c r="P735">
        <v>1.27</v>
      </c>
      <c r="Q735" t="s">
        <v>22</v>
      </c>
      <c r="R735" t="s">
        <v>22</v>
      </c>
      <c r="V735">
        <v>5</v>
      </c>
      <c r="W735">
        <v>0.81</v>
      </c>
      <c r="X735">
        <v>620000000</v>
      </c>
    </row>
    <row r="736" spans="1:24" x14ac:dyDescent="0.25">
      <c r="A736" t="s">
        <v>755</v>
      </c>
      <c r="B736">
        <v>735</v>
      </c>
      <c r="C736">
        <v>19.8</v>
      </c>
      <c r="D736">
        <v>-1.98</v>
      </c>
      <c r="E736">
        <v>11963634</v>
      </c>
      <c r="F736">
        <v>238526509.5</v>
      </c>
      <c r="G736">
        <v>57339405486</v>
      </c>
      <c r="H736">
        <v>10.199999999999999</v>
      </c>
      <c r="I736">
        <v>1.62</v>
      </c>
      <c r="J736">
        <v>2.2524440000000001</v>
      </c>
      <c r="K736">
        <v>0.69</v>
      </c>
      <c r="L736">
        <v>1.0900000000000001</v>
      </c>
      <c r="M736">
        <v>8.2633510000000001</v>
      </c>
      <c r="N736">
        <v>16.461077</v>
      </c>
      <c r="O736">
        <v>25.924598</v>
      </c>
      <c r="P736">
        <v>1.73</v>
      </c>
      <c r="Q736" t="s">
        <v>22</v>
      </c>
      <c r="R736" t="s">
        <v>22</v>
      </c>
      <c r="S736">
        <v>311</v>
      </c>
      <c r="T736">
        <v>462</v>
      </c>
      <c r="U736">
        <v>0.88</v>
      </c>
      <c r="V736">
        <v>4</v>
      </c>
      <c r="W736">
        <v>12.19</v>
      </c>
      <c r="X736">
        <v>2895929570</v>
      </c>
    </row>
    <row r="737" spans="1:24" x14ac:dyDescent="0.25">
      <c r="A737" t="s">
        <v>756</v>
      </c>
      <c r="B737">
        <v>736</v>
      </c>
      <c r="C737">
        <v>0.48</v>
      </c>
      <c r="D737">
        <v>2.13</v>
      </c>
      <c r="E737">
        <v>446900</v>
      </c>
      <c r="F737">
        <v>208289</v>
      </c>
      <c r="G737">
        <v>220800000</v>
      </c>
      <c r="H737">
        <v>193200000</v>
      </c>
      <c r="I737">
        <v>0.47</v>
      </c>
      <c r="J737">
        <v>0.78110500000000005</v>
      </c>
      <c r="K737">
        <v>5.5E-2</v>
      </c>
      <c r="L737">
        <v>-0.01</v>
      </c>
      <c r="M737">
        <v>-7.7053520000000004</v>
      </c>
      <c r="N737">
        <v>-14.050789999999999</v>
      </c>
      <c r="O737">
        <v>-0.97087900000000005</v>
      </c>
      <c r="P737">
        <v>0.41</v>
      </c>
      <c r="Q737" t="s">
        <v>22</v>
      </c>
      <c r="R737" t="s">
        <v>22</v>
      </c>
      <c r="W737">
        <v>1.01</v>
      </c>
      <c r="X737">
        <v>460000000</v>
      </c>
    </row>
    <row r="738" spans="1:24" x14ac:dyDescent="0.25">
      <c r="A738" t="s">
        <v>757</v>
      </c>
      <c r="B738">
        <v>737</v>
      </c>
      <c r="C738">
        <v>6.95</v>
      </c>
      <c r="D738">
        <v>-0.71</v>
      </c>
      <c r="E738">
        <v>129010</v>
      </c>
      <c r="F738">
        <v>892304</v>
      </c>
      <c r="G738">
        <v>3353928498</v>
      </c>
      <c r="H738">
        <v>12.79</v>
      </c>
      <c r="I738">
        <v>0.85</v>
      </c>
      <c r="J738">
        <v>0.37742100000000001</v>
      </c>
      <c r="K738">
        <v>0.1</v>
      </c>
      <c r="L738">
        <v>0.47</v>
      </c>
      <c r="M738">
        <v>6.7662940000000003</v>
      </c>
      <c r="N738">
        <v>6.8286689999999997</v>
      </c>
      <c r="O738">
        <v>24.239542</v>
      </c>
      <c r="P738">
        <v>1.44</v>
      </c>
      <c r="Q738" t="s">
        <v>22</v>
      </c>
      <c r="R738" t="s">
        <v>22</v>
      </c>
      <c r="S738">
        <v>823</v>
      </c>
      <c r="T738">
        <v>717</v>
      </c>
      <c r="U738">
        <v>-0.1</v>
      </c>
      <c r="V738">
        <v>4</v>
      </c>
      <c r="W738">
        <v>8.17</v>
      </c>
      <c r="X738">
        <v>482579640</v>
      </c>
    </row>
    <row r="739" spans="1:24" x14ac:dyDescent="0.25">
      <c r="A739" t="s">
        <v>758</v>
      </c>
      <c r="B739">
        <v>738</v>
      </c>
      <c r="C739">
        <v>25.25</v>
      </c>
      <c r="D739">
        <v>-0.98</v>
      </c>
      <c r="E739">
        <v>914336</v>
      </c>
      <c r="F739">
        <v>23300903.649999999</v>
      </c>
      <c r="G739">
        <v>15005881484</v>
      </c>
      <c r="H739">
        <v>13.58</v>
      </c>
      <c r="I739">
        <v>1.48</v>
      </c>
      <c r="J739">
        <v>2.7147869999999998</v>
      </c>
      <c r="K739">
        <v>1</v>
      </c>
      <c r="L739">
        <v>1.0900000000000001</v>
      </c>
      <c r="M739">
        <v>3.8310919999999999</v>
      </c>
      <c r="N739">
        <v>12.693338000000001</v>
      </c>
      <c r="O739">
        <v>4.0190219999999997</v>
      </c>
      <c r="P739">
        <v>5.94</v>
      </c>
      <c r="Q739" t="s">
        <v>22</v>
      </c>
      <c r="R739" t="s">
        <v>22</v>
      </c>
      <c r="S739">
        <v>595</v>
      </c>
      <c r="T739">
        <v>951</v>
      </c>
      <c r="U739">
        <v>-1.58</v>
      </c>
      <c r="V739">
        <v>5</v>
      </c>
      <c r="W739">
        <v>17.100000000000001</v>
      </c>
      <c r="X739">
        <v>594292336</v>
      </c>
    </row>
    <row r="740" spans="1:24" x14ac:dyDescent="0.25">
      <c r="A740" t="s">
        <v>759</v>
      </c>
      <c r="B740">
        <v>739</v>
      </c>
      <c r="C740">
        <v>127</v>
      </c>
      <c r="D740">
        <v>0</v>
      </c>
      <c r="E740">
        <v>3323335</v>
      </c>
      <c r="F740">
        <v>420786146.5</v>
      </c>
      <c r="G740">
        <v>101681994248</v>
      </c>
      <c r="H740">
        <v>14.8</v>
      </c>
      <c r="I740">
        <v>2.39</v>
      </c>
      <c r="J740">
        <v>5.8284649999999996</v>
      </c>
      <c r="K740">
        <v>5.75</v>
      </c>
      <c r="L740">
        <v>4.37</v>
      </c>
      <c r="M740">
        <v>4.4349270000000001</v>
      </c>
      <c r="N740">
        <v>16.336659000000001</v>
      </c>
      <c r="O740">
        <v>28.400133</v>
      </c>
      <c r="P740">
        <v>6.1</v>
      </c>
      <c r="Q740" t="s">
        <v>22</v>
      </c>
      <c r="R740" t="s">
        <v>22</v>
      </c>
      <c r="S740">
        <v>605</v>
      </c>
      <c r="T740">
        <v>1059</v>
      </c>
      <c r="U740">
        <v>-42.5</v>
      </c>
      <c r="V740">
        <v>5</v>
      </c>
      <c r="W740">
        <v>53.05</v>
      </c>
      <c r="X740">
        <v>800645624</v>
      </c>
    </row>
    <row r="741" spans="1:24" x14ac:dyDescent="0.25">
      <c r="A741" t="s">
        <v>760</v>
      </c>
      <c r="B741">
        <v>740</v>
      </c>
      <c r="C741">
        <v>9.1999999999999993</v>
      </c>
      <c r="D741">
        <v>2.2200000000000002</v>
      </c>
      <c r="E741">
        <v>542301</v>
      </c>
      <c r="F741">
        <v>4971034.2</v>
      </c>
      <c r="G741">
        <v>7194911676.3999996</v>
      </c>
      <c r="H741">
        <v>7.93</v>
      </c>
      <c r="I741">
        <v>3.85</v>
      </c>
      <c r="J741">
        <v>9.6219929999999998</v>
      </c>
      <c r="K741">
        <v>0.4</v>
      </c>
      <c r="L741">
        <v>0.37</v>
      </c>
      <c r="M741">
        <v>6.9786489999999999</v>
      </c>
      <c r="N741">
        <v>61.609247000000003</v>
      </c>
      <c r="O741">
        <v>14.521153999999999</v>
      </c>
      <c r="P741">
        <v>4.3499999999999996</v>
      </c>
      <c r="Q741" t="s">
        <v>22</v>
      </c>
      <c r="R741" t="s">
        <v>22</v>
      </c>
      <c r="S741">
        <v>145</v>
      </c>
      <c r="T741">
        <v>437</v>
      </c>
      <c r="U741">
        <v>0.05</v>
      </c>
      <c r="V741">
        <v>4</v>
      </c>
      <c r="W741">
        <v>2.39</v>
      </c>
      <c r="X741">
        <v>782055617</v>
      </c>
    </row>
    <row r="742" spans="1:24" x14ac:dyDescent="0.25">
      <c r="A742" t="s">
        <v>761</v>
      </c>
      <c r="B742">
        <v>741</v>
      </c>
      <c r="C742">
        <v>4.5</v>
      </c>
      <c r="D742">
        <v>0</v>
      </c>
      <c r="E742">
        <v>36000</v>
      </c>
      <c r="F742">
        <v>161450</v>
      </c>
      <c r="G742">
        <v>2250000000</v>
      </c>
      <c r="H742">
        <v>36.04</v>
      </c>
      <c r="I742">
        <v>0.42</v>
      </c>
      <c r="J742">
        <v>6.5223000000000003E-2</v>
      </c>
      <c r="K742">
        <v>0.2</v>
      </c>
      <c r="L742">
        <v>0.13</v>
      </c>
      <c r="M742">
        <v>1.675953</v>
      </c>
      <c r="N742">
        <v>1.164787</v>
      </c>
      <c r="O742">
        <v>14.158466000000001</v>
      </c>
      <c r="P742">
        <v>4.4400000000000004</v>
      </c>
      <c r="Q742" t="s">
        <v>22</v>
      </c>
      <c r="R742" t="s">
        <v>22</v>
      </c>
      <c r="S742">
        <v>1287</v>
      </c>
      <c r="T742">
        <v>1312</v>
      </c>
      <c r="U742">
        <v>-0.17</v>
      </c>
      <c r="V742">
        <v>4</v>
      </c>
      <c r="W742">
        <v>10.7</v>
      </c>
      <c r="X742">
        <v>500000000</v>
      </c>
    </row>
    <row r="743" spans="1:24" x14ac:dyDescent="0.25">
      <c r="A743" t="s">
        <v>762</v>
      </c>
      <c r="B743">
        <v>742</v>
      </c>
      <c r="C743">
        <v>9</v>
      </c>
      <c r="D743">
        <v>0.56000000000000005</v>
      </c>
      <c r="E743">
        <v>77704</v>
      </c>
      <c r="F743">
        <v>698801</v>
      </c>
      <c r="G743">
        <v>3600000000</v>
      </c>
      <c r="H743">
        <v>14.58</v>
      </c>
      <c r="I743">
        <v>0.85</v>
      </c>
      <c r="J743">
        <v>0.63598500000000002</v>
      </c>
      <c r="K743">
        <v>0.2</v>
      </c>
      <c r="L743">
        <v>0.37</v>
      </c>
      <c r="M743">
        <v>5.3624660000000004</v>
      </c>
      <c r="N743">
        <v>5.9702080000000004</v>
      </c>
      <c r="O743">
        <v>9.2172789999999996</v>
      </c>
      <c r="P743">
        <v>2.2200000000000002</v>
      </c>
      <c r="Q743" t="s">
        <v>22</v>
      </c>
      <c r="R743" t="s">
        <v>22</v>
      </c>
      <c r="S743">
        <v>1084</v>
      </c>
      <c r="T743">
        <v>1033</v>
      </c>
      <c r="U743">
        <v>-7.23</v>
      </c>
      <c r="W743">
        <v>10.55</v>
      </c>
      <c r="X743">
        <v>400000000</v>
      </c>
    </row>
    <row r="744" spans="1:24" x14ac:dyDescent="0.25">
      <c r="A744" t="s">
        <v>763</v>
      </c>
      <c r="B744">
        <v>743</v>
      </c>
      <c r="C744">
        <v>4.2</v>
      </c>
      <c r="D744">
        <v>-2.33</v>
      </c>
      <c r="E744">
        <v>623565</v>
      </c>
      <c r="F744">
        <v>2620572.36</v>
      </c>
      <c r="G744">
        <v>5796000000</v>
      </c>
      <c r="H744">
        <v>12.9</v>
      </c>
      <c r="I744">
        <v>2.63</v>
      </c>
      <c r="J744">
        <v>1.0472520000000001</v>
      </c>
      <c r="K744">
        <v>0.14000000000000001</v>
      </c>
      <c r="L744">
        <v>0.16</v>
      </c>
      <c r="M744">
        <v>12.433216</v>
      </c>
      <c r="N744">
        <v>20.613827000000001</v>
      </c>
      <c r="O744">
        <v>8.5409489999999995</v>
      </c>
      <c r="P744">
        <v>5.95</v>
      </c>
      <c r="Q744" t="s">
        <v>22</v>
      </c>
      <c r="R744" t="s">
        <v>22</v>
      </c>
      <c r="S744">
        <v>533</v>
      </c>
      <c r="T744">
        <v>554</v>
      </c>
      <c r="U744">
        <v>0.33</v>
      </c>
      <c r="V744">
        <v>4</v>
      </c>
      <c r="W744">
        <v>1.6</v>
      </c>
      <c r="X744">
        <v>1380000000</v>
      </c>
    </row>
    <row r="745" spans="1:24" x14ac:dyDescent="0.25">
      <c r="A745" t="s">
        <v>764</v>
      </c>
      <c r="B745">
        <v>744</v>
      </c>
      <c r="C745">
        <v>7.8</v>
      </c>
      <c r="D745">
        <v>0</v>
      </c>
      <c r="E745">
        <v>119378</v>
      </c>
      <c r="F745">
        <v>930678.4</v>
      </c>
      <c r="G745">
        <v>3965897824.1999998</v>
      </c>
      <c r="H745">
        <v>7.36</v>
      </c>
      <c r="I745">
        <v>1.1100000000000001</v>
      </c>
      <c r="J745">
        <v>0.32777899999999999</v>
      </c>
      <c r="K745">
        <v>0.12</v>
      </c>
      <c r="L745">
        <v>0.66</v>
      </c>
      <c r="M745">
        <v>13.233821000000001</v>
      </c>
      <c r="N745">
        <v>15.414021999999999</v>
      </c>
      <c r="O745">
        <v>38.285414000000003</v>
      </c>
      <c r="P745">
        <v>5.95</v>
      </c>
      <c r="Q745" t="s">
        <v>22</v>
      </c>
      <c r="R745" t="s">
        <v>22</v>
      </c>
      <c r="S745">
        <v>287</v>
      </c>
      <c r="T745">
        <v>243</v>
      </c>
      <c r="U745">
        <v>-0.04</v>
      </c>
      <c r="V745">
        <v>5</v>
      </c>
      <c r="W745">
        <v>7</v>
      </c>
      <c r="X745">
        <v>508448439</v>
      </c>
    </row>
    <row r="746" spans="1:24" x14ac:dyDescent="0.25">
      <c r="A746" t="s">
        <v>765</v>
      </c>
      <c r="B746">
        <v>745</v>
      </c>
      <c r="C746">
        <v>0.72</v>
      </c>
      <c r="D746">
        <v>0</v>
      </c>
      <c r="E746">
        <v>21201</v>
      </c>
      <c r="F746">
        <v>15064.74</v>
      </c>
      <c r="G746">
        <v>252561600</v>
      </c>
      <c r="H746">
        <v>249053800</v>
      </c>
      <c r="I746">
        <v>0.39</v>
      </c>
      <c r="J746">
        <v>0.77561899999999995</v>
      </c>
      <c r="K746">
        <v>-0.01</v>
      </c>
      <c r="L746">
        <v>-0.01</v>
      </c>
      <c r="M746">
        <v>0.931477</v>
      </c>
      <c r="N746">
        <v>-0.741954</v>
      </c>
      <c r="O746">
        <v>-0.38747799999999999</v>
      </c>
      <c r="P746">
        <v>0.39</v>
      </c>
      <c r="Q746" t="s">
        <v>22</v>
      </c>
      <c r="R746" t="s">
        <v>22</v>
      </c>
      <c r="V746">
        <v>5</v>
      </c>
      <c r="W746">
        <v>1.84</v>
      </c>
      <c r="X746">
        <v>350780000</v>
      </c>
    </row>
    <row r="747" spans="1:24" x14ac:dyDescent="0.25">
      <c r="A747" t="s">
        <v>766</v>
      </c>
      <c r="B747">
        <v>746</v>
      </c>
      <c r="C747">
        <v>0.46</v>
      </c>
      <c r="D747">
        <v>-2.13</v>
      </c>
      <c r="E747">
        <v>3973500</v>
      </c>
      <c r="F747">
        <v>1866039</v>
      </c>
      <c r="G747">
        <v>2621655987.6199999</v>
      </c>
      <c r="H747">
        <v>14.98</v>
      </c>
      <c r="I747">
        <v>2.77</v>
      </c>
      <c r="J747">
        <v>0.23275100000000001</v>
      </c>
      <c r="K747">
        <v>0.02</v>
      </c>
      <c r="L747">
        <v>0.02</v>
      </c>
      <c r="M747">
        <v>27.134066000000001</v>
      </c>
      <c r="N747">
        <v>25.956188999999998</v>
      </c>
      <c r="O747">
        <v>36.600662999999997</v>
      </c>
      <c r="P747">
        <v>2.65</v>
      </c>
      <c r="Q747" t="s">
        <v>22</v>
      </c>
      <c r="R747" t="s">
        <v>22</v>
      </c>
      <c r="S747">
        <v>787</v>
      </c>
      <c r="T747">
        <v>665</v>
      </c>
      <c r="U747">
        <v>0.08</v>
      </c>
      <c r="W747">
        <v>0.17</v>
      </c>
      <c r="X747">
        <v>5699252147</v>
      </c>
    </row>
    <row r="748" spans="1:24" x14ac:dyDescent="0.25">
      <c r="A748" t="s">
        <v>767</v>
      </c>
      <c r="B748">
        <v>747</v>
      </c>
      <c r="C748">
        <v>11.5</v>
      </c>
      <c r="D748">
        <v>0</v>
      </c>
      <c r="E748">
        <v>14747016</v>
      </c>
      <c r="F748">
        <v>170138258.59999999</v>
      </c>
      <c r="G748">
        <v>131675000000</v>
      </c>
      <c r="H748">
        <v>10.86</v>
      </c>
      <c r="I748">
        <v>0.95</v>
      </c>
      <c r="J748">
        <v>3.4222969999999999</v>
      </c>
      <c r="K748">
        <v>0.6</v>
      </c>
      <c r="L748">
        <v>0.56999999999999995</v>
      </c>
      <c r="M748">
        <v>2.3790800000000001</v>
      </c>
      <c r="N748">
        <v>8.5514200000000002</v>
      </c>
      <c r="O748">
        <v>23.578598</v>
      </c>
      <c r="P748">
        <v>5.22</v>
      </c>
      <c r="Q748" t="s">
        <v>22</v>
      </c>
      <c r="R748" t="s">
        <v>22</v>
      </c>
      <c r="S748">
        <v>569</v>
      </c>
      <c r="T748">
        <v>896</v>
      </c>
      <c r="U748">
        <v>1.1399999999999999</v>
      </c>
      <c r="V748">
        <v>5</v>
      </c>
      <c r="W748">
        <v>12.06</v>
      </c>
      <c r="X748">
        <v>11450000000</v>
      </c>
    </row>
    <row r="749" spans="1:24" x14ac:dyDescent="0.25">
      <c r="A749" t="s">
        <v>768</v>
      </c>
      <c r="B749">
        <v>748</v>
      </c>
      <c r="C749">
        <v>1.39</v>
      </c>
      <c r="D749">
        <v>0.72</v>
      </c>
      <c r="E749">
        <v>2036492</v>
      </c>
      <c r="F749">
        <v>2866688.8</v>
      </c>
      <c r="G749">
        <v>428120247.42000002</v>
      </c>
      <c r="H749">
        <v>13.95</v>
      </c>
      <c r="I749">
        <v>0.99</v>
      </c>
      <c r="J749">
        <v>1.004389</v>
      </c>
      <c r="K749">
        <v>3.3000000000000002E-2</v>
      </c>
      <c r="L749">
        <v>0.05</v>
      </c>
      <c r="M749">
        <v>5.3530990000000003</v>
      </c>
      <c r="N749">
        <v>7.3893610000000001</v>
      </c>
      <c r="O749">
        <v>3.959012</v>
      </c>
      <c r="P749">
        <v>0.8</v>
      </c>
      <c r="Q749" t="s">
        <v>22</v>
      </c>
      <c r="R749" t="s">
        <v>22</v>
      </c>
      <c r="S749">
        <v>596</v>
      </c>
      <c r="T749">
        <v>613</v>
      </c>
      <c r="U749">
        <v>-1</v>
      </c>
      <c r="V749">
        <v>5</v>
      </c>
      <c r="W749">
        <v>1.4</v>
      </c>
      <c r="X749">
        <v>308000178</v>
      </c>
    </row>
    <row r="750" spans="1:24" x14ac:dyDescent="0.25">
      <c r="A750" t="s">
        <v>769</v>
      </c>
      <c r="B750">
        <v>749</v>
      </c>
      <c r="C750">
        <v>10.5</v>
      </c>
      <c r="D750">
        <v>-0.94</v>
      </c>
      <c r="E750">
        <v>342820</v>
      </c>
      <c r="F750">
        <v>3615542</v>
      </c>
      <c r="G750">
        <v>4200037800</v>
      </c>
      <c r="H750">
        <v>8.2899999999999991</v>
      </c>
      <c r="I750">
        <v>1.91</v>
      </c>
      <c r="J750">
        <v>0.75824999999999998</v>
      </c>
      <c r="K750">
        <v>0.24</v>
      </c>
      <c r="L750">
        <v>0.53</v>
      </c>
      <c r="M750">
        <v>17.016829999999999</v>
      </c>
      <c r="N750">
        <v>24.592793</v>
      </c>
      <c r="O750">
        <v>17.280013</v>
      </c>
      <c r="P750">
        <v>5.33</v>
      </c>
      <c r="Q750" t="s">
        <v>22</v>
      </c>
      <c r="R750" t="s">
        <v>22</v>
      </c>
      <c r="S750">
        <v>206</v>
      </c>
      <c r="T750">
        <v>207</v>
      </c>
      <c r="U750">
        <v>0.81</v>
      </c>
      <c r="V750">
        <v>3</v>
      </c>
      <c r="W750">
        <v>5.5</v>
      </c>
      <c r="X750">
        <v>400003600</v>
      </c>
    </row>
    <row r="751" spans="1:24" x14ac:dyDescent="0.25">
      <c r="A751" t="s">
        <v>770</v>
      </c>
      <c r="B751">
        <v>750</v>
      </c>
      <c r="C751">
        <v>0.69</v>
      </c>
      <c r="D751">
        <v>1.47</v>
      </c>
      <c r="E751">
        <v>328549</v>
      </c>
      <c r="F751">
        <v>222130.52</v>
      </c>
      <c r="G751">
        <v>316572000</v>
      </c>
      <c r="H751">
        <v>307396000</v>
      </c>
      <c r="I751">
        <v>0.56000000000000005</v>
      </c>
      <c r="J751">
        <v>0.214617</v>
      </c>
      <c r="K751">
        <v>-0.02</v>
      </c>
      <c r="L751">
        <v>-0.02</v>
      </c>
      <c r="M751">
        <v>3.8934999999999997E-2</v>
      </c>
      <c r="N751">
        <v>-8.9902999999999997E-2</v>
      </c>
      <c r="O751">
        <v>-8.9427210000000006</v>
      </c>
      <c r="P751">
        <v>0.54</v>
      </c>
      <c r="Q751" t="s">
        <v>22</v>
      </c>
      <c r="R751" t="s">
        <v>22</v>
      </c>
      <c r="V751">
        <v>4</v>
      </c>
      <c r="W751">
        <v>1.24</v>
      </c>
      <c r="X751">
        <v>458800000</v>
      </c>
    </row>
    <row r="752" spans="1:24" x14ac:dyDescent="0.25">
      <c r="A752" t="s">
        <v>771</v>
      </c>
      <c r="B752">
        <v>751</v>
      </c>
      <c r="C752">
        <v>27.25</v>
      </c>
      <c r="D752">
        <v>-0.91</v>
      </c>
      <c r="E752">
        <v>2128</v>
      </c>
      <c r="F752">
        <v>58045</v>
      </c>
      <c r="G752">
        <v>4087500000</v>
      </c>
      <c r="H752">
        <v>10.94</v>
      </c>
      <c r="I752">
        <v>1.23</v>
      </c>
      <c r="J752">
        <v>9.8132999999999998E-2</v>
      </c>
      <c r="K752">
        <v>1.7</v>
      </c>
      <c r="L752">
        <v>1.32</v>
      </c>
      <c r="M752">
        <v>12.606723000000001</v>
      </c>
      <c r="N752">
        <v>11.509384000000001</v>
      </c>
      <c r="O752">
        <v>21.203786999999998</v>
      </c>
      <c r="P752">
        <v>6.24</v>
      </c>
      <c r="Q752" t="s">
        <v>22</v>
      </c>
      <c r="R752" t="s">
        <v>22</v>
      </c>
      <c r="S752">
        <v>546</v>
      </c>
      <c r="T752">
        <v>418</v>
      </c>
      <c r="U752">
        <v>13.2</v>
      </c>
      <c r="V752">
        <v>5</v>
      </c>
      <c r="W752">
        <v>22.16</v>
      </c>
      <c r="X752">
        <v>150000000</v>
      </c>
    </row>
    <row r="753" spans="1:24" x14ac:dyDescent="0.25">
      <c r="A753" t="s">
        <v>772</v>
      </c>
      <c r="B753">
        <v>752</v>
      </c>
      <c r="C753">
        <v>0.54</v>
      </c>
      <c r="D753">
        <v>3.85</v>
      </c>
      <c r="E753">
        <v>13450067</v>
      </c>
      <c r="F753">
        <v>7537974.5199999996</v>
      </c>
      <c r="G753">
        <v>362579034.24000001</v>
      </c>
      <c r="H753">
        <v>12.3</v>
      </c>
      <c r="I753">
        <v>1.37</v>
      </c>
      <c r="J753">
        <v>1.7750729999999999</v>
      </c>
      <c r="K753">
        <v>0.01</v>
      </c>
      <c r="L753">
        <v>0.04</v>
      </c>
      <c r="M753">
        <v>7.5694939999999997</v>
      </c>
      <c r="N753">
        <v>11.644944000000001</v>
      </c>
      <c r="O753">
        <v>7.619955</v>
      </c>
      <c r="P753">
        <v>1.85</v>
      </c>
      <c r="Q753" t="s">
        <v>22</v>
      </c>
      <c r="R753" t="s">
        <v>22</v>
      </c>
      <c r="S753">
        <v>590</v>
      </c>
      <c r="T753">
        <v>615</v>
      </c>
      <c r="U753">
        <v>0.01</v>
      </c>
      <c r="V753">
        <v>4</v>
      </c>
      <c r="W753">
        <v>0.39</v>
      </c>
      <c r="X753">
        <v>671442656</v>
      </c>
    </row>
    <row r="754" spans="1:24" x14ac:dyDescent="0.25">
      <c r="A754" t="s">
        <v>773</v>
      </c>
      <c r="B754">
        <v>753</v>
      </c>
      <c r="C754">
        <v>2.58</v>
      </c>
      <c r="D754">
        <v>-0.77</v>
      </c>
      <c r="E754">
        <v>18005</v>
      </c>
      <c r="F754">
        <v>46811</v>
      </c>
      <c r="G754">
        <v>1028553277.38</v>
      </c>
      <c r="H754">
        <v>13.66</v>
      </c>
      <c r="I754">
        <v>0.95</v>
      </c>
      <c r="J754">
        <v>0.39252799999999999</v>
      </c>
      <c r="K754">
        <v>0.05</v>
      </c>
      <c r="L754">
        <v>0.12</v>
      </c>
      <c r="M754">
        <v>6.909116</v>
      </c>
      <c r="N754">
        <v>7.0506929999999999</v>
      </c>
      <c r="O754">
        <v>6.0221559999999998</v>
      </c>
      <c r="P754">
        <v>3.49</v>
      </c>
      <c r="Q754" t="s">
        <v>22</v>
      </c>
      <c r="R754" t="s">
        <v>22</v>
      </c>
      <c r="S754">
        <v>956</v>
      </c>
      <c r="T754">
        <v>857</v>
      </c>
      <c r="U754">
        <v>3.23</v>
      </c>
      <c r="V754">
        <v>5</v>
      </c>
      <c r="W754">
        <v>2.73</v>
      </c>
      <c r="X754">
        <v>398664061</v>
      </c>
    </row>
    <row r="755" spans="1:24" x14ac:dyDescent="0.25">
      <c r="A755" t="s">
        <v>774</v>
      </c>
      <c r="B755">
        <v>754</v>
      </c>
      <c r="C755">
        <v>4.24</v>
      </c>
      <c r="D755">
        <v>1.92</v>
      </c>
      <c r="E755">
        <v>141401</v>
      </c>
      <c r="F755">
        <v>598666.19999999995</v>
      </c>
      <c r="G755">
        <v>3692014064.1599998</v>
      </c>
      <c r="H755">
        <v>8.9600000000000009</v>
      </c>
      <c r="I755">
        <v>1.05</v>
      </c>
      <c r="J755">
        <v>1.592965</v>
      </c>
      <c r="K755">
        <v>0.25</v>
      </c>
      <c r="L755">
        <v>0.46</v>
      </c>
      <c r="M755">
        <v>6.7768769999999998</v>
      </c>
      <c r="N755">
        <v>12.316953</v>
      </c>
      <c r="O755">
        <v>4.4100619999999999</v>
      </c>
      <c r="P755">
        <v>2.36</v>
      </c>
      <c r="Q755" t="s">
        <v>22</v>
      </c>
      <c r="R755" t="s">
        <v>22</v>
      </c>
      <c r="S755">
        <v>1116</v>
      </c>
      <c r="T755">
        <v>1123</v>
      </c>
      <c r="U755">
        <v>-0.2</v>
      </c>
      <c r="V755">
        <v>5</v>
      </c>
      <c r="W755">
        <v>4.03</v>
      </c>
      <c r="X755">
        <v>870758034</v>
      </c>
    </row>
    <row r="756" spans="1:24" x14ac:dyDescent="0.25">
      <c r="A756" t="s">
        <v>775</v>
      </c>
      <c r="B756">
        <v>755</v>
      </c>
      <c r="C756">
        <v>56.5</v>
      </c>
      <c r="D756">
        <v>0.44</v>
      </c>
      <c r="E756">
        <v>14742</v>
      </c>
      <c r="F756">
        <v>832211</v>
      </c>
      <c r="G756">
        <v>2254350000</v>
      </c>
      <c r="H756">
        <v>4.42</v>
      </c>
      <c r="I756">
        <v>0.56000000000000005</v>
      </c>
      <c r="J756">
        <v>0.22877</v>
      </c>
      <c r="K756">
        <v>4.07</v>
      </c>
      <c r="L756">
        <v>3.12</v>
      </c>
      <c r="M756">
        <v>13.177961</v>
      </c>
      <c r="N756">
        <v>13.1904</v>
      </c>
      <c r="O756">
        <v>11.606047</v>
      </c>
      <c r="P756">
        <v>7.2</v>
      </c>
      <c r="Q756" t="s">
        <v>22</v>
      </c>
      <c r="R756" t="s">
        <v>22</v>
      </c>
      <c r="S756">
        <v>181</v>
      </c>
      <c r="T756">
        <v>108</v>
      </c>
      <c r="U756">
        <v>0.05</v>
      </c>
      <c r="W756">
        <v>101.5</v>
      </c>
      <c r="X756">
        <v>39900000</v>
      </c>
    </row>
    <row r="757" spans="1:24" x14ac:dyDescent="0.25">
      <c r="A757" t="s">
        <v>776</v>
      </c>
      <c r="B757">
        <v>756</v>
      </c>
      <c r="C757">
        <v>0.2</v>
      </c>
      <c r="D757">
        <v>5.26</v>
      </c>
      <c r="E757">
        <v>544400</v>
      </c>
      <c r="F757">
        <v>103187</v>
      </c>
      <c r="G757">
        <v>346316541.39999998</v>
      </c>
      <c r="H757">
        <v>329000714.32999998</v>
      </c>
      <c r="I757">
        <v>4.18</v>
      </c>
      <c r="J757">
        <v>6.243601</v>
      </c>
      <c r="K757">
        <v>0.1</v>
      </c>
      <c r="L757">
        <v>-0.01</v>
      </c>
      <c r="M757">
        <v>4.3813310000000003</v>
      </c>
      <c r="N757">
        <v>-13.416918000000001</v>
      </c>
      <c r="O757">
        <v>-17.318857000000001</v>
      </c>
      <c r="P757">
        <v>3.97</v>
      </c>
      <c r="Q757" t="s">
        <v>22</v>
      </c>
      <c r="R757" t="s">
        <v>22</v>
      </c>
      <c r="V757">
        <v>5</v>
      </c>
      <c r="W757">
        <v>0.05</v>
      </c>
      <c r="X757">
        <v>1731582707</v>
      </c>
    </row>
    <row r="758" spans="1:24" x14ac:dyDescent="0.25">
      <c r="A758" t="s">
        <v>777</v>
      </c>
      <c r="B758">
        <v>757</v>
      </c>
      <c r="C758">
        <v>28.5</v>
      </c>
      <c r="D758">
        <v>-0.87</v>
      </c>
      <c r="E758">
        <v>8500</v>
      </c>
      <c r="F758">
        <v>241450</v>
      </c>
      <c r="G758">
        <v>5130000000</v>
      </c>
      <c r="H758">
        <v>15.72</v>
      </c>
      <c r="I758">
        <v>1.48</v>
      </c>
      <c r="J758">
        <v>0.14771899999999999</v>
      </c>
      <c r="K758">
        <v>0.6</v>
      </c>
      <c r="L758">
        <v>1.3</v>
      </c>
      <c r="M758">
        <v>10.626654</v>
      </c>
      <c r="N758">
        <v>9.7021470000000001</v>
      </c>
      <c r="O758">
        <v>11.453867000000001</v>
      </c>
      <c r="P758">
        <v>2.11</v>
      </c>
      <c r="Q758" t="s">
        <v>22</v>
      </c>
      <c r="R758" t="s">
        <v>22</v>
      </c>
      <c r="S758">
        <v>758</v>
      </c>
      <c r="T758">
        <v>621</v>
      </c>
      <c r="U758">
        <v>1.5</v>
      </c>
      <c r="W758">
        <v>19.28</v>
      </c>
      <c r="X758">
        <v>180000000</v>
      </c>
    </row>
    <row r="759" spans="1:24" x14ac:dyDescent="0.25">
      <c r="A759" t="s">
        <v>778</v>
      </c>
      <c r="B759">
        <v>758</v>
      </c>
      <c r="C759">
        <v>2.48</v>
      </c>
      <c r="D759">
        <v>1.64</v>
      </c>
      <c r="E759">
        <v>80400</v>
      </c>
      <c r="F759">
        <v>199926</v>
      </c>
      <c r="G759">
        <v>531724018.07999998</v>
      </c>
      <c r="H759">
        <v>536012115</v>
      </c>
      <c r="I759">
        <v>0.41</v>
      </c>
      <c r="J759">
        <v>2.2121629999999999</v>
      </c>
      <c r="K759">
        <v>0.17499999999999999</v>
      </c>
      <c r="L759">
        <v>0.4536744993601543</v>
      </c>
      <c r="M759">
        <v>0.45367400000000002</v>
      </c>
      <c r="N759">
        <v>-4.7612439999999996</v>
      </c>
      <c r="O759">
        <v>0.22453899999999999</v>
      </c>
      <c r="P759">
        <v>0.41</v>
      </c>
      <c r="Q759" t="s">
        <v>22</v>
      </c>
      <c r="R759" t="s">
        <v>22</v>
      </c>
      <c r="V759">
        <v>5</v>
      </c>
      <c r="W759">
        <v>6.06</v>
      </c>
      <c r="X759">
        <v>214404846</v>
      </c>
    </row>
    <row r="760" spans="1:24" x14ac:dyDescent="0.25">
      <c r="A760" t="s">
        <v>779</v>
      </c>
      <c r="B760">
        <v>759</v>
      </c>
      <c r="C760">
        <v>19.2</v>
      </c>
      <c r="D760">
        <v>0</v>
      </c>
      <c r="E760">
        <v>2300</v>
      </c>
      <c r="F760">
        <v>44110</v>
      </c>
      <c r="G760">
        <v>5635519247</v>
      </c>
      <c r="H760">
        <v>12</v>
      </c>
      <c r="I760">
        <v>0.52</v>
      </c>
      <c r="J760">
        <v>0.35064600000000001</v>
      </c>
      <c r="K760">
        <v>0.6</v>
      </c>
      <c r="L760">
        <v>0.82</v>
      </c>
      <c r="M760">
        <v>5.6787780000000003</v>
      </c>
      <c r="N760">
        <v>4.3511480000000002</v>
      </c>
      <c r="O760">
        <v>45.847653999999999</v>
      </c>
      <c r="P760">
        <v>3.24</v>
      </c>
      <c r="Q760" t="s">
        <v>22</v>
      </c>
      <c r="R760" t="s">
        <v>22</v>
      </c>
      <c r="S760">
        <v>879</v>
      </c>
      <c r="T760">
        <v>732</v>
      </c>
      <c r="U760">
        <v>0.12</v>
      </c>
      <c r="V760">
        <v>5</v>
      </c>
      <c r="W760">
        <v>35.909999999999997</v>
      </c>
      <c r="X760">
        <v>304622662</v>
      </c>
    </row>
    <row r="761" spans="1:24" x14ac:dyDescent="0.25">
      <c r="A761" t="s">
        <v>780</v>
      </c>
      <c r="B761">
        <v>760</v>
      </c>
      <c r="C761">
        <v>2.9</v>
      </c>
      <c r="D761">
        <v>0</v>
      </c>
      <c r="E761">
        <v>86250</v>
      </c>
      <c r="F761">
        <v>248598.2</v>
      </c>
      <c r="G761">
        <v>2320000000</v>
      </c>
      <c r="H761">
        <v>10.78</v>
      </c>
      <c r="I761">
        <v>1.68</v>
      </c>
      <c r="J761">
        <v>0.28554800000000002</v>
      </c>
      <c r="K761">
        <v>5.2499999999999998E-2</v>
      </c>
      <c r="L761">
        <v>0.13</v>
      </c>
      <c r="M761">
        <v>15.885104</v>
      </c>
      <c r="N761">
        <v>16.323913999999998</v>
      </c>
      <c r="O761">
        <v>6.3492639999999998</v>
      </c>
      <c r="P761">
        <v>3.62</v>
      </c>
      <c r="Q761" t="s">
        <v>22</v>
      </c>
      <c r="R761" t="s">
        <v>22</v>
      </c>
      <c r="S761">
        <v>415</v>
      </c>
      <c r="T761">
        <v>345</v>
      </c>
      <c r="U761">
        <v>2.71</v>
      </c>
      <c r="V761">
        <v>4</v>
      </c>
      <c r="W761">
        <v>1.73</v>
      </c>
      <c r="X761">
        <v>800000000</v>
      </c>
    </row>
    <row r="762" spans="1:24" x14ac:dyDescent="0.25">
      <c r="A762" t="s">
        <v>781</v>
      </c>
      <c r="B762">
        <v>761</v>
      </c>
      <c r="C762">
        <v>0.96</v>
      </c>
      <c r="D762">
        <v>-1.03</v>
      </c>
      <c r="E762">
        <v>14800</v>
      </c>
      <c r="F762">
        <v>14066</v>
      </c>
      <c r="G762">
        <v>327181372.80000001</v>
      </c>
      <c r="H762">
        <v>320365094.19999999</v>
      </c>
      <c r="I762">
        <v>0.83</v>
      </c>
      <c r="J762">
        <v>2.0912419999999998</v>
      </c>
      <c r="K762">
        <v>1.7999999999999999E-2</v>
      </c>
      <c r="L762">
        <v>0.04</v>
      </c>
      <c r="M762">
        <v>0.62778800000000001</v>
      </c>
      <c r="N762">
        <v>-21.956420999999999</v>
      </c>
      <c r="O762">
        <v>1.7272069999999999</v>
      </c>
      <c r="P762">
        <v>0.82</v>
      </c>
      <c r="Q762" t="s">
        <v>22</v>
      </c>
      <c r="R762" t="s">
        <v>22</v>
      </c>
      <c r="W762">
        <v>1.1499999999999999</v>
      </c>
      <c r="X762">
        <v>340813930</v>
      </c>
    </row>
    <row r="763" spans="1:24" x14ac:dyDescent="0.25">
      <c r="A763" t="s">
        <v>782</v>
      </c>
      <c r="B763">
        <v>762</v>
      </c>
      <c r="C763">
        <v>6.2</v>
      </c>
      <c r="D763">
        <v>1.64</v>
      </c>
      <c r="E763">
        <v>116300</v>
      </c>
      <c r="F763">
        <v>718970</v>
      </c>
      <c r="G763">
        <v>1860000000</v>
      </c>
      <c r="H763">
        <v>10.01</v>
      </c>
      <c r="I763">
        <v>1.42</v>
      </c>
      <c r="J763">
        <v>0.95876899999999998</v>
      </c>
      <c r="K763">
        <v>0.2</v>
      </c>
      <c r="L763">
        <v>0.45</v>
      </c>
      <c r="M763">
        <v>9.0974190000000004</v>
      </c>
      <c r="N763">
        <v>14.452809</v>
      </c>
      <c r="O763">
        <v>14.225178</v>
      </c>
      <c r="P763">
        <v>6.45</v>
      </c>
      <c r="Q763" t="s">
        <v>22</v>
      </c>
      <c r="R763" t="s">
        <v>22</v>
      </c>
      <c r="S763">
        <v>367</v>
      </c>
      <c r="T763">
        <v>410</v>
      </c>
      <c r="U763">
        <v>-0.41</v>
      </c>
      <c r="V763">
        <v>4</v>
      </c>
      <c r="W763">
        <v>4.3499999999999996</v>
      </c>
      <c r="X763">
        <v>300000000</v>
      </c>
    </row>
    <row r="764" spans="1:24" x14ac:dyDescent="0.25">
      <c r="A764" t="s">
        <v>783</v>
      </c>
      <c r="B764">
        <v>763</v>
      </c>
      <c r="C764">
        <v>15.2</v>
      </c>
      <c r="D764">
        <v>-1.94</v>
      </c>
      <c r="E764">
        <v>1272491</v>
      </c>
      <c r="F764">
        <v>19353308.800000001</v>
      </c>
      <c r="G764">
        <v>30840800000</v>
      </c>
      <c r="H764">
        <v>9.1999999999999993</v>
      </c>
      <c r="I764">
        <v>1.9</v>
      </c>
      <c r="J764">
        <v>0.44663199999999997</v>
      </c>
      <c r="K764">
        <v>0.38</v>
      </c>
      <c r="L764">
        <v>0.86</v>
      </c>
      <c r="M764">
        <v>18.619378999999999</v>
      </c>
      <c r="N764">
        <v>21.923684999999999</v>
      </c>
      <c r="O764">
        <v>15.067942</v>
      </c>
      <c r="P764">
        <v>4.93</v>
      </c>
      <c r="Q764" t="s">
        <v>22</v>
      </c>
      <c r="R764" t="s">
        <v>22</v>
      </c>
      <c r="S764">
        <v>348</v>
      </c>
      <c r="T764">
        <v>316</v>
      </c>
      <c r="U764">
        <v>0.52</v>
      </c>
      <c r="V764">
        <v>5</v>
      </c>
      <c r="W764">
        <v>8</v>
      </c>
      <c r="X764">
        <v>2029000000</v>
      </c>
    </row>
    <row r="765" spans="1:24" x14ac:dyDescent="0.25">
      <c r="A765" t="s">
        <v>784</v>
      </c>
      <c r="B765">
        <v>764</v>
      </c>
      <c r="C765">
        <v>7.05</v>
      </c>
      <c r="D765">
        <v>-0.7</v>
      </c>
      <c r="E765">
        <v>97440</v>
      </c>
      <c r="F765">
        <v>691315</v>
      </c>
      <c r="G765">
        <v>3343941900</v>
      </c>
      <c r="H765">
        <v>12.58</v>
      </c>
      <c r="I765">
        <v>1.4</v>
      </c>
      <c r="J765">
        <v>0.89157900000000001</v>
      </c>
      <c r="K765">
        <v>0.15</v>
      </c>
      <c r="L765">
        <v>0.15</v>
      </c>
      <c r="M765">
        <v>6.5816520000000001</v>
      </c>
      <c r="N765">
        <v>11.201654</v>
      </c>
      <c r="O765">
        <v>3.7353869999999998</v>
      </c>
      <c r="P765">
        <v>7.09</v>
      </c>
      <c r="Q765" t="s">
        <v>22</v>
      </c>
      <c r="R765" t="s">
        <v>22</v>
      </c>
      <c r="S765">
        <v>628</v>
      </c>
      <c r="T765">
        <v>714</v>
      </c>
      <c r="U765">
        <v>3.84</v>
      </c>
      <c r="V765">
        <v>5</v>
      </c>
      <c r="W765">
        <v>5.04</v>
      </c>
      <c r="X765">
        <v>474318000</v>
      </c>
    </row>
    <row r="766" spans="1:24" x14ac:dyDescent="0.25">
      <c r="A766" t="s">
        <v>785</v>
      </c>
      <c r="B766">
        <v>765</v>
      </c>
      <c r="C766">
        <v>62</v>
      </c>
      <c r="D766">
        <v>-0.4</v>
      </c>
      <c r="E766">
        <v>16941576</v>
      </c>
      <c r="F766">
        <v>1047600742.25</v>
      </c>
      <c r="G766">
        <v>138497805092</v>
      </c>
      <c r="H766">
        <v>4.28</v>
      </c>
      <c r="I766">
        <v>0.68</v>
      </c>
      <c r="J766">
        <v>0.85978200000000005</v>
      </c>
      <c r="K766">
        <v>1</v>
      </c>
      <c r="L766">
        <v>12.43</v>
      </c>
      <c r="M766">
        <v>10.439140999999999</v>
      </c>
      <c r="N766">
        <v>17.426742000000001</v>
      </c>
      <c r="O766">
        <v>11.131016000000001</v>
      </c>
      <c r="P766">
        <v>2.9</v>
      </c>
      <c r="Q766" t="s">
        <v>22</v>
      </c>
      <c r="R766" t="s">
        <v>22</v>
      </c>
      <c r="S766">
        <v>161</v>
      </c>
      <c r="T766">
        <v>243</v>
      </c>
      <c r="U766">
        <v>0.17</v>
      </c>
      <c r="V766">
        <v>5</v>
      </c>
      <c r="W766">
        <v>90.69</v>
      </c>
      <c r="X766">
        <v>2233835566</v>
      </c>
    </row>
    <row r="767" spans="1:24" x14ac:dyDescent="0.25">
      <c r="A767" t="s">
        <v>786</v>
      </c>
      <c r="B767">
        <v>766</v>
      </c>
      <c r="C767">
        <v>133</v>
      </c>
      <c r="D767">
        <v>0</v>
      </c>
      <c r="E767">
        <v>201</v>
      </c>
      <c r="F767">
        <v>26772.5</v>
      </c>
      <c r="G767">
        <v>798000000</v>
      </c>
      <c r="H767">
        <v>5.24</v>
      </c>
      <c r="I767">
        <v>0.44</v>
      </c>
      <c r="J767">
        <v>0.18679599999999999</v>
      </c>
      <c r="K767">
        <v>4.42</v>
      </c>
      <c r="L767">
        <v>15.12</v>
      </c>
      <c r="M767">
        <v>8.860811</v>
      </c>
      <c r="N767">
        <v>8.6465759999999996</v>
      </c>
      <c r="O767">
        <v>10.025349</v>
      </c>
      <c r="P767">
        <v>3.32</v>
      </c>
      <c r="Q767" t="s">
        <v>22</v>
      </c>
      <c r="R767" t="s">
        <v>22</v>
      </c>
      <c r="S767">
        <v>589</v>
      </c>
      <c r="T767">
        <v>475</v>
      </c>
      <c r="U767">
        <v>1.06</v>
      </c>
      <c r="V767">
        <v>3</v>
      </c>
      <c r="W767">
        <v>303.56</v>
      </c>
      <c r="X767">
        <v>6000000</v>
      </c>
    </row>
    <row r="768" spans="1:24" x14ac:dyDescent="0.25">
      <c r="A768" t="s">
        <v>787</v>
      </c>
      <c r="B768">
        <v>767</v>
      </c>
      <c r="C768">
        <v>2.7</v>
      </c>
      <c r="D768">
        <v>-1.46</v>
      </c>
      <c r="E768">
        <v>16702</v>
      </c>
      <c r="F768">
        <v>42721.4</v>
      </c>
      <c r="G768">
        <v>328050000</v>
      </c>
      <c r="H768">
        <v>54.5</v>
      </c>
      <c r="I768">
        <v>0.91</v>
      </c>
      <c r="J768">
        <v>0.45956999999999998</v>
      </c>
      <c r="K768">
        <v>0.25</v>
      </c>
      <c r="L768">
        <v>0.04</v>
      </c>
      <c r="M768">
        <v>1.07613</v>
      </c>
      <c r="N768">
        <v>1.6922029999999999</v>
      </c>
      <c r="O768">
        <v>2.0452940000000002</v>
      </c>
      <c r="P768">
        <v>0.86</v>
      </c>
      <c r="Q768" t="s">
        <v>22</v>
      </c>
      <c r="R768" t="s">
        <v>22</v>
      </c>
      <c r="S768">
        <v>1286</v>
      </c>
      <c r="T768">
        <v>1335</v>
      </c>
      <c r="U768">
        <v>-0.3</v>
      </c>
      <c r="V768">
        <v>4</v>
      </c>
      <c r="W768">
        <v>2.95</v>
      </c>
      <c r="X768">
        <v>121500000</v>
      </c>
    </row>
    <row r="769" spans="1:24" x14ac:dyDescent="0.25">
      <c r="A769" t="s">
        <v>788</v>
      </c>
      <c r="B769">
        <v>768</v>
      </c>
      <c r="C769">
        <v>10.4</v>
      </c>
      <c r="D769">
        <v>0.97</v>
      </c>
      <c r="E769">
        <v>35504</v>
      </c>
      <c r="F769">
        <v>365554</v>
      </c>
      <c r="G769">
        <v>3396119989.5999999</v>
      </c>
      <c r="H769">
        <v>6.09</v>
      </c>
      <c r="I769">
        <v>1.0900000000000001</v>
      </c>
      <c r="J769">
        <v>1.5049650000000001</v>
      </c>
      <c r="K769">
        <v>0.438</v>
      </c>
      <c r="L769">
        <v>0.89</v>
      </c>
      <c r="M769">
        <v>11.060997</v>
      </c>
      <c r="N769">
        <v>18.770045</v>
      </c>
      <c r="O769">
        <v>7.7939550000000004</v>
      </c>
      <c r="P769">
        <v>4.21</v>
      </c>
      <c r="Q769" t="s">
        <v>22</v>
      </c>
      <c r="R769" t="s">
        <v>22</v>
      </c>
      <c r="S769">
        <v>160</v>
      </c>
      <c r="T769">
        <v>205</v>
      </c>
      <c r="U769">
        <v>0.14000000000000001</v>
      </c>
      <c r="V769">
        <v>5</v>
      </c>
      <c r="W769">
        <v>9.58</v>
      </c>
      <c r="X769">
        <v>326549999</v>
      </c>
    </row>
    <row r="770" spans="1:24" x14ac:dyDescent="0.25">
      <c r="A770" t="s">
        <v>789</v>
      </c>
      <c r="B770">
        <v>769</v>
      </c>
      <c r="C770">
        <v>3.7</v>
      </c>
      <c r="D770">
        <v>2.78</v>
      </c>
      <c r="E770">
        <v>299100</v>
      </c>
      <c r="F770">
        <v>1096852</v>
      </c>
      <c r="G770">
        <v>1542455630</v>
      </c>
      <c r="H770">
        <v>6.83</v>
      </c>
      <c r="I770">
        <v>0.52</v>
      </c>
      <c r="J770">
        <v>0.49817099999999997</v>
      </c>
      <c r="K770">
        <v>0.23</v>
      </c>
      <c r="L770">
        <v>0.36</v>
      </c>
      <c r="M770">
        <v>7.2198089999999997</v>
      </c>
      <c r="N770">
        <v>7.8197010000000002</v>
      </c>
      <c r="O770">
        <v>6.629912</v>
      </c>
      <c r="P770">
        <v>6.22</v>
      </c>
      <c r="Q770" t="s">
        <v>22</v>
      </c>
      <c r="R770" t="s">
        <v>22</v>
      </c>
      <c r="S770">
        <v>449</v>
      </c>
      <c r="T770">
        <v>364</v>
      </c>
      <c r="U770">
        <v>0.06</v>
      </c>
      <c r="V770">
        <v>5</v>
      </c>
      <c r="W770">
        <v>7.09</v>
      </c>
      <c r="X770">
        <v>416879900</v>
      </c>
    </row>
    <row r="771" spans="1:24" x14ac:dyDescent="0.25">
      <c r="A771" t="s">
        <v>790</v>
      </c>
      <c r="B771">
        <v>770</v>
      </c>
      <c r="C771">
        <v>0.94</v>
      </c>
      <c r="D771">
        <v>-1.05</v>
      </c>
      <c r="E771">
        <v>4569077</v>
      </c>
      <c r="F771">
        <v>4412825.5199999996</v>
      </c>
      <c r="G771">
        <v>377128000</v>
      </c>
      <c r="H771">
        <v>477428000</v>
      </c>
      <c r="I771">
        <v>0.16</v>
      </c>
      <c r="J771">
        <v>1.0510250000000001</v>
      </c>
      <c r="K771">
        <v>3.6999999999999998E-2</v>
      </c>
      <c r="L771">
        <v>-1.55</v>
      </c>
      <c r="M771">
        <v>-8.8877020000000009</v>
      </c>
      <c r="N771">
        <v>-31.934697</v>
      </c>
      <c r="O771">
        <v>-50.768687999999997</v>
      </c>
      <c r="P771">
        <v>0.2</v>
      </c>
      <c r="Q771" t="s">
        <v>22</v>
      </c>
      <c r="R771" t="s">
        <v>22</v>
      </c>
      <c r="W771">
        <v>5.98</v>
      </c>
      <c r="X771">
        <v>401200000</v>
      </c>
    </row>
    <row r="772" spans="1:24" x14ac:dyDescent="0.25">
      <c r="A772" t="s">
        <v>791</v>
      </c>
      <c r="B772">
        <v>771</v>
      </c>
      <c r="C772">
        <v>10.3</v>
      </c>
      <c r="D772">
        <v>0.98</v>
      </c>
      <c r="E772">
        <v>1603</v>
      </c>
      <c r="F772">
        <v>16380.6</v>
      </c>
      <c r="G772">
        <v>1101600000</v>
      </c>
      <c r="H772">
        <v>13.48</v>
      </c>
      <c r="I772">
        <v>0.4</v>
      </c>
      <c r="J772">
        <v>0.110985</v>
      </c>
      <c r="K772">
        <v>0.7</v>
      </c>
      <c r="L772">
        <v>0.51</v>
      </c>
      <c r="M772">
        <v>2.8340269999999999</v>
      </c>
      <c r="N772">
        <v>3.040216</v>
      </c>
      <c r="O772">
        <v>8.0487590000000004</v>
      </c>
      <c r="P772">
        <v>6.86</v>
      </c>
      <c r="Q772" t="s">
        <v>22</v>
      </c>
      <c r="R772" t="s">
        <v>22</v>
      </c>
      <c r="S772">
        <v>900</v>
      </c>
      <c r="T772">
        <v>872</v>
      </c>
      <c r="U772">
        <v>-0.03</v>
      </c>
      <c r="V772">
        <v>4</v>
      </c>
      <c r="W772">
        <v>25.21</v>
      </c>
      <c r="X772">
        <v>108000000</v>
      </c>
    </row>
    <row r="773" spans="1:24" x14ac:dyDescent="0.25">
      <c r="A773" t="s">
        <v>792</v>
      </c>
      <c r="B773">
        <v>772</v>
      </c>
      <c r="C773">
        <v>0.91</v>
      </c>
      <c r="D773">
        <v>0</v>
      </c>
      <c r="E773">
        <v>5594255</v>
      </c>
      <c r="F773">
        <v>5096152.29</v>
      </c>
      <c r="G773">
        <v>17231063850</v>
      </c>
      <c r="H773">
        <v>6.83</v>
      </c>
      <c r="I773">
        <v>0.3</v>
      </c>
      <c r="J773">
        <v>1.401195</v>
      </c>
      <c r="K773">
        <v>0.03</v>
      </c>
      <c r="L773">
        <v>0.1</v>
      </c>
      <c r="M773">
        <v>3.832036</v>
      </c>
      <c r="N773">
        <v>4.4897499999999999</v>
      </c>
      <c r="O773">
        <v>10.463775</v>
      </c>
      <c r="P773">
        <v>3.3</v>
      </c>
      <c r="Q773" t="s">
        <v>22</v>
      </c>
      <c r="R773" t="s">
        <v>22</v>
      </c>
      <c r="S773">
        <v>694</v>
      </c>
      <c r="T773">
        <v>667</v>
      </c>
      <c r="U773">
        <v>-0.67</v>
      </c>
      <c r="V773">
        <v>4</v>
      </c>
      <c r="W773">
        <v>3.02</v>
      </c>
      <c r="X773">
        <v>18935235000</v>
      </c>
    </row>
    <row r="774" spans="1:24" x14ac:dyDescent="0.25">
      <c r="A774" t="s">
        <v>793</v>
      </c>
      <c r="B774">
        <v>773</v>
      </c>
      <c r="C774">
        <v>1.76</v>
      </c>
      <c r="D774">
        <v>0.56999999999999995</v>
      </c>
      <c r="E774">
        <v>3681865</v>
      </c>
      <c r="F774">
        <v>6456025.0700000003</v>
      </c>
      <c r="G774">
        <v>14784000000</v>
      </c>
      <c r="H774">
        <v>11.09</v>
      </c>
      <c r="I774">
        <v>0.41</v>
      </c>
      <c r="J774">
        <v>0.88279600000000003</v>
      </c>
      <c r="K774">
        <v>7.0000000000000007E-2</v>
      </c>
      <c r="L774">
        <v>0.06</v>
      </c>
      <c r="M774">
        <v>3.0881120000000002</v>
      </c>
      <c r="N774">
        <v>3.708256</v>
      </c>
      <c r="O774">
        <v>11.976452</v>
      </c>
      <c r="P774">
        <v>3.98</v>
      </c>
      <c r="Q774" t="s">
        <v>22</v>
      </c>
      <c r="R774" t="s">
        <v>22</v>
      </c>
      <c r="S774">
        <v>866</v>
      </c>
      <c r="T774">
        <v>866</v>
      </c>
      <c r="U774">
        <v>-1.02</v>
      </c>
      <c r="V774">
        <v>4</v>
      </c>
      <c r="W774">
        <v>4.33</v>
      </c>
      <c r="X774">
        <v>8400000000</v>
      </c>
    </row>
    <row r="775" spans="1:24" x14ac:dyDescent="0.25">
      <c r="A775" t="s">
        <v>794</v>
      </c>
      <c r="B775">
        <v>774</v>
      </c>
      <c r="C775">
        <v>0.47</v>
      </c>
      <c r="D775">
        <v>-2.08</v>
      </c>
      <c r="E775">
        <v>234201</v>
      </c>
      <c r="F775">
        <v>111240.49</v>
      </c>
      <c r="G775">
        <v>926183730.07000005</v>
      </c>
      <c r="H775">
        <v>965595803.69000006</v>
      </c>
      <c r="I775">
        <v>0.55000000000000004</v>
      </c>
      <c r="J775">
        <v>0.70853600000000005</v>
      </c>
      <c r="K775">
        <v>-0.02</v>
      </c>
      <c r="L775">
        <v>-0.02</v>
      </c>
      <c r="M775">
        <v>-3.7103039999999998</v>
      </c>
      <c r="N775">
        <v>-9.2289720000000006</v>
      </c>
      <c r="O775">
        <v>-5.3811</v>
      </c>
      <c r="P775">
        <v>0.56999999999999995</v>
      </c>
      <c r="Q775" t="s">
        <v>22</v>
      </c>
      <c r="R775" t="s">
        <v>22</v>
      </c>
      <c r="W775">
        <v>0.85</v>
      </c>
      <c r="X775">
        <v>1970603681</v>
      </c>
    </row>
    <row r="776" spans="1:24" x14ac:dyDescent="0.25">
      <c r="A776" t="s">
        <v>795</v>
      </c>
      <c r="B776">
        <v>775</v>
      </c>
      <c r="C776">
        <v>1.18</v>
      </c>
      <c r="D776">
        <v>0</v>
      </c>
      <c r="E776">
        <v>65401</v>
      </c>
      <c r="F776">
        <v>76894.17</v>
      </c>
      <c r="G776">
        <v>318600000</v>
      </c>
      <c r="H776">
        <v>16.940000000000001</v>
      </c>
      <c r="I776">
        <v>1.01</v>
      </c>
      <c r="J776">
        <v>0.183119</v>
      </c>
      <c r="K776">
        <v>0.04</v>
      </c>
      <c r="L776">
        <v>0.05</v>
      </c>
      <c r="M776">
        <v>6.5525630000000001</v>
      </c>
      <c r="N776">
        <v>6.0243349999999998</v>
      </c>
      <c r="O776">
        <v>5.4540569999999997</v>
      </c>
      <c r="P776">
        <v>3.39</v>
      </c>
      <c r="Q776" t="s">
        <v>22</v>
      </c>
      <c r="R776" t="s">
        <v>22</v>
      </c>
      <c r="S776">
        <v>975</v>
      </c>
      <c r="T776">
        <v>836</v>
      </c>
      <c r="U776">
        <v>-0.63</v>
      </c>
      <c r="V776">
        <v>3</v>
      </c>
      <c r="W776">
        <v>1.17</v>
      </c>
      <c r="X776">
        <v>270000000</v>
      </c>
    </row>
    <row r="777" spans="1:24" x14ac:dyDescent="0.25">
      <c r="A777" t="s">
        <v>796</v>
      </c>
      <c r="B777">
        <v>776</v>
      </c>
      <c r="C777">
        <v>0.09</v>
      </c>
      <c r="D777">
        <v>0</v>
      </c>
      <c r="E777">
        <v>8800</v>
      </c>
      <c r="F777">
        <v>878</v>
      </c>
      <c r="G777">
        <v>51548353.560000002</v>
      </c>
      <c r="H777">
        <v>57275948.399999999</v>
      </c>
      <c r="I777">
        <v>2.8774035878503947</v>
      </c>
      <c r="J777">
        <v>2.8774039999999999</v>
      </c>
      <c r="K777">
        <v>1.065E-2</v>
      </c>
      <c r="L777">
        <v>-0.73</v>
      </c>
      <c r="M777">
        <v>-8.4260389999999994</v>
      </c>
      <c r="N777">
        <v>-405.42355400000002</v>
      </c>
      <c r="O777">
        <v>-49.396391000000001</v>
      </c>
      <c r="P777">
        <v>0</v>
      </c>
      <c r="Q777" t="s">
        <v>22</v>
      </c>
      <c r="R777" t="s">
        <v>22</v>
      </c>
      <c r="V777">
        <v>3</v>
      </c>
      <c r="W777">
        <v>-0.56000000000000005</v>
      </c>
      <c r="X777">
        <v>572759484</v>
      </c>
    </row>
    <row r="778" spans="1:24" x14ac:dyDescent="0.25">
      <c r="A778" t="s">
        <v>797</v>
      </c>
      <c r="B778">
        <v>777</v>
      </c>
      <c r="C778">
        <v>12.7</v>
      </c>
      <c r="D778">
        <v>-0.78</v>
      </c>
      <c r="E778">
        <v>7505</v>
      </c>
      <c r="F778">
        <v>95364</v>
      </c>
      <c r="G778">
        <v>476250000</v>
      </c>
      <c r="H778">
        <v>6.6</v>
      </c>
      <c r="I778">
        <v>0.49</v>
      </c>
      <c r="J778">
        <v>0.16272200000000001</v>
      </c>
      <c r="K778">
        <v>1</v>
      </c>
      <c r="L778">
        <v>1</v>
      </c>
      <c r="M778">
        <v>7.5684779999999998</v>
      </c>
      <c r="N778">
        <v>7.6151809999999998</v>
      </c>
      <c r="O778">
        <v>24.458684000000002</v>
      </c>
      <c r="P778">
        <v>7.87</v>
      </c>
      <c r="Q778" t="s">
        <v>22</v>
      </c>
      <c r="R778" t="s">
        <v>22</v>
      </c>
      <c r="S778">
        <v>561</v>
      </c>
      <c r="T778">
        <v>475</v>
      </c>
      <c r="U778">
        <v>0.2</v>
      </c>
      <c r="W778">
        <v>25.75</v>
      </c>
      <c r="X778">
        <v>37500000</v>
      </c>
    </row>
    <row r="779" spans="1:24" x14ac:dyDescent="0.25">
      <c r="A779" t="s">
        <v>798</v>
      </c>
      <c r="B779">
        <v>778</v>
      </c>
      <c r="C779">
        <v>3.04</v>
      </c>
      <c r="D779">
        <v>-0.65</v>
      </c>
      <c r="E779">
        <v>77507</v>
      </c>
      <c r="F779">
        <v>235497.4</v>
      </c>
      <c r="G779">
        <v>1275887194.4000001</v>
      </c>
      <c r="H779">
        <v>10.66</v>
      </c>
      <c r="I779">
        <v>1.82</v>
      </c>
      <c r="J779">
        <v>1.2147289999999999</v>
      </c>
      <c r="K779">
        <v>0.03</v>
      </c>
      <c r="L779">
        <v>0.1</v>
      </c>
      <c r="M779">
        <v>10.560354</v>
      </c>
      <c r="N779">
        <v>17.470493000000001</v>
      </c>
      <c r="O779">
        <v>4.7163349999999999</v>
      </c>
      <c r="P779">
        <v>6.58</v>
      </c>
      <c r="Q779" t="s">
        <v>22</v>
      </c>
      <c r="R779" t="s">
        <v>22</v>
      </c>
      <c r="S779">
        <v>341</v>
      </c>
      <c r="T779">
        <v>346</v>
      </c>
      <c r="U779">
        <v>0.24</v>
      </c>
      <c r="V779">
        <v>4</v>
      </c>
      <c r="W779">
        <v>1.67</v>
      </c>
      <c r="X779">
        <v>419699735</v>
      </c>
    </row>
    <row r="780" spans="1:24" x14ac:dyDescent="0.25">
      <c r="A780" t="s">
        <v>799</v>
      </c>
      <c r="B780">
        <v>779</v>
      </c>
      <c r="C780">
        <v>16.399999999999999</v>
      </c>
      <c r="D780">
        <v>-6.82</v>
      </c>
      <c r="E780">
        <v>2207288</v>
      </c>
      <c r="F780">
        <v>36270115.200000003</v>
      </c>
      <c r="G780">
        <v>9840000000</v>
      </c>
      <c r="H780">
        <v>13.59</v>
      </c>
      <c r="I780">
        <v>3.42</v>
      </c>
      <c r="J780">
        <v>0.85204500000000005</v>
      </c>
      <c r="K780">
        <v>0.65</v>
      </c>
      <c r="L780">
        <v>0.6</v>
      </c>
      <c r="M780">
        <v>16.674441999999999</v>
      </c>
      <c r="N780">
        <v>24.868603</v>
      </c>
      <c r="O780">
        <v>19.519099000000001</v>
      </c>
      <c r="P780">
        <v>6.85</v>
      </c>
      <c r="Q780" t="s">
        <v>22</v>
      </c>
      <c r="R780" t="s">
        <v>22</v>
      </c>
      <c r="S780">
        <v>479</v>
      </c>
      <c r="T780">
        <v>477</v>
      </c>
      <c r="U780">
        <v>-3.07</v>
      </c>
      <c r="V780">
        <v>5</v>
      </c>
      <c r="W780">
        <v>4.8</v>
      </c>
      <c r="X780">
        <v>600000000</v>
      </c>
    </row>
    <row r="781" spans="1:24" x14ac:dyDescent="0.25">
      <c r="A781" t="s">
        <v>800</v>
      </c>
      <c r="B781">
        <v>780</v>
      </c>
      <c r="C781">
        <v>6.1</v>
      </c>
      <c r="D781">
        <v>1.67</v>
      </c>
      <c r="E781">
        <v>47400</v>
      </c>
      <c r="F781">
        <v>284900</v>
      </c>
      <c r="G781">
        <v>1403000000</v>
      </c>
      <c r="H781">
        <v>12.32</v>
      </c>
      <c r="I781">
        <v>2.61</v>
      </c>
      <c r="J781">
        <v>0.21032899999999999</v>
      </c>
      <c r="K781">
        <v>0.20300000000000001</v>
      </c>
      <c r="L781">
        <v>0.28999999999999998</v>
      </c>
      <c r="M781">
        <v>22.171597999999999</v>
      </c>
      <c r="N781">
        <v>21.616375000000001</v>
      </c>
      <c r="O781">
        <v>41.158334000000004</v>
      </c>
      <c r="P781">
        <v>6.56</v>
      </c>
      <c r="Q781" t="s">
        <v>22</v>
      </c>
      <c r="R781" t="s">
        <v>22</v>
      </c>
      <c r="S781">
        <v>421</v>
      </c>
      <c r="T781">
        <v>373</v>
      </c>
      <c r="U781">
        <v>13.43</v>
      </c>
      <c r="V781">
        <v>4</v>
      </c>
      <c r="W781">
        <v>2.34</v>
      </c>
      <c r="X781">
        <v>230000000</v>
      </c>
    </row>
    <row r="782" spans="1:24" x14ac:dyDescent="0.25">
      <c r="A782" t="s">
        <v>801</v>
      </c>
      <c r="B782">
        <v>781</v>
      </c>
      <c r="C782">
        <v>2027</v>
      </c>
      <c r="D782">
        <v>0</v>
      </c>
      <c r="E782">
        <v>0</v>
      </c>
      <c r="F782">
        <v>0</v>
      </c>
      <c r="G782">
        <v>5292</v>
      </c>
      <c r="H782">
        <v>0</v>
      </c>
      <c r="I782">
        <v>0.25488378345146973</v>
      </c>
      <c r="J782">
        <v>0.254884</v>
      </c>
      <c r="K782">
        <v>0.05</v>
      </c>
      <c r="L782">
        <v>-0.05</v>
      </c>
      <c r="M782">
        <v>-2.3670770000000001</v>
      </c>
      <c r="N782">
        <v>-3.4646270000000001</v>
      </c>
      <c r="O782">
        <v>-0.50180899999999995</v>
      </c>
      <c r="P782">
        <v>0</v>
      </c>
      <c r="Q782" t="s">
        <v>22</v>
      </c>
      <c r="R782" t="s">
        <v>22</v>
      </c>
      <c r="W782">
        <v>138.44999999999999</v>
      </c>
      <c r="X782">
        <v>201600000</v>
      </c>
    </row>
    <row r="783" spans="1:24" x14ac:dyDescent="0.25">
      <c r="A783" t="s">
        <v>802</v>
      </c>
      <c r="B783">
        <v>782</v>
      </c>
      <c r="C783">
        <v>0.64</v>
      </c>
      <c r="D783">
        <v>1.59</v>
      </c>
      <c r="E783">
        <v>10686984</v>
      </c>
      <c r="F783">
        <v>6920251.9500000002</v>
      </c>
      <c r="G783">
        <v>1009742817.92</v>
      </c>
      <c r="H783">
        <v>757307113.44000006</v>
      </c>
      <c r="I783">
        <v>0</v>
      </c>
      <c r="J783">
        <v>0</v>
      </c>
      <c r="K783">
        <v>-0.09</v>
      </c>
      <c r="L783">
        <v>-0.09</v>
      </c>
      <c r="M783">
        <v>-7.1896509999999996</v>
      </c>
      <c r="N783">
        <v>-2840.712188</v>
      </c>
      <c r="O783">
        <v>-44.747053999999999</v>
      </c>
      <c r="P783">
        <v>0</v>
      </c>
      <c r="Q783" t="s">
        <v>22</v>
      </c>
      <c r="R783" t="s">
        <v>22</v>
      </c>
      <c r="V783">
        <v>3</v>
      </c>
      <c r="W783">
        <v>-7.0000000000000007E-2</v>
      </c>
      <c r="X783">
        <v>1577723153</v>
      </c>
    </row>
    <row r="784" spans="1:24" x14ac:dyDescent="0.25">
      <c r="A784" t="s">
        <v>803</v>
      </c>
      <c r="B784">
        <v>783</v>
      </c>
      <c r="C784">
        <v>0.02</v>
      </c>
      <c r="D784">
        <v>0</v>
      </c>
      <c r="E784">
        <v>3213210</v>
      </c>
      <c r="F784">
        <v>64376.3</v>
      </c>
      <c r="G784">
        <v>437935819.69999999</v>
      </c>
      <c r="H784">
        <v>17.03</v>
      </c>
      <c r="I784">
        <v>0.2</v>
      </c>
      <c r="J784">
        <v>0.32196200000000003</v>
      </c>
      <c r="L784">
        <v>4.0484682342238907</v>
      </c>
      <c r="M784">
        <v>4.0484679999999997</v>
      </c>
      <c r="N784">
        <v>1.1658029999999999</v>
      </c>
      <c r="O784">
        <v>-210.33443600000001</v>
      </c>
      <c r="P784">
        <v>0.2</v>
      </c>
      <c r="Q784" t="s">
        <v>22</v>
      </c>
      <c r="R784" t="s">
        <v>22</v>
      </c>
      <c r="S784">
        <v>467</v>
      </c>
      <c r="T784">
        <v>281</v>
      </c>
      <c r="U784">
        <v>0.1</v>
      </c>
      <c r="W784">
        <v>0.1</v>
      </c>
      <c r="X784">
        <v>21896790985</v>
      </c>
    </row>
    <row r="785" spans="1:24" x14ac:dyDescent="0.25">
      <c r="A785" t="s">
        <v>804</v>
      </c>
      <c r="B785">
        <v>784</v>
      </c>
      <c r="C785">
        <v>4.0599999999999996</v>
      </c>
      <c r="D785">
        <v>0</v>
      </c>
      <c r="E785">
        <v>71000</v>
      </c>
      <c r="F785">
        <v>288164</v>
      </c>
      <c r="G785">
        <v>1421000000</v>
      </c>
      <c r="H785">
        <v>14.63</v>
      </c>
      <c r="I785">
        <v>0.85</v>
      </c>
      <c r="J785">
        <v>5.9033000000000002E-2</v>
      </c>
      <c r="K785">
        <v>0.25</v>
      </c>
      <c r="L785">
        <v>0.12</v>
      </c>
      <c r="M785">
        <v>6.6444850000000004</v>
      </c>
      <c r="N785">
        <v>5.7205510000000004</v>
      </c>
      <c r="O785">
        <v>16.633376999999999</v>
      </c>
      <c r="P785">
        <v>6.16</v>
      </c>
      <c r="Q785" t="s">
        <v>22</v>
      </c>
      <c r="R785" t="s">
        <v>22</v>
      </c>
      <c r="S785">
        <v>996</v>
      </c>
      <c r="T785">
        <v>870</v>
      </c>
      <c r="U785">
        <v>-0.51</v>
      </c>
      <c r="V785">
        <v>4</v>
      </c>
      <c r="W785">
        <v>4.79</v>
      </c>
      <c r="X785">
        <v>350000000</v>
      </c>
    </row>
    <row r="786" spans="1:24" x14ac:dyDescent="0.25">
      <c r="A786" t="s">
        <v>805</v>
      </c>
      <c r="B786">
        <v>785</v>
      </c>
      <c r="C786">
        <v>14</v>
      </c>
      <c r="D786">
        <v>6.06</v>
      </c>
      <c r="E786">
        <v>3747704</v>
      </c>
      <c r="F786">
        <v>51403178.299999997</v>
      </c>
      <c r="G786">
        <v>4312115808</v>
      </c>
      <c r="H786">
        <v>13.31</v>
      </c>
      <c r="I786">
        <v>2.89</v>
      </c>
      <c r="J786">
        <v>1.830185</v>
      </c>
      <c r="K786">
        <v>0.17</v>
      </c>
      <c r="L786">
        <v>0.94</v>
      </c>
      <c r="M786">
        <v>13.091464</v>
      </c>
      <c r="N786">
        <v>23.405427</v>
      </c>
      <c r="O786">
        <v>20.072016999999999</v>
      </c>
      <c r="P786">
        <v>1.43</v>
      </c>
      <c r="Q786" t="s">
        <v>22</v>
      </c>
      <c r="R786" t="s">
        <v>22</v>
      </c>
      <c r="S786">
        <v>461</v>
      </c>
      <c r="T786">
        <v>504</v>
      </c>
      <c r="U786">
        <v>-0.12</v>
      </c>
      <c r="V786">
        <v>4</v>
      </c>
      <c r="W786">
        <v>4.84</v>
      </c>
      <c r="X786">
        <v>308008272</v>
      </c>
    </row>
    <row r="787" spans="1:24" x14ac:dyDescent="0.25">
      <c r="A787" t="s">
        <v>806</v>
      </c>
      <c r="B787">
        <v>786</v>
      </c>
      <c r="C787">
        <v>3.82</v>
      </c>
      <c r="D787">
        <v>0</v>
      </c>
      <c r="E787">
        <v>10142</v>
      </c>
      <c r="F787">
        <v>38742.480000000003</v>
      </c>
      <c r="G787">
        <v>2513817555.8600001</v>
      </c>
      <c r="H787">
        <v>10.48</v>
      </c>
      <c r="I787">
        <v>0.65</v>
      </c>
      <c r="J787">
        <v>0.14746300000000001</v>
      </c>
      <c r="K787">
        <v>0.25</v>
      </c>
      <c r="L787">
        <v>0.17</v>
      </c>
      <c r="M787">
        <v>6.0490259999999996</v>
      </c>
      <c r="N787">
        <v>6.1652760000000004</v>
      </c>
      <c r="O787">
        <v>11.096688</v>
      </c>
      <c r="P787">
        <v>6.58</v>
      </c>
      <c r="Q787" t="s">
        <v>22</v>
      </c>
      <c r="R787" t="s">
        <v>22</v>
      </c>
      <c r="S787">
        <v>729</v>
      </c>
      <c r="T787">
        <v>640</v>
      </c>
      <c r="U787">
        <v>0.1</v>
      </c>
      <c r="V787">
        <v>3</v>
      </c>
      <c r="W787">
        <v>5.9</v>
      </c>
      <c r="X787">
        <v>658067423</v>
      </c>
    </row>
    <row r="788" spans="1:24" x14ac:dyDescent="0.25">
      <c r="A788" t="s">
        <v>807</v>
      </c>
      <c r="B788">
        <v>787</v>
      </c>
      <c r="C788">
        <v>1.03</v>
      </c>
      <c r="D788">
        <v>6.19</v>
      </c>
      <c r="E788">
        <v>13416675</v>
      </c>
      <c r="F788">
        <v>13747869.07</v>
      </c>
      <c r="G788">
        <v>865701991.10000002</v>
      </c>
      <c r="H788">
        <v>823677622.60000002</v>
      </c>
      <c r="I788">
        <v>0.31</v>
      </c>
      <c r="J788">
        <v>1.372187</v>
      </c>
      <c r="K788">
        <v>3.0999999999999999E-3</v>
      </c>
      <c r="L788">
        <v>-7.0000000000000007E-2</v>
      </c>
      <c r="M788">
        <v>0.50719700000000001</v>
      </c>
      <c r="N788">
        <v>-5.1088959999999997</v>
      </c>
      <c r="O788">
        <v>-2.0206</v>
      </c>
      <c r="P788">
        <v>0.28999999999999998</v>
      </c>
      <c r="Q788" t="s">
        <v>22</v>
      </c>
      <c r="R788" t="s">
        <v>22</v>
      </c>
      <c r="V788">
        <v>5</v>
      </c>
      <c r="W788">
        <v>3.29</v>
      </c>
      <c r="X788">
        <v>840487370</v>
      </c>
    </row>
    <row r="789" spans="1:24" x14ac:dyDescent="0.25">
      <c r="A789" t="s">
        <v>808</v>
      </c>
      <c r="B789">
        <v>788</v>
      </c>
      <c r="C789">
        <v>13</v>
      </c>
      <c r="D789">
        <v>-0.76</v>
      </c>
      <c r="E789">
        <v>40199682</v>
      </c>
      <c r="F789">
        <v>524032100.39999998</v>
      </c>
      <c r="G789">
        <v>449177310413</v>
      </c>
      <c r="H789">
        <v>24</v>
      </c>
      <c r="I789">
        <v>5.66</v>
      </c>
      <c r="J789">
        <v>7.1299429999999999</v>
      </c>
      <c r="K789">
        <v>0.15</v>
      </c>
      <c r="L789">
        <v>0.38</v>
      </c>
      <c r="M789">
        <v>5.8054889999999997</v>
      </c>
      <c r="N789">
        <v>23.953831000000001</v>
      </c>
      <c r="O789">
        <v>14.136858999999999</v>
      </c>
      <c r="P789">
        <v>2.38</v>
      </c>
      <c r="Q789" t="s">
        <v>22</v>
      </c>
      <c r="R789" t="s">
        <v>22</v>
      </c>
      <c r="S789">
        <v>644</v>
      </c>
      <c r="T789">
        <v>968</v>
      </c>
      <c r="U789">
        <v>-1.19</v>
      </c>
      <c r="V789">
        <v>5</v>
      </c>
      <c r="W789">
        <v>2.2999999999999998</v>
      </c>
      <c r="X789">
        <v>34552100801</v>
      </c>
    </row>
    <row r="790" spans="1:24" x14ac:dyDescent="0.25">
      <c r="A790" t="s">
        <v>809</v>
      </c>
      <c r="B790">
        <v>789</v>
      </c>
      <c r="C790">
        <v>1.59</v>
      </c>
      <c r="D790">
        <v>0</v>
      </c>
      <c r="E790">
        <v>500</v>
      </c>
      <c r="F790">
        <v>795</v>
      </c>
      <c r="G790">
        <v>381600000</v>
      </c>
      <c r="H790">
        <v>50.5</v>
      </c>
      <c r="I790">
        <v>0.81</v>
      </c>
      <c r="J790">
        <v>0.11235199999999999</v>
      </c>
      <c r="K790">
        <v>0.17</v>
      </c>
      <c r="L790">
        <v>0.04</v>
      </c>
      <c r="M790">
        <v>2.1000480000000001</v>
      </c>
      <c r="N790">
        <v>1.625062</v>
      </c>
      <c r="O790">
        <v>5.6735179999999996</v>
      </c>
      <c r="P790">
        <v>0.77</v>
      </c>
      <c r="Q790" t="s">
        <v>22</v>
      </c>
      <c r="R790" t="s">
        <v>22</v>
      </c>
      <c r="W790">
        <v>1.95</v>
      </c>
      <c r="X790">
        <v>240000000</v>
      </c>
    </row>
    <row r="791" spans="1:24" x14ac:dyDescent="0.25">
      <c r="A791" t="s">
        <v>810</v>
      </c>
      <c r="B791">
        <v>790</v>
      </c>
      <c r="C791">
        <v>15.3</v>
      </c>
      <c r="D791">
        <v>0</v>
      </c>
      <c r="E791">
        <v>9216</v>
      </c>
      <c r="F791">
        <v>141026.4</v>
      </c>
      <c r="G791">
        <v>3974940000</v>
      </c>
      <c r="H791">
        <v>11.87</v>
      </c>
      <c r="I791">
        <v>2.62</v>
      </c>
      <c r="J791">
        <v>0.41146300000000002</v>
      </c>
      <c r="K791">
        <v>0.4</v>
      </c>
      <c r="L791">
        <v>0.98</v>
      </c>
      <c r="M791">
        <v>15.873728</v>
      </c>
      <c r="N791">
        <v>22.251781000000001</v>
      </c>
      <c r="O791">
        <v>13.437696000000001</v>
      </c>
      <c r="P791">
        <v>7.84</v>
      </c>
      <c r="Q791" t="s">
        <v>22</v>
      </c>
      <c r="R791" t="s">
        <v>22</v>
      </c>
      <c r="S791">
        <v>399</v>
      </c>
      <c r="T791">
        <v>397</v>
      </c>
      <c r="U791">
        <v>1.07</v>
      </c>
      <c r="V791">
        <v>5</v>
      </c>
      <c r="W791">
        <v>5.84</v>
      </c>
      <c r="X791">
        <v>259800000</v>
      </c>
    </row>
    <row r="792" spans="1:24" x14ac:dyDescent="0.25">
      <c r="A792" t="s">
        <v>811</v>
      </c>
      <c r="B792">
        <v>791</v>
      </c>
      <c r="C792">
        <v>0.83</v>
      </c>
      <c r="D792">
        <v>0</v>
      </c>
      <c r="E792">
        <v>4295182</v>
      </c>
      <c r="F792">
        <v>3582516.76</v>
      </c>
      <c r="G792">
        <v>1757704513.23</v>
      </c>
      <c r="H792">
        <v>36</v>
      </c>
      <c r="I792">
        <v>0.56000000000000005</v>
      </c>
      <c r="J792">
        <v>1.25922</v>
      </c>
      <c r="K792">
        <v>0.05</v>
      </c>
      <c r="L792">
        <v>0.03</v>
      </c>
      <c r="M792">
        <v>2.984874</v>
      </c>
      <c r="N792">
        <v>1.579037</v>
      </c>
      <c r="O792">
        <v>11.093175</v>
      </c>
      <c r="P792">
        <v>0.54</v>
      </c>
      <c r="Q792" t="s">
        <v>22</v>
      </c>
      <c r="R792" t="s">
        <v>22</v>
      </c>
      <c r="S792">
        <v>1295</v>
      </c>
      <c r="T792">
        <v>1199</v>
      </c>
      <c r="U792">
        <v>-0.27</v>
      </c>
      <c r="V792">
        <v>3</v>
      </c>
      <c r="W792">
        <v>1.47</v>
      </c>
      <c r="X792">
        <v>2117716281</v>
      </c>
    </row>
    <row r="793" spans="1:24" x14ac:dyDescent="0.25">
      <c r="A793" t="s">
        <v>812</v>
      </c>
      <c r="B793">
        <v>792</v>
      </c>
      <c r="C793">
        <v>0.05</v>
      </c>
      <c r="D793">
        <v>0</v>
      </c>
      <c r="E793">
        <v>2618000</v>
      </c>
      <c r="F793">
        <v>104723</v>
      </c>
      <c r="G793">
        <v>95145688.299999997</v>
      </c>
      <c r="H793">
        <v>95145688.299999997</v>
      </c>
      <c r="I793">
        <v>0.55000000000000004</v>
      </c>
      <c r="J793">
        <v>4.2788190000000004</v>
      </c>
      <c r="K793">
        <v>-0.04</v>
      </c>
      <c r="L793">
        <v>-0.04</v>
      </c>
      <c r="M793">
        <v>-6.3574419999999998</v>
      </c>
      <c r="N793">
        <v>-33.252583999999999</v>
      </c>
      <c r="O793">
        <v>-13.553276</v>
      </c>
      <c r="P793">
        <v>0.55000000000000004</v>
      </c>
      <c r="Q793" t="s">
        <v>22</v>
      </c>
      <c r="R793" t="s">
        <v>22</v>
      </c>
      <c r="W793">
        <v>0.09</v>
      </c>
      <c r="X793">
        <v>1902913766</v>
      </c>
    </row>
    <row r="794" spans="1:24" x14ac:dyDescent="0.25">
      <c r="A794" t="s">
        <v>813</v>
      </c>
      <c r="B794">
        <v>793</v>
      </c>
      <c r="C794">
        <v>2026</v>
      </c>
      <c r="D794">
        <v>-76.470588235294116</v>
      </c>
      <c r="E794">
        <v>150305295</v>
      </c>
      <c r="F794">
        <v>10805.01195</v>
      </c>
      <c r="G794">
        <v>24</v>
      </c>
      <c r="H794">
        <v>0</v>
      </c>
      <c r="I794">
        <v>0</v>
      </c>
      <c r="J794">
        <v>0</v>
      </c>
      <c r="K794">
        <v>1.1110999999999999E-2</v>
      </c>
      <c r="L794">
        <v>-0.31</v>
      </c>
      <c r="M794">
        <v>-9.2730639999999998</v>
      </c>
      <c r="N794">
        <v>-48.191548328167812</v>
      </c>
      <c r="O794">
        <v>-48.191547999999997</v>
      </c>
      <c r="P794">
        <v>0</v>
      </c>
      <c r="Q794" t="s">
        <v>22</v>
      </c>
      <c r="R794" t="s">
        <v>22</v>
      </c>
      <c r="V794">
        <v>3</v>
      </c>
      <c r="W794">
        <v>-0.6</v>
      </c>
      <c r="X794">
        <v>604358700</v>
      </c>
    </row>
    <row r="795" spans="1:24" x14ac:dyDescent="0.25">
      <c r="A795" t="s">
        <v>814</v>
      </c>
      <c r="B795">
        <v>794</v>
      </c>
      <c r="C795">
        <v>10.5</v>
      </c>
      <c r="D795">
        <v>0.96</v>
      </c>
      <c r="E795">
        <v>120</v>
      </c>
      <c r="F795">
        <v>1260</v>
      </c>
      <c r="G795">
        <v>4024935400.5</v>
      </c>
      <c r="H795">
        <v>22.96</v>
      </c>
      <c r="I795">
        <v>1.0900000000000001</v>
      </c>
      <c r="J795">
        <v>0.51896100000000001</v>
      </c>
      <c r="K795">
        <v>0.08</v>
      </c>
      <c r="L795">
        <v>0.28999999999999998</v>
      </c>
      <c r="M795">
        <v>4.5871680000000001</v>
      </c>
      <c r="N795">
        <v>4.83582</v>
      </c>
      <c r="O795">
        <v>9.3519550000000002</v>
      </c>
      <c r="P795">
        <v>1.52</v>
      </c>
      <c r="Q795" t="s">
        <v>22</v>
      </c>
      <c r="R795" t="s">
        <v>22</v>
      </c>
      <c r="S795">
        <v>1141</v>
      </c>
      <c r="T795">
        <v>1092</v>
      </c>
      <c r="U795">
        <v>22.1</v>
      </c>
      <c r="V795">
        <v>5</v>
      </c>
      <c r="W795">
        <v>9.6</v>
      </c>
      <c r="X795">
        <v>383327181</v>
      </c>
    </row>
    <row r="796" spans="1:24" x14ac:dyDescent="0.25">
      <c r="A796" t="s">
        <v>815</v>
      </c>
      <c r="B796">
        <v>795</v>
      </c>
      <c r="C796">
        <v>0.98</v>
      </c>
      <c r="D796">
        <v>0</v>
      </c>
      <c r="E796">
        <v>2250128</v>
      </c>
      <c r="F796">
        <v>2210153.71</v>
      </c>
      <c r="G796">
        <v>8253110031.04</v>
      </c>
      <c r="H796">
        <v>4.2699999999999996</v>
      </c>
      <c r="I796">
        <v>0.54</v>
      </c>
      <c r="J796">
        <v>0.17996599999999999</v>
      </c>
      <c r="K796">
        <v>0.03</v>
      </c>
      <c r="L796">
        <v>0.05</v>
      </c>
      <c r="M796">
        <v>14.320403000000001</v>
      </c>
      <c r="N796">
        <v>13.441844</v>
      </c>
      <c r="O796">
        <v>5.990354</v>
      </c>
      <c r="P796">
        <v>3.06</v>
      </c>
      <c r="Q796" t="s">
        <v>22</v>
      </c>
      <c r="R796" t="s">
        <v>22</v>
      </c>
      <c r="S796">
        <v>210</v>
      </c>
      <c r="T796">
        <v>110</v>
      </c>
      <c r="U796">
        <v>0.04</v>
      </c>
      <c r="V796">
        <v>5</v>
      </c>
      <c r="W796">
        <v>1.83</v>
      </c>
      <c r="X796">
        <v>8421540848</v>
      </c>
    </row>
    <row r="797" spans="1:24" x14ac:dyDescent="0.25">
      <c r="A797" t="s">
        <v>816</v>
      </c>
      <c r="B797">
        <v>796</v>
      </c>
      <c r="C797">
        <v>5.75</v>
      </c>
      <c r="D797">
        <v>0</v>
      </c>
      <c r="E797">
        <v>6486204</v>
      </c>
      <c r="F797">
        <v>37724683.350000001</v>
      </c>
      <c r="G797">
        <v>10479171243</v>
      </c>
      <c r="H797">
        <v>17.920000000000002</v>
      </c>
      <c r="I797">
        <v>0.35</v>
      </c>
      <c r="J797">
        <v>0.55137000000000003</v>
      </c>
      <c r="K797">
        <v>0.25</v>
      </c>
      <c r="L797">
        <v>2.7452790662869968</v>
      </c>
      <c r="M797">
        <v>2.745279</v>
      </c>
      <c r="N797">
        <v>2.0079180000000001</v>
      </c>
      <c r="O797">
        <v>-0.74395299999999998</v>
      </c>
      <c r="P797">
        <v>4.3499999999999996</v>
      </c>
      <c r="Q797" t="s">
        <v>22</v>
      </c>
      <c r="R797" t="s">
        <v>22</v>
      </c>
      <c r="S797">
        <v>944</v>
      </c>
      <c r="T797">
        <v>899</v>
      </c>
      <c r="U797">
        <v>-0.89</v>
      </c>
      <c r="V797">
        <v>5</v>
      </c>
      <c r="W797">
        <v>16.45</v>
      </c>
      <c r="X797">
        <v>1822464564</v>
      </c>
    </row>
    <row r="798" spans="1:24" x14ac:dyDescent="0.25">
      <c r="A798" t="s">
        <v>817</v>
      </c>
      <c r="B798">
        <v>797</v>
      </c>
      <c r="C798">
        <v>2.9</v>
      </c>
      <c r="D798">
        <v>-0.68</v>
      </c>
      <c r="E798">
        <v>883838642</v>
      </c>
      <c r="F798">
        <v>2579646621.8000002</v>
      </c>
      <c r="G798">
        <v>282956887099.09998</v>
      </c>
      <c r="H798">
        <v>11.96</v>
      </c>
      <c r="I798">
        <v>1.0900000000000001</v>
      </c>
      <c r="J798">
        <v>6.2461130000000002</v>
      </c>
      <c r="K798">
        <v>6.8000000000000005E-2</v>
      </c>
      <c r="L798">
        <v>0.12</v>
      </c>
      <c r="M798">
        <v>2.3068140000000001</v>
      </c>
      <c r="N798">
        <v>9.0002910000000007</v>
      </c>
      <c r="O798">
        <v>25.118964999999999</v>
      </c>
      <c r="P798">
        <v>4.93</v>
      </c>
      <c r="Q798" t="s">
        <v>22</v>
      </c>
      <c r="R798" t="s">
        <v>22</v>
      </c>
      <c r="S798">
        <v>776</v>
      </c>
      <c r="T798">
        <v>1115</v>
      </c>
      <c r="U798">
        <v>0.75</v>
      </c>
      <c r="V798">
        <v>5</v>
      </c>
      <c r="W798">
        <v>2.66</v>
      </c>
      <c r="X798">
        <v>97571340379</v>
      </c>
    </row>
    <row r="799" spans="1:24" x14ac:dyDescent="0.25">
      <c r="A799" t="s">
        <v>818</v>
      </c>
      <c r="B799">
        <v>798</v>
      </c>
      <c r="C799">
        <v>2026</v>
      </c>
      <c r="D799">
        <v>-46.666666666666664</v>
      </c>
      <c r="E799">
        <v>194501429</v>
      </c>
      <c r="F799">
        <v>16767.972280000002</v>
      </c>
      <c r="G799">
        <v>49</v>
      </c>
      <c r="H799">
        <v>0</v>
      </c>
      <c r="I799">
        <v>0</v>
      </c>
      <c r="J799">
        <v>0</v>
      </c>
      <c r="K799">
        <v>0.1</v>
      </c>
      <c r="L799">
        <v>-0.28999999999999998</v>
      </c>
      <c r="M799">
        <v>-30.855125999999998</v>
      </c>
      <c r="N799">
        <v>-7.2713468220492805</v>
      </c>
      <c r="O799">
        <v>-7.2713469999999996</v>
      </c>
      <c r="P799">
        <v>0</v>
      </c>
      <c r="Q799" t="s">
        <v>22</v>
      </c>
      <c r="R799" t="s">
        <v>22</v>
      </c>
      <c r="V799">
        <v>5</v>
      </c>
      <c r="W799">
        <v>-6.32</v>
      </c>
      <c r="X799">
        <v>616000043</v>
      </c>
    </row>
    <row r="800" spans="1:24" x14ac:dyDescent="0.25">
      <c r="A800" t="s">
        <v>819</v>
      </c>
      <c r="B800">
        <v>799</v>
      </c>
      <c r="C800">
        <v>25.25</v>
      </c>
      <c r="D800">
        <v>-3.81</v>
      </c>
      <c r="E800">
        <v>1400</v>
      </c>
      <c r="F800">
        <v>35700</v>
      </c>
      <c r="G800">
        <v>1287500000</v>
      </c>
      <c r="H800">
        <v>1312500000</v>
      </c>
      <c r="I800">
        <v>0.62</v>
      </c>
      <c r="J800">
        <v>0.25701600000000002</v>
      </c>
      <c r="K800">
        <v>0.5</v>
      </c>
      <c r="L800">
        <v>-0.48</v>
      </c>
      <c r="M800">
        <v>-2.000035</v>
      </c>
      <c r="N800">
        <v>-3.087221</v>
      </c>
      <c r="O800">
        <v>-2.515717</v>
      </c>
      <c r="P800">
        <v>1.94</v>
      </c>
      <c r="Q800" t="s">
        <v>22</v>
      </c>
      <c r="R800" t="s">
        <v>22</v>
      </c>
      <c r="W800">
        <v>41.4</v>
      </c>
      <c r="X800">
        <v>50000000</v>
      </c>
    </row>
    <row r="801" spans="1:24" x14ac:dyDescent="0.25">
      <c r="A801" t="s">
        <v>820</v>
      </c>
      <c r="B801">
        <v>800</v>
      </c>
      <c r="C801">
        <v>46.5</v>
      </c>
      <c r="D801">
        <v>-0.53</v>
      </c>
      <c r="E801">
        <v>301</v>
      </c>
      <c r="F801">
        <v>13921.25</v>
      </c>
      <c r="G801">
        <v>2689560000</v>
      </c>
      <c r="H801">
        <v>12.15</v>
      </c>
      <c r="I801">
        <v>0.37</v>
      </c>
      <c r="J801">
        <v>0.16755300000000001</v>
      </c>
      <c r="K801">
        <v>1.7</v>
      </c>
      <c r="L801">
        <v>1.22</v>
      </c>
      <c r="M801">
        <v>3.5248330000000001</v>
      </c>
      <c r="N801">
        <v>3.0354359999999998</v>
      </c>
      <c r="O801">
        <v>3.8687119999999999</v>
      </c>
      <c r="P801">
        <v>6.88</v>
      </c>
      <c r="Q801" t="s">
        <v>22</v>
      </c>
      <c r="R801" t="s">
        <v>22</v>
      </c>
      <c r="S801">
        <v>1297</v>
      </c>
      <c r="T801">
        <v>1289</v>
      </c>
      <c r="U801">
        <v>0.1</v>
      </c>
      <c r="W801">
        <v>126.75</v>
      </c>
      <c r="X801">
        <v>57840000</v>
      </c>
    </row>
    <row r="802" spans="1:24" x14ac:dyDescent="0.25">
      <c r="A802" t="s">
        <v>821</v>
      </c>
      <c r="B802">
        <v>801</v>
      </c>
      <c r="C802">
        <v>10.4</v>
      </c>
      <c r="D802">
        <v>0</v>
      </c>
      <c r="E802">
        <v>3261282</v>
      </c>
      <c r="F802">
        <v>33904233.600000001</v>
      </c>
      <c r="G802">
        <v>41496000000</v>
      </c>
      <c r="H802">
        <v>13.25</v>
      </c>
      <c r="I802">
        <v>2.48</v>
      </c>
      <c r="J802">
        <v>0.38055499999999998</v>
      </c>
      <c r="K802">
        <v>0.3</v>
      </c>
      <c r="L802">
        <v>0.33</v>
      </c>
      <c r="M802">
        <v>18.12294</v>
      </c>
      <c r="N802">
        <v>19.127921000000001</v>
      </c>
      <c r="O802">
        <v>50.669083000000001</v>
      </c>
      <c r="P802">
        <v>5.77</v>
      </c>
      <c r="Q802" t="s">
        <v>22</v>
      </c>
      <c r="R802" t="s">
        <v>22</v>
      </c>
      <c r="S802">
        <v>466</v>
      </c>
      <c r="T802">
        <v>409</v>
      </c>
      <c r="U802">
        <v>7.67</v>
      </c>
      <c r="V802">
        <v>5</v>
      </c>
      <c r="W802">
        <v>4.2</v>
      </c>
      <c r="X802">
        <v>3990000000</v>
      </c>
    </row>
    <row r="803" spans="1:24" x14ac:dyDescent="0.25">
      <c r="A803" t="s">
        <v>822</v>
      </c>
      <c r="B803">
        <v>802</v>
      </c>
      <c r="C803">
        <v>13.1</v>
      </c>
      <c r="D803">
        <v>0.77</v>
      </c>
      <c r="E803">
        <v>7049894</v>
      </c>
      <c r="F803">
        <v>91794133.799999997</v>
      </c>
      <c r="G803">
        <v>55742238317.599998</v>
      </c>
      <c r="H803">
        <v>10.76</v>
      </c>
      <c r="I803">
        <v>1.1000000000000001</v>
      </c>
      <c r="J803">
        <v>2.0220959999999999</v>
      </c>
      <c r="K803">
        <v>0.4</v>
      </c>
      <c r="L803">
        <v>0.62</v>
      </c>
      <c r="M803">
        <v>5.152711</v>
      </c>
      <c r="N803">
        <v>10.306709</v>
      </c>
      <c r="O803">
        <v>4.4211039999999997</v>
      </c>
      <c r="P803">
        <v>5.34</v>
      </c>
      <c r="Q803" t="s">
        <v>22</v>
      </c>
      <c r="R803" t="s">
        <v>22</v>
      </c>
      <c r="S803">
        <v>612</v>
      </c>
      <c r="T803">
        <v>767</v>
      </c>
      <c r="U803">
        <v>-0.11</v>
      </c>
      <c r="V803">
        <v>5</v>
      </c>
      <c r="W803">
        <v>11.92</v>
      </c>
      <c r="X803">
        <v>4255132696</v>
      </c>
    </row>
    <row r="804" spans="1:24" x14ac:dyDescent="0.25">
      <c r="A804" t="s">
        <v>823</v>
      </c>
      <c r="B804">
        <v>803</v>
      </c>
      <c r="C804">
        <v>1.87</v>
      </c>
      <c r="D804">
        <v>-0.53</v>
      </c>
      <c r="E804">
        <v>22536940</v>
      </c>
      <c r="F804">
        <v>42148150.090000004</v>
      </c>
      <c r="G804">
        <v>4992900000</v>
      </c>
      <c r="H804">
        <v>8.3699999999999992</v>
      </c>
      <c r="I804">
        <v>1.21</v>
      </c>
      <c r="J804">
        <v>2.3481399999999999</v>
      </c>
      <c r="K804">
        <v>0.12</v>
      </c>
      <c r="L804">
        <v>0.12</v>
      </c>
      <c r="M804">
        <v>8.3579039999999996</v>
      </c>
      <c r="N804">
        <v>17.142782</v>
      </c>
      <c r="O804">
        <v>19.633512</v>
      </c>
      <c r="P804">
        <v>1.1200000000000001</v>
      </c>
      <c r="Q804" t="s">
        <v>22</v>
      </c>
      <c r="R804" t="s">
        <v>22</v>
      </c>
      <c r="U804">
        <v>0.03</v>
      </c>
      <c r="W804">
        <v>1.54</v>
      </c>
      <c r="X804">
        <v>2670000000</v>
      </c>
    </row>
    <row r="805" spans="1:24" x14ac:dyDescent="0.25">
      <c r="A805" t="s">
        <v>824</v>
      </c>
      <c r="B805">
        <v>804</v>
      </c>
      <c r="C805">
        <v>2027</v>
      </c>
      <c r="D805">
        <v>3.3333333333333361</v>
      </c>
      <c r="E805">
        <v>13957972</v>
      </c>
      <c r="F805">
        <v>50423.100919999997</v>
      </c>
      <c r="G805">
        <v>5849541372.4799995</v>
      </c>
      <c r="H805">
        <v>5913123343.9200001</v>
      </c>
      <c r="I805">
        <v>1.96</v>
      </c>
      <c r="J805">
        <v>0.147894</v>
      </c>
      <c r="K805">
        <v>-0.06</v>
      </c>
      <c r="L805">
        <v>-0.06</v>
      </c>
      <c r="M805">
        <v>-12.527305</v>
      </c>
      <c r="N805">
        <v>-15.053972</v>
      </c>
      <c r="O805">
        <v>-47.763834000000003</v>
      </c>
      <c r="P805">
        <v>1.98</v>
      </c>
      <c r="Q805" t="s">
        <v>22</v>
      </c>
      <c r="R805" t="s">
        <v>22</v>
      </c>
      <c r="V805">
        <v>4</v>
      </c>
      <c r="W805">
        <v>1.88</v>
      </c>
      <c r="X805">
        <v>1589549286</v>
      </c>
    </row>
    <row r="806" spans="1:24" x14ac:dyDescent="0.25">
      <c r="A806" t="s">
        <v>825</v>
      </c>
      <c r="B806">
        <v>805</v>
      </c>
      <c r="C806">
        <v>0.04</v>
      </c>
      <c r="D806">
        <v>0</v>
      </c>
      <c r="E806">
        <v>2924757</v>
      </c>
      <c r="F806">
        <v>116983.28</v>
      </c>
      <c r="G806">
        <v>91122980.560000002</v>
      </c>
      <c r="H806">
        <v>1.26</v>
      </c>
      <c r="I806">
        <v>0.13</v>
      </c>
      <c r="J806">
        <v>0.49111700000000003</v>
      </c>
      <c r="K806">
        <v>0.01</v>
      </c>
      <c r="L806">
        <v>0.01</v>
      </c>
      <c r="M806">
        <v>7.6977409999999997</v>
      </c>
      <c r="N806">
        <v>10.887775</v>
      </c>
      <c r="O806">
        <v>4.5082779999999998</v>
      </c>
      <c r="P806">
        <v>0.16</v>
      </c>
      <c r="Q806" t="s">
        <v>22</v>
      </c>
      <c r="R806" t="s">
        <v>22</v>
      </c>
      <c r="S806">
        <v>389</v>
      </c>
      <c r="T806">
        <v>350</v>
      </c>
      <c r="U806">
        <v>-0.13</v>
      </c>
      <c r="V806">
        <v>5</v>
      </c>
      <c r="W806">
        <v>0.41</v>
      </c>
      <c r="X806">
        <v>2278074514</v>
      </c>
    </row>
    <row r="807" spans="1:24" x14ac:dyDescent="0.25">
      <c r="A807" t="s">
        <v>826</v>
      </c>
      <c r="B807">
        <v>806</v>
      </c>
      <c r="C807">
        <v>11.6</v>
      </c>
      <c r="D807">
        <v>-1.69</v>
      </c>
      <c r="E807">
        <v>40001</v>
      </c>
      <c r="F807">
        <v>466421.8</v>
      </c>
      <c r="G807">
        <v>3477535649.5999999</v>
      </c>
      <c r="H807">
        <v>5.44</v>
      </c>
      <c r="I807">
        <v>0.8</v>
      </c>
      <c r="J807">
        <v>1.139375</v>
      </c>
      <c r="K807">
        <v>0.44</v>
      </c>
      <c r="L807">
        <v>1.36</v>
      </c>
      <c r="M807">
        <v>9.5718230000000002</v>
      </c>
      <c r="N807">
        <v>15.399383</v>
      </c>
      <c r="O807">
        <v>12.682236</v>
      </c>
      <c r="P807">
        <v>3.79</v>
      </c>
      <c r="Q807" t="s">
        <v>22</v>
      </c>
      <c r="R807" t="s">
        <v>22</v>
      </c>
      <c r="S807">
        <v>262</v>
      </c>
      <c r="T807">
        <v>417</v>
      </c>
      <c r="U807">
        <v>0.26</v>
      </c>
      <c r="V807">
        <v>5</v>
      </c>
      <c r="W807">
        <v>14.41</v>
      </c>
      <c r="X807">
        <v>299787556</v>
      </c>
    </row>
    <row r="808" spans="1:24" x14ac:dyDescent="0.25">
      <c r="A808" t="s">
        <v>827</v>
      </c>
      <c r="B808">
        <v>807</v>
      </c>
      <c r="C808">
        <v>28.5</v>
      </c>
      <c r="D808">
        <v>-3.39</v>
      </c>
      <c r="E808">
        <v>1811226</v>
      </c>
      <c r="F808">
        <v>51485695.75</v>
      </c>
      <c r="G808">
        <v>25349930568</v>
      </c>
      <c r="H808">
        <v>9.77</v>
      </c>
      <c r="I808">
        <v>2.09</v>
      </c>
      <c r="J808">
        <v>0.30554799999999999</v>
      </c>
      <c r="K808">
        <v>0.9</v>
      </c>
      <c r="L808">
        <v>1.78</v>
      </c>
      <c r="M808">
        <v>19.726894999999999</v>
      </c>
      <c r="N808">
        <v>22.179981000000002</v>
      </c>
      <c r="O808">
        <v>10.017858</v>
      </c>
      <c r="P808">
        <v>6.91</v>
      </c>
      <c r="Q808" t="s">
        <v>22</v>
      </c>
      <c r="R808" t="s">
        <v>22</v>
      </c>
      <c r="S808">
        <v>346</v>
      </c>
      <c r="T808">
        <v>310</v>
      </c>
      <c r="U808">
        <v>0.35</v>
      </c>
      <c r="V808">
        <v>5</v>
      </c>
      <c r="W808">
        <v>13.62</v>
      </c>
      <c r="X808">
        <v>889471248</v>
      </c>
    </row>
    <row r="809" spans="1:24" x14ac:dyDescent="0.25">
      <c r="A809" t="s">
        <v>828</v>
      </c>
      <c r="B809">
        <v>808</v>
      </c>
      <c r="C809">
        <v>0.25</v>
      </c>
      <c r="D809">
        <v>0</v>
      </c>
      <c r="E809">
        <v>40610</v>
      </c>
      <c r="F809">
        <v>9428.2000000000007</v>
      </c>
      <c r="G809">
        <v>200007518.75</v>
      </c>
      <c r="H809">
        <v>200007518.75</v>
      </c>
      <c r="I809">
        <v>0.34</v>
      </c>
      <c r="J809">
        <v>5.2233000000000002E-2</v>
      </c>
      <c r="K809">
        <v>0.03</v>
      </c>
      <c r="L809">
        <v>-0.02</v>
      </c>
      <c r="M809">
        <v>-2.8630140000000002</v>
      </c>
      <c r="N809">
        <v>-3.4542980000000001</v>
      </c>
      <c r="O809">
        <v>-32.156253</v>
      </c>
      <c r="P809">
        <v>0.34</v>
      </c>
      <c r="Q809" t="s">
        <v>22</v>
      </c>
      <c r="R809" t="s">
        <v>22</v>
      </c>
      <c r="V809">
        <v>4</v>
      </c>
      <c r="W809">
        <v>0.73</v>
      </c>
      <c r="X809">
        <v>800030075</v>
      </c>
    </row>
    <row r="810" spans="1:24" x14ac:dyDescent="0.25">
      <c r="A810" t="s">
        <v>829</v>
      </c>
      <c r="B810">
        <v>809</v>
      </c>
      <c r="C810">
        <v>1.66</v>
      </c>
      <c r="D810">
        <v>3.11</v>
      </c>
      <c r="E810">
        <v>4183943</v>
      </c>
      <c r="F810">
        <v>7307405.9900000002</v>
      </c>
      <c r="G810">
        <v>443143150.30000001</v>
      </c>
      <c r="H810">
        <v>69.48</v>
      </c>
      <c r="I810">
        <v>0.33</v>
      </c>
      <c r="J810">
        <v>0.53752200000000006</v>
      </c>
      <c r="K810">
        <v>6.5399999999999998E-3</v>
      </c>
      <c r="L810">
        <v>0.09</v>
      </c>
      <c r="M810">
        <v>0.62550899999999998</v>
      </c>
      <c r="N810">
        <v>0.48502299999999998</v>
      </c>
      <c r="O810">
        <v>3.115202</v>
      </c>
      <c r="P810">
        <v>0.32</v>
      </c>
      <c r="Q810" t="s">
        <v>22</v>
      </c>
      <c r="R810" t="s">
        <v>22</v>
      </c>
      <c r="W810">
        <v>4.96</v>
      </c>
      <c r="X810">
        <v>266953705</v>
      </c>
    </row>
    <row r="811" spans="1:24" x14ac:dyDescent="0.25">
      <c r="A811" t="s">
        <v>830</v>
      </c>
      <c r="B811">
        <v>810</v>
      </c>
      <c r="C811">
        <v>2.72</v>
      </c>
      <c r="D811">
        <v>3.03</v>
      </c>
      <c r="E811">
        <v>482425</v>
      </c>
      <c r="F811">
        <v>1306524</v>
      </c>
      <c r="G811">
        <v>2394744929.5999999</v>
      </c>
      <c r="H811">
        <v>15.26</v>
      </c>
      <c r="I811">
        <v>0.49</v>
      </c>
      <c r="J811">
        <v>0.60598700000000005</v>
      </c>
      <c r="K811">
        <v>0.114</v>
      </c>
      <c r="L811">
        <v>0.16</v>
      </c>
      <c r="M811">
        <v>3.226559</v>
      </c>
      <c r="N811">
        <v>3.2140499999999999</v>
      </c>
      <c r="O811">
        <v>2.8908019999999999</v>
      </c>
      <c r="P811">
        <v>4.1900000000000004</v>
      </c>
      <c r="Q811" t="s">
        <v>22</v>
      </c>
      <c r="R811" t="s">
        <v>22</v>
      </c>
      <c r="S811">
        <v>1025</v>
      </c>
      <c r="T811">
        <v>992</v>
      </c>
      <c r="U811">
        <v>-0.09</v>
      </c>
      <c r="V811">
        <v>5</v>
      </c>
      <c r="W811">
        <v>5.57</v>
      </c>
      <c r="X811">
        <v>880420930</v>
      </c>
    </row>
    <row r="812" spans="1:24" x14ac:dyDescent="0.25">
      <c r="A812" t="s">
        <v>831</v>
      </c>
      <c r="B812">
        <v>811</v>
      </c>
      <c r="C812">
        <v>0.01</v>
      </c>
      <c r="D812">
        <v>0</v>
      </c>
      <c r="E812">
        <v>1512100</v>
      </c>
      <c r="F812">
        <v>15121</v>
      </c>
      <c r="G812">
        <v>198609115.12</v>
      </c>
      <c r="H812">
        <v>198609115.12</v>
      </c>
      <c r="I812">
        <v>0.13</v>
      </c>
      <c r="J812">
        <v>1.365218</v>
      </c>
      <c r="K812">
        <v>-0.01</v>
      </c>
      <c r="L812">
        <v>-0.01</v>
      </c>
      <c r="M812">
        <v>-49.423119</v>
      </c>
      <c r="N812">
        <v>-82.617508000000001</v>
      </c>
      <c r="O812">
        <v>-14.805733</v>
      </c>
      <c r="P812">
        <v>0.13</v>
      </c>
      <c r="Q812" t="s">
        <v>22</v>
      </c>
      <c r="R812" t="s">
        <v>22</v>
      </c>
      <c r="W812">
        <v>0.08</v>
      </c>
      <c r="X812">
        <v>19860911512</v>
      </c>
    </row>
    <row r="813" spans="1:24" x14ac:dyDescent="0.25">
      <c r="A813" t="s">
        <v>832</v>
      </c>
      <c r="B813">
        <v>812</v>
      </c>
      <c r="C813">
        <v>1.69</v>
      </c>
      <c r="D813">
        <v>-0.59</v>
      </c>
      <c r="E813">
        <v>5</v>
      </c>
      <c r="F813">
        <v>8.5</v>
      </c>
      <c r="G813">
        <v>1014473130</v>
      </c>
      <c r="H813">
        <v>24.11</v>
      </c>
      <c r="I813">
        <v>0.26</v>
      </c>
      <c r="J813">
        <v>0.59928899999999996</v>
      </c>
      <c r="K813">
        <v>-0.05</v>
      </c>
      <c r="L813">
        <v>-0.05</v>
      </c>
      <c r="M813">
        <v>0.72999000000000003</v>
      </c>
      <c r="N813">
        <v>1.0633509999999999</v>
      </c>
      <c r="O813">
        <v>-0.68640699999999999</v>
      </c>
      <c r="P813">
        <v>0.25</v>
      </c>
      <c r="Q813" t="s">
        <v>22</v>
      </c>
      <c r="R813" t="s">
        <v>22</v>
      </c>
      <c r="S813">
        <v>1242</v>
      </c>
      <c r="T813">
        <v>1270</v>
      </c>
      <c r="U813">
        <v>-0.18</v>
      </c>
      <c r="W813">
        <v>6.67</v>
      </c>
      <c r="X813">
        <v>596748900</v>
      </c>
    </row>
    <row r="814" spans="1:24" x14ac:dyDescent="0.25">
      <c r="A814" t="s">
        <v>833</v>
      </c>
      <c r="B814">
        <v>813</v>
      </c>
      <c r="C814">
        <v>2.56</v>
      </c>
      <c r="D814">
        <v>0.79</v>
      </c>
      <c r="E814">
        <v>62205</v>
      </c>
      <c r="F814">
        <v>158242.79999999999</v>
      </c>
      <c r="G814">
        <v>1709071869.4400001</v>
      </c>
      <c r="H814">
        <v>29.41</v>
      </c>
      <c r="I814">
        <v>1.21</v>
      </c>
      <c r="J814">
        <v>0.73829500000000003</v>
      </c>
      <c r="K814">
        <v>0.2</v>
      </c>
      <c r="L814">
        <v>0.09</v>
      </c>
      <c r="M814">
        <v>4.8441479999999997</v>
      </c>
      <c r="N814">
        <v>3.9088259999999999</v>
      </c>
      <c r="O814">
        <v>7.2045459999999997</v>
      </c>
      <c r="P814">
        <v>7.81</v>
      </c>
      <c r="Q814" t="s">
        <v>22</v>
      </c>
      <c r="R814" t="s">
        <v>22</v>
      </c>
      <c r="S814">
        <v>1217</v>
      </c>
      <c r="T814">
        <v>1170</v>
      </c>
      <c r="U814">
        <v>1.67</v>
      </c>
      <c r="V814">
        <v>5</v>
      </c>
      <c r="W814">
        <v>2.11</v>
      </c>
      <c r="X814">
        <v>667606199</v>
      </c>
    </row>
    <row r="815" spans="1:24" x14ac:dyDescent="0.25">
      <c r="A815" t="s">
        <v>834</v>
      </c>
      <c r="B815">
        <v>814</v>
      </c>
      <c r="C815">
        <v>1.27</v>
      </c>
      <c r="D815">
        <v>-0.78</v>
      </c>
      <c r="E815">
        <v>107421</v>
      </c>
      <c r="F815">
        <v>135873.48000000001</v>
      </c>
      <c r="G815">
        <v>762000000</v>
      </c>
      <c r="H815">
        <v>9.2799999999999994</v>
      </c>
      <c r="I815">
        <v>1.21</v>
      </c>
      <c r="J815">
        <v>0.139182</v>
      </c>
      <c r="K815">
        <v>9.7250000000000003E-2</v>
      </c>
      <c r="L815">
        <v>0.06</v>
      </c>
      <c r="M815">
        <v>14.733931999999999</v>
      </c>
      <c r="N815">
        <v>13.307083</v>
      </c>
      <c r="O815">
        <v>14.750323</v>
      </c>
      <c r="P815">
        <v>7.66</v>
      </c>
      <c r="Q815" t="s">
        <v>22</v>
      </c>
      <c r="R815" t="s">
        <v>22</v>
      </c>
      <c r="S815">
        <v>341</v>
      </c>
      <c r="T815">
        <v>233</v>
      </c>
      <c r="U815">
        <v>-3.94</v>
      </c>
      <c r="V815">
        <v>4</v>
      </c>
      <c r="W815">
        <v>1.05</v>
      </c>
      <c r="X815">
        <v>600000000</v>
      </c>
    </row>
    <row r="816" spans="1:24" x14ac:dyDescent="0.25">
      <c r="A816" t="s">
        <v>835</v>
      </c>
      <c r="B816">
        <v>815</v>
      </c>
      <c r="C816">
        <v>0.53</v>
      </c>
      <c r="D816">
        <v>0</v>
      </c>
      <c r="E816">
        <v>851900</v>
      </c>
      <c r="F816">
        <v>452017</v>
      </c>
      <c r="G816">
        <v>2074571580</v>
      </c>
      <c r="H816">
        <v>2113714440</v>
      </c>
      <c r="I816">
        <v>0.37</v>
      </c>
      <c r="J816">
        <v>0.14318900000000001</v>
      </c>
      <c r="K816">
        <v>1.5299999999999999E-2</v>
      </c>
      <c r="L816">
        <v>-0.02</v>
      </c>
      <c r="M816">
        <v>-0.330683</v>
      </c>
      <c r="N816">
        <v>-1.745757</v>
      </c>
      <c r="O816">
        <v>-2.4732400000000001</v>
      </c>
      <c r="P816">
        <v>2.89</v>
      </c>
      <c r="Q816" t="s">
        <v>22</v>
      </c>
      <c r="R816" t="s">
        <v>22</v>
      </c>
      <c r="V816">
        <v>5</v>
      </c>
      <c r="W816">
        <v>1.43</v>
      </c>
      <c r="X816">
        <v>3914286000</v>
      </c>
    </row>
    <row r="817" spans="1:24" x14ac:dyDescent="0.25">
      <c r="A817" t="s">
        <v>836</v>
      </c>
      <c r="B817">
        <v>816</v>
      </c>
      <c r="C817">
        <v>1.49</v>
      </c>
      <c r="D817">
        <v>0</v>
      </c>
      <c r="E817">
        <v>328504</v>
      </c>
      <c r="F817">
        <v>493279.92</v>
      </c>
      <c r="G817">
        <v>424650354.62</v>
      </c>
      <c r="H817">
        <v>8.0299999999999994</v>
      </c>
      <c r="I817">
        <v>0.62</v>
      </c>
      <c r="J817">
        <v>0.70474199999999998</v>
      </c>
      <c r="K817">
        <v>0.2</v>
      </c>
      <c r="L817">
        <v>0.12</v>
      </c>
      <c r="M817">
        <v>5.9271240000000001</v>
      </c>
      <c r="N817">
        <v>7.9561909999999996</v>
      </c>
      <c r="O817">
        <v>6.6208309999999999</v>
      </c>
      <c r="P817">
        <v>0.56999999999999995</v>
      </c>
      <c r="Q817" t="s">
        <v>22</v>
      </c>
      <c r="R817" t="s">
        <v>22</v>
      </c>
      <c r="S817">
        <v>958</v>
      </c>
      <c r="T817">
        <v>915</v>
      </c>
      <c r="U817">
        <v>-1.06</v>
      </c>
      <c r="V817">
        <v>5</v>
      </c>
      <c r="W817">
        <v>2.42</v>
      </c>
      <c r="X817">
        <v>285000238</v>
      </c>
    </row>
    <row r="818" spans="1:24" x14ac:dyDescent="0.25">
      <c r="A818" t="s">
        <v>837</v>
      </c>
      <c r="B818">
        <v>817</v>
      </c>
      <c r="C818">
        <v>0.75</v>
      </c>
      <c r="D818">
        <v>1.35</v>
      </c>
      <c r="E818">
        <v>258920</v>
      </c>
      <c r="F818">
        <v>195274.88</v>
      </c>
      <c r="G818">
        <v>427882950</v>
      </c>
      <c r="H818">
        <v>433588056</v>
      </c>
      <c r="I818">
        <v>0.42</v>
      </c>
      <c r="J818">
        <v>0.17464099999999999</v>
      </c>
      <c r="K818">
        <v>0.03</v>
      </c>
      <c r="L818">
        <v>-0.04</v>
      </c>
      <c r="M818">
        <v>-7.5780880000000002</v>
      </c>
      <c r="N818">
        <v>-7.2561070000000001</v>
      </c>
      <c r="O818">
        <v>-8.3398570000000003</v>
      </c>
      <c r="P818">
        <v>8</v>
      </c>
      <c r="Q818" t="s">
        <v>22</v>
      </c>
      <c r="R818" t="s">
        <v>22</v>
      </c>
      <c r="W818">
        <v>1.77</v>
      </c>
      <c r="X818">
        <v>570510600</v>
      </c>
    </row>
    <row r="819" spans="1:24" x14ac:dyDescent="0.25">
      <c r="A819" t="s">
        <v>838</v>
      </c>
      <c r="B819">
        <v>818</v>
      </c>
      <c r="C819">
        <v>1.55</v>
      </c>
      <c r="D819">
        <v>-1.27</v>
      </c>
      <c r="E819">
        <v>22719920</v>
      </c>
      <c r="F819">
        <v>35875308.439999998</v>
      </c>
      <c r="G819">
        <v>1680048489.05</v>
      </c>
      <c r="H819">
        <v>4.63</v>
      </c>
      <c r="I819">
        <v>1.51</v>
      </c>
      <c r="J819">
        <v>0.88816300000000004</v>
      </c>
      <c r="K819">
        <v>1.4999999999999999E-2</v>
      </c>
      <c r="L819">
        <v>0.31</v>
      </c>
      <c r="M819">
        <v>24.196449999999999</v>
      </c>
      <c r="N819">
        <v>38.560087000000003</v>
      </c>
      <c r="O819">
        <v>19.006938000000002</v>
      </c>
      <c r="P819">
        <v>0.97</v>
      </c>
      <c r="Q819" t="s">
        <v>22</v>
      </c>
      <c r="R819" t="s">
        <v>22</v>
      </c>
      <c r="S819">
        <v>315</v>
      </c>
      <c r="T819">
        <v>353</v>
      </c>
      <c r="U819">
        <v>7.0000000000000007E-2</v>
      </c>
      <c r="V819">
        <v>3</v>
      </c>
      <c r="W819">
        <v>1.03</v>
      </c>
      <c r="X819">
        <v>1083902251</v>
      </c>
    </row>
    <row r="820" spans="1:24" x14ac:dyDescent="0.25">
      <c r="A820" t="s">
        <v>839</v>
      </c>
      <c r="B820">
        <v>819</v>
      </c>
      <c r="C820">
        <v>0.95</v>
      </c>
      <c r="D820">
        <v>0</v>
      </c>
      <c r="E820">
        <v>248800</v>
      </c>
      <c r="F820">
        <v>234154</v>
      </c>
      <c r="G820">
        <v>794679503.95000005</v>
      </c>
      <c r="H820">
        <v>2.11</v>
      </c>
      <c r="I820">
        <v>0.4</v>
      </c>
      <c r="J820">
        <v>0.49205100000000002</v>
      </c>
      <c r="K820">
        <v>0.04</v>
      </c>
      <c r="L820">
        <v>0.4</v>
      </c>
      <c r="M820">
        <v>19.087785</v>
      </c>
      <c r="N820">
        <v>21.686834999999999</v>
      </c>
      <c r="O820">
        <v>38.271407000000004</v>
      </c>
      <c r="P820">
        <v>4.21</v>
      </c>
      <c r="Q820" t="s">
        <v>22</v>
      </c>
      <c r="R820" t="s">
        <v>22</v>
      </c>
      <c r="S820">
        <v>69</v>
      </c>
      <c r="T820">
        <v>35</v>
      </c>
      <c r="U820">
        <v>-0.01</v>
      </c>
      <c r="W820">
        <v>2.37</v>
      </c>
      <c r="X820">
        <v>836504741</v>
      </c>
    </row>
    <row r="821" spans="1:24" x14ac:dyDescent="0.25">
      <c r="A821" t="s">
        <v>840</v>
      </c>
      <c r="B821">
        <v>820</v>
      </c>
      <c r="C821">
        <v>0.57999999999999996</v>
      </c>
      <c r="D821">
        <v>-1.69</v>
      </c>
      <c r="E821">
        <v>469700</v>
      </c>
      <c r="F821">
        <v>276215</v>
      </c>
      <c r="G821">
        <v>1385242734.9400001</v>
      </c>
      <c r="H821">
        <v>1433009725.8</v>
      </c>
      <c r="I821">
        <v>1.91</v>
      </c>
      <c r="J821">
        <v>0.75348800000000005</v>
      </c>
      <c r="K821">
        <v>-0.06</v>
      </c>
      <c r="L821">
        <v>-0.06</v>
      </c>
      <c r="M821">
        <v>-16.417068</v>
      </c>
      <c r="N821">
        <v>-29.330030000000001</v>
      </c>
      <c r="O821">
        <v>-132.41053199999999</v>
      </c>
      <c r="P821">
        <v>1.98</v>
      </c>
      <c r="Q821" t="s">
        <v>22</v>
      </c>
      <c r="R821" t="s">
        <v>22</v>
      </c>
      <c r="W821">
        <v>0.3</v>
      </c>
      <c r="X821">
        <v>2388349543</v>
      </c>
    </row>
    <row r="822" spans="1:24" x14ac:dyDescent="0.25">
      <c r="A822" t="s">
        <v>841</v>
      </c>
      <c r="B822">
        <v>821</v>
      </c>
      <c r="C822">
        <v>2.7</v>
      </c>
      <c r="D822">
        <v>0.75</v>
      </c>
      <c r="E822">
        <v>154301</v>
      </c>
      <c r="F822">
        <v>414692.68</v>
      </c>
      <c r="G822">
        <v>2918743883.0999999</v>
      </c>
      <c r="H822">
        <v>16.57</v>
      </c>
      <c r="I822">
        <v>0.32</v>
      </c>
      <c r="J822">
        <v>3.971114</v>
      </c>
      <c r="K822">
        <v>0.08</v>
      </c>
      <c r="L822">
        <v>7.0000000000000007E-2</v>
      </c>
      <c r="M822">
        <v>3.7027489999999998</v>
      </c>
      <c r="N822">
        <v>1.914291</v>
      </c>
      <c r="O822">
        <v>1.3343860000000001</v>
      </c>
      <c r="P822">
        <v>2.96</v>
      </c>
      <c r="Q822" t="s">
        <v>22</v>
      </c>
      <c r="R822" t="s">
        <v>22</v>
      </c>
      <c r="S822">
        <v>254</v>
      </c>
      <c r="T822">
        <v>402</v>
      </c>
      <c r="U822">
        <v>0.02</v>
      </c>
      <c r="W822">
        <v>8.5500000000000007</v>
      </c>
      <c r="X822">
        <v>1081016253</v>
      </c>
    </row>
    <row r="823" spans="1:24" x14ac:dyDescent="0.25">
      <c r="A823" t="s">
        <v>842</v>
      </c>
      <c r="B823">
        <v>822</v>
      </c>
      <c r="C823">
        <v>2.48</v>
      </c>
      <c r="D823">
        <v>-2.36</v>
      </c>
      <c r="E823">
        <v>8317191</v>
      </c>
      <c r="F823">
        <v>20839625.34</v>
      </c>
      <c r="G823">
        <v>1636800000</v>
      </c>
      <c r="H823">
        <v>6.6</v>
      </c>
      <c r="I823">
        <v>1.78</v>
      </c>
      <c r="J823">
        <v>2.0630860000000002</v>
      </c>
      <c r="K823">
        <v>0.114</v>
      </c>
      <c r="L823">
        <v>0.31</v>
      </c>
      <c r="M823">
        <v>11.997016</v>
      </c>
      <c r="N823">
        <v>27.964744</v>
      </c>
      <c r="O823">
        <v>10.856176</v>
      </c>
      <c r="P823">
        <v>4.5999999999999996</v>
      </c>
      <c r="Q823" t="s">
        <v>22</v>
      </c>
      <c r="R823" t="s">
        <v>22</v>
      </c>
      <c r="W823">
        <v>1.39</v>
      </c>
      <c r="X823">
        <v>660000000</v>
      </c>
    </row>
    <row r="824" spans="1:24" x14ac:dyDescent="0.25">
      <c r="A824" t="s">
        <v>843</v>
      </c>
      <c r="B824">
        <v>823</v>
      </c>
      <c r="C824">
        <v>25.25</v>
      </c>
      <c r="D824">
        <v>-0.98</v>
      </c>
      <c r="E824">
        <v>3400</v>
      </c>
      <c r="F824">
        <v>85875</v>
      </c>
      <c r="G824">
        <v>631250000</v>
      </c>
      <c r="H824">
        <v>9.2100000000000009</v>
      </c>
      <c r="I824">
        <v>1.02</v>
      </c>
      <c r="J824">
        <v>0.25249700000000003</v>
      </c>
      <c r="K824">
        <v>2.5</v>
      </c>
      <c r="L824">
        <v>2.78</v>
      </c>
      <c r="M824">
        <v>8.8318709999999996</v>
      </c>
      <c r="N824">
        <v>11.035595000000001</v>
      </c>
      <c r="O824">
        <v>18.472760999999998</v>
      </c>
      <c r="P824">
        <v>9.9</v>
      </c>
      <c r="Q824" t="s">
        <v>22</v>
      </c>
      <c r="R824" t="s">
        <v>22</v>
      </c>
      <c r="S824">
        <v>446</v>
      </c>
      <c r="T824">
        <v>409</v>
      </c>
      <c r="V824">
        <v>5</v>
      </c>
      <c r="W824">
        <v>24.88</v>
      </c>
      <c r="X824">
        <v>25000000</v>
      </c>
    </row>
    <row r="825" spans="1:24" x14ac:dyDescent="0.25">
      <c r="A825" t="s">
        <v>844</v>
      </c>
      <c r="B825">
        <v>824</v>
      </c>
      <c r="C825">
        <v>22.8</v>
      </c>
      <c r="D825">
        <v>-0.44</v>
      </c>
      <c r="E825">
        <v>201</v>
      </c>
      <c r="F825">
        <v>4563</v>
      </c>
      <c r="G825">
        <v>171000000</v>
      </c>
      <c r="H825">
        <v>35.4</v>
      </c>
      <c r="I825">
        <v>0.52</v>
      </c>
      <c r="J825">
        <v>0.44334000000000001</v>
      </c>
      <c r="K825">
        <v>1.2</v>
      </c>
      <c r="L825">
        <v>1.04</v>
      </c>
      <c r="M825">
        <v>0.85994899999999996</v>
      </c>
      <c r="N825">
        <v>1.460237</v>
      </c>
      <c r="O825">
        <v>2.9303710000000001</v>
      </c>
      <c r="P825">
        <v>0.51</v>
      </c>
      <c r="Q825" t="s">
        <v>22</v>
      </c>
      <c r="R825" t="s">
        <v>22</v>
      </c>
      <c r="S825">
        <v>1260</v>
      </c>
      <c r="T825">
        <v>1313</v>
      </c>
      <c r="U825">
        <v>-0.4</v>
      </c>
      <c r="V825">
        <v>5</v>
      </c>
      <c r="W825">
        <v>43.97</v>
      </c>
      <c r="X825">
        <v>7500000</v>
      </c>
    </row>
    <row r="826" spans="1:24" x14ac:dyDescent="0.25">
      <c r="A826" t="s">
        <v>845</v>
      </c>
      <c r="B826">
        <v>825</v>
      </c>
      <c r="C826">
        <v>6.75</v>
      </c>
      <c r="D826">
        <v>0</v>
      </c>
      <c r="E826">
        <v>602</v>
      </c>
      <c r="F826">
        <v>4058.5</v>
      </c>
      <c r="G826">
        <v>2187337500</v>
      </c>
      <c r="H826">
        <v>9.26</v>
      </c>
      <c r="I826">
        <v>1.27</v>
      </c>
      <c r="J826">
        <v>0.210842</v>
      </c>
      <c r="K826">
        <v>0.34</v>
      </c>
      <c r="L826">
        <v>0.25</v>
      </c>
      <c r="M826">
        <v>14.476984</v>
      </c>
      <c r="N826">
        <v>14.154299</v>
      </c>
      <c r="O826">
        <v>6.3242269999999996</v>
      </c>
      <c r="P826">
        <v>5.04</v>
      </c>
      <c r="Q826" t="s">
        <v>22</v>
      </c>
      <c r="R826" t="s">
        <v>22</v>
      </c>
      <c r="S826">
        <v>364</v>
      </c>
      <c r="T826">
        <v>277</v>
      </c>
      <c r="U826">
        <v>-2.04</v>
      </c>
      <c r="V826">
        <v>5</v>
      </c>
      <c r="W826">
        <v>5.33</v>
      </c>
      <c r="X826">
        <v>324050000</v>
      </c>
    </row>
    <row r="827" spans="1:24" x14ac:dyDescent="0.25">
      <c r="A827" t="s">
        <v>846</v>
      </c>
      <c r="B827">
        <v>826</v>
      </c>
      <c r="C827">
        <v>0.43</v>
      </c>
      <c r="D827">
        <v>0</v>
      </c>
      <c r="E827">
        <v>4283600</v>
      </c>
      <c r="F827">
        <v>1845157</v>
      </c>
      <c r="G827">
        <v>809354978.83000004</v>
      </c>
      <c r="H827">
        <v>41.8</v>
      </c>
      <c r="I827">
        <v>0.51</v>
      </c>
      <c r="J827">
        <v>0.18385000000000001</v>
      </c>
      <c r="L827">
        <v>1.8911798356592568</v>
      </c>
      <c r="M827">
        <v>1.8911800000000001</v>
      </c>
      <c r="N827">
        <v>1.235147</v>
      </c>
      <c r="O827">
        <v>9.399756</v>
      </c>
      <c r="P827">
        <v>0.52</v>
      </c>
      <c r="Q827" t="s">
        <v>22</v>
      </c>
      <c r="R827" t="s">
        <v>22</v>
      </c>
      <c r="S827">
        <v>1282</v>
      </c>
      <c r="T827">
        <v>1271</v>
      </c>
      <c r="U827">
        <v>0.97</v>
      </c>
      <c r="V827">
        <v>4</v>
      </c>
      <c r="W827">
        <v>0.84</v>
      </c>
      <c r="X827">
        <v>1882220881</v>
      </c>
    </row>
    <row r="828" spans="1:24" x14ac:dyDescent="0.25">
      <c r="A828" t="s">
        <v>847</v>
      </c>
      <c r="B828">
        <v>827</v>
      </c>
      <c r="C828">
        <v>9.0500000000000007</v>
      </c>
      <c r="D828">
        <v>1.1200000000000001</v>
      </c>
      <c r="E828">
        <v>512414</v>
      </c>
      <c r="F828">
        <v>4614085.6500000004</v>
      </c>
      <c r="G828">
        <v>5882500000</v>
      </c>
      <c r="H828">
        <v>9.32</v>
      </c>
      <c r="I828">
        <v>1.17</v>
      </c>
      <c r="J828">
        <v>0.11224099999999999</v>
      </c>
      <c r="K828">
        <v>0.4</v>
      </c>
      <c r="L828">
        <v>0.61</v>
      </c>
      <c r="M828">
        <v>14.615973</v>
      </c>
      <c r="N828">
        <v>12.90133</v>
      </c>
      <c r="O828">
        <v>18.71942</v>
      </c>
      <c r="P828">
        <v>6.63</v>
      </c>
      <c r="Q828" t="s">
        <v>22</v>
      </c>
      <c r="R828" t="s">
        <v>22</v>
      </c>
      <c r="S828">
        <v>480</v>
      </c>
      <c r="T828">
        <v>354</v>
      </c>
      <c r="U828">
        <v>-0.84</v>
      </c>
      <c r="W828">
        <v>7.71</v>
      </c>
      <c r="X828">
        <v>650000000</v>
      </c>
    </row>
    <row r="829" spans="1:24" x14ac:dyDescent="0.25">
      <c r="A829" t="s">
        <v>848</v>
      </c>
      <c r="B829">
        <v>828</v>
      </c>
      <c r="C829">
        <v>1.04</v>
      </c>
      <c r="D829">
        <v>0</v>
      </c>
      <c r="E829">
        <v>519600</v>
      </c>
      <c r="F829">
        <v>535228</v>
      </c>
      <c r="G829">
        <v>1988403598.48</v>
      </c>
      <c r="H829">
        <v>1911926537</v>
      </c>
      <c r="I829">
        <v>0.19</v>
      </c>
      <c r="J829">
        <v>1.4431069999999999</v>
      </c>
      <c r="K829">
        <v>0.09</v>
      </c>
      <c r="L829">
        <v>-0.03</v>
      </c>
      <c r="M829">
        <v>2.6742279999999998</v>
      </c>
      <c r="N829">
        <v>-0.82278300000000004</v>
      </c>
      <c r="O829">
        <v>1.176183</v>
      </c>
      <c r="P829">
        <v>0.18</v>
      </c>
      <c r="Q829" t="s">
        <v>22</v>
      </c>
      <c r="R829" t="s">
        <v>22</v>
      </c>
      <c r="V829">
        <v>5</v>
      </c>
      <c r="W829">
        <v>5.59</v>
      </c>
      <c r="X829">
        <v>1911926537</v>
      </c>
    </row>
    <row r="830" spans="1:24" x14ac:dyDescent="0.25">
      <c r="A830" t="s">
        <v>849</v>
      </c>
      <c r="B830">
        <v>829</v>
      </c>
      <c r="C830">
        <v>14.2</v>
      </c>
      <c r="D830">
        <v>-2.0699999999999998</v>
      </c>
      <c r="E830">
        <v>802575</v>
      </c>
      <c r="F830">
        <v>11400889.9</v>
      </c>
      <c r="G830">
        <v>13348000000</v>
      </c>
      <c r="H830">
        <v>11.32</v>
      </c>
      <c r="I830">
        <v>2.5499999999999998</v>
      </c>
      <c r="J830">
        <v>0.10528</v>
      </c>
      <c r="K830">
        <v>0.25</v>
      </c>
      <c r="L830">
        <v>0.48</v>
      </c>
      <c r="M830">
        <v>24.70607</v>
      </c>
      <c r="N830">
        <v>22.445332000000001</v>
      </c>
      <c r="O830">
        <v>6.6016919999999999</v>
      </c>
      <c r="P830">
        <v>8.8000000000000007</v>
      </c>
      <c r="Q830" t="s">
        <v>22</v>
      </c>
      <c r="R830" t="s">
        <v>22</v>
      </c>
      <c r="S830">
        <v>165</v>
      </c>
      <c r="T830">
        <v>142</v>
      </c>
      <c r="U830">
        <v>0.28999999999999998</v>
      </c>
      <c r="W830">
        <v>5.58</v>
      </c>
      <c r="X830">
        <v>940000000</v>
      </c>
    </row>
    <row r="831" spans="1:24" x14ac:dyDescent="0.25">
      <c r="A831" t="s">
        <v>850</v>
      </c>
      <c r="B831">
        <v>830</v>
      </c>
      <c r="C831">
        <v>6.5</v>
      </c>
      <c r="D831">
        <v>3.17</v>
      </c>
      <c r="E831">
        <v>3158611</v>
      </c>
      <c r="F831">
        <v>21971163.300000001</v>
      </c>
      <c r="G831">
        <v>649363799.5</v>
      </c>
      <c r="H831">
        <v>4.2300000000000004</v>
      </c>
      <c r="I831">
        <v>0.56000000000000005</v>
      </c>
      <c r="J831">
        <v>1.0517289999999999</v>
      </c>
      <c r="K831">
        <v>1.49</v>
      </c>
      <c r="L831">
        <v>1.49</v>
      </c>
      <c r="M831">
        <v>8.0714020000000009</v>
      </c>
      <c r="N831">
        <v>14.493504</v>
      </c>
      <c r="O831">
        <v>9.6368130000000001</v>
      </c>
      <c r="P831">
        <v>0.52</v>
      </c>
      <c r="Q831" t="s">
        <v>22</v>
      </c>
      <c r="R831" t="s">
        <v>22</v>
      </c>
      <c r="S831">
        <v>511</v>
      </c>
      <c r="T831">
        <v>580</v>
      </c>
      <c r="U831">
        <v>-0.01</v>
      </c>
      <c r="V831">
        <v>3</v>
      </c>
      <c r="W831">
        <v>11.53</v>
      </c>
      <c r="X831">
        <v>99902123</v>
      </c>
    </row>
    <row r="832" spans="1:24" x14ac:dyDescent="0.25">
      <c r="A832" t="s">
        <v>851</v>
      </c>
      <c r="B832">
        <v>831</v>
      </c>
      <c r="C832">
        <v>3.96</v>
      </c>
      <c r="D832">
        <v>0</v>
      </c>
      <c r="E832">
        <v>178542</v>
      </c>
      <c r="F832">
        <v>707207.16</v>
      </c>
      <c r="G832">
        <v>1215740592</v>
      </c>
      <c r="H832">
        <v>8.85</v>
      </c>
      <c r="I832">
        <v>2.0099999999999998</v>
      </c>
      <c r="J832">
        <v>1.914909</v>
      </c>
      <c r="K832">
        <v>0.15</v>
      </c>
      <c r="L832">
        <v>0.24</v>
      </c>
      <c r="M832">
        <v>13.936306</v>
      </c>
      <c r="N832">
        <v>23.228014999999999</v>
      </c>
      <c r="O832">
        <v>6.4024140000000003</v>
      </c>
      <c r="P832">
        <v>9.34</v>
      </c>
      <c r="Q832" t="s">
        <v>22</v>
      </c>
      <c r="R832" t="s">
        <v>22</v>
      </c>
      <c r="S832">
        <v>265</v>
      </c>
      <c r="T832">
        <v>281</v>
      </c>
      <c r="U832">
        <v>2.44</v>
      </c>
      <c r="V832">
        <v>4</v>
      </c>
      <c r="W832">
        <v>1.97</v>
      </c>
      <c r="X832">
        <v>307005200</v>
      </c>
    </row>
    <row r="833" spans="1:24" x14ac:dyDescent="0.25">
      <c r="A833" t="s">
        <v>852</v>
      </c>
      <c r="B833">
        <v>832</v>
      </c>
      <c r="C833">
        <v>1.03</v>
      </c>
      <c r="D833">
        <v>-0.96</v>
      </c>
      <c r="E833">
        <v>80165689</v>
      </c>
      <c r="F833">
        <v>83154786.799999997</v>
      </c>
      <c r="G833">
        <v>21734323439.790001</v>
      </c>
      <c r="H833">
        <v>24055464778.02</v>
      </c>
      <c r="I833">
        <v>0.61</v>
      </c>
      <c r="J833">
        <v>8.9431999999999998E-2</v>
      </c>
      <c r="K833">
        <v>1.2999999999999999E-2</v>
      </c>
      <c r="L833">
        <v>0.01</v>
      </c>
      <c r="M833">
        <v>-2.4437410000000002</v>
      </c>
      <c r="N833">
        <v>-2.4270839999999998</v>
      </c>
      <c r="O833">
        <v>17.916882999999999</v>
      </c>
      <c r="P833">
        <v>0.68</v>
      </c>
      <c r="Q833" t="s">
        <v>22</v>
      </c>
      <c r="R833" t="s">
        <v>22</v>
      </c>
      <c r="V833">
        <v>5</v>
      </c>
      <c r="W833">
        <v>1.68</v>
      </c>
      <c r="X833">
        <v>21101284893</v>
      </c>
    </row>
    <row r="834" spans="1:24" x14ac:dyDescent="0.25">
      <c r="A834" t="s">
        <v>853</v>
      </c>
      <c r="B834">
        <v>833</v>
      </c>
      <c r="C834">
        <v>0.24</v>
      </c>
      <c r="D834">
        <v>0</v>
      </c>
      <c r="E834">
        <v>50450</v>
      </c>
      <c r="F834">
        <v>12346.5</v>
      </c>
      <c r="G834">
        <v>131443325.28</v>
      </c>
      <c r="H834">
        <v>147873740.94</v>
      </c>
      <c r="I834">
        <v>0.39</v>
      </c>
      <c r="J834">
        <v>0.48877999999999999</v>
      </c>
      <c r="K834">
        <v>-0.01</v>
      </c>
      <c r="L834">
        <v>-0.01</v>
      </c>
      <c r="M834">
        <v>-5.289879</v>
      </c>
      <c r="N834">
        <v>-12.31232</v>
      </c>
      <c r="O834">
        <v>-0.49751499999999999</v>
      </c>
      <c r="P834">
        <v>0.43</v>
      </c>
      <c r="Q834" t="s">
        <v>22</v>
      </c>
      <c r="R834" t="s">
        <v>22</v>
      </c>
      <c r="W834">
        <v>0.62</v>
      </c>
      <c r="X834">
        <v>547680522</v>
      </c>
    </row>
    <row r="835" spans="1:24" x14ac:dyDescent="0.25">
      <c r="A835" t="s">
        <v>854</v>
      </c>
      <c r="B835">
        <v>834</v>
      </c>
      <c r="C835">
        <v>1.35</v>
      </c>
      <c r="D835">
        <v>0</v>
      </c>
      <c r="E835">
        <v>1183728</v>
      </c>
      <c r="F835">
        <v>1591982.75</v>
      </c>
      <c r="G835">
        <v>18204487835.400002</v>
      </c>
      <c r="H835">
        <v>9.86</v>
      </c>
      <c r="I835">
        <v>1.6</v>
      </c>
      <c r="J835">
        <v>0.75565800000000005</v>
      </c>
      <c r="K835">
        <v>0.06</v>
      </c>
      <c r="L835">
        <v>0.03</v>
      </c>
      <c r="M835">
        <v>10.301762999999999</v>
      </c>
      <c r="N835">
        <v>17.602338</v>
      </c>
      <c r="O835">
        <v>13.643068</v>
      </c>
      <c r="P835">
        <v>4.4400000000000004</v>
      </c>
      <c r="Q835" t="s">
        <v>22</v>
      </c>
      <c r="R835" t="s">
        <v>22</v>
      </c>
      <c r="S835">
        <v>384</v>
      </c>
      <c r="T835">
        <v>420</v>
      </c>
      <c r="U835">
        <v>0.65</v>
      </c>
      <c r="V835">
        <v>5</v>
      </c>
      <c r="W835">
        <v>0.85</v>
      </c>
      <c r="X835">
        <v>13484805804</v>
      </c>
    </row>
    <row r="836" spans="1:24" x14ac:dyDescent="0.25">
      <c r="A836" t="s">
        <v>855</v>
      </c>
      <c r="B836">
        <v>835</v>
      </c>
      <c r="C836">
        <v>8.75</v>
      </c>
      <c r="D836">
        <v>-0.56999999999999995</v>
      </c>
      <c r="E836">
        <v>254400</v>
      </c>
      <c r="F836">
        <v>2228615</v>
      </c>
      <c r="G836">
        <v>5488251431.25</v>
      </c>
      <c r="H836">
        <v>12.24</v>
      </c>
      <c r="I836">
        <v>1.41</v>
      </c>
      <c r="J836">
        <v>0.149283</v>
      </c>
      <c r="K836">
        <v>0.4</v>
      </c>
      <c r="L836">
        <v>0.34</v>
      </c>
      <c r="M836">
        <v>13.095421</v>
      </c>
      <c r="N836">
        <v>12.016170000000001</v>
      </c>
      <c r="O836">
        <v>13.754106999999999</v>
      </c>
      <c r="P836">
        <v>4.51</v>
      </c>
      <c r="Q836" t="s">
        <v>22</v>
      </c>
      <c r="R836" t="s">
        <v>22</v>
      </c>
      <c r="S836">
        <v>610</v>
      </c>
      <c r="T836">
        <v>497</v>
      </c>
      <c r="U836">
        <v>-0.95</v>
      </c>
      <c r="V836">
        <v>5</v>
      </c>
      <c r="W836">
        <v>6.31</v>
      </c>
      <c r="X836">
        <v>627228735</v>
      </c>
    </row>
    <row r="837" spans="1:24" x14ac:dyDescent="0.25">
      <c r="A837" t="s">
        <v>856</v>
      </c>
      <c r="B837">
        <v>836</v>
      </c>
      <c r="C837">
        <v>0.81</v>
      </c>
      <c r="D837">
        <v>0</v>
      </c>
      <c r="E837">
        <v>187800</v>
      </c>
      <c r="F837">
        <v>149950</v>
      </c>
      <c r="G837">
        <v>958737477.14999998</v>
      </c>
      <c r="H837">
        <v>16.13</v>
      </c>
      <c r="I837">
        <v>0.9</v>
      </c>
      <c r="J837">
        <v>0.333754</v>
      </c>
      <c r="K837">
        <v>0.01</v>
      </c>
      <c r="L837">
        <v>0.02</v>
      </c>
      <c r="M837">
        <v>5.5083859999999998</v>
      </c>
      <c r="N837">
        <v>5.6679630000000003</v>
      </c>
      <c r="O837">
        <v>7.6451500000000001</v>
      </c>
      <c r="P837">
        <v>1.85</v>
      </c>
      <c r="Q837" t="s">
        <v>22</v>
      </c>
      <c r="R837" t="s">
        <v>22</v>
      </c>
      <c r="S837">
        <v>967</v>
      </c>
      <c r="T837">
        <v>875</v>
      </c>
      <c r="U837">
        <v>0.49</v>
      </c>
      <c r="V837">
        <v>3</v>
      </c>
      <c r="W837">
        <v>0.9</v>
      </c>
      <c r="X837">
        <v>1183626515</v>
      </c>
    </row>
    <row r="838" spans="1:24" x14ac:dyDescent="0.25">
      <c r="A838" t="s">
        <v>857</v>
      </c>
      <c r="B838">
        <v>837</v>
      </c>
      <c r="C838">
        <v>1.98</v>
      </c>
      <c r="D838">
        <v>-0.5</v>
      </c>
      <c r="E838">
        <v>23101</v>
      </c>
      <c r="F838">
        <v>45586.98</v>
      </c>
      <c r="G838">
        <v>3435770210.4000001</v>
      </c>
      <c r="H838">
        <v>3383713086</v>
      </c>
      <c r="I838">
        <v>0.55000000000000004</v>
      </c>
      <c r="J838">
        <v>1.95607</v>
      </c>
      <c r="K838">
        <v>0.05</v>
      </c>
      <c r="L838">
        <v>-0.23</v>
      </c>
      <c r="M838">
        <v>-3.5012970000000001</v>
      </c>
      <c r="N838">
        <v>-13.872529</v>
      </c>
      <c r="O838">
        <v>-8.0148700000000002</v>
      </c>
      <c r="P838">
        <v>0.54</v>
      </c>
      <c r="Q838" t="s">
        <v>22</v>
      </c>
      <c r="R838" t="s">
        <v>22</v>
      </c>
      <c r="V838">
        <v>5</v>
      </c>
      <c r="W838">
        <v>3.61</v>
      </c>
      <c r="X838">
        <v>1735237480</v>
      </c>
    </row>
    <row r="839" spans="1:24" x14ac:dyDescent="0.25">
      <c r="A839" t="s">
        <v>858</v>
      </c>
      <c r="B839">
        <v>838</v>
      </c>
      <c r="C839">
        <v>0.48</v>
      </c>
      <c r="D839">
        <v>0</v>
      </c>
      <c r="E839">
        <v>1016200</v>
      </c>
      <c r="F839">
        <v>482880</v>
      </c>
      <c r="G839">
        <v>451200000</v>
      </c>
      <c r="H839">
        <v>432400000</v>
      </c>
      <c r="I839">
        <v>0.97</v>
      </c>
      <c r="J839">
        <v>1.281256</v>
      </c>
      <c r="K839">
        <v>-0.09</v>
      </c>
      <c r="L839">
        <v>-0.09</v>
      </c>
      <c r="M839">
        <v>-12.016613</v>
      </c>
      <c r="N839">
        <v>-25.171842000000002</v>
      </c>
      <c r="O839">
        <v>-10.330287999999999</v>
      </c>
      <c r="P839">
        <v>0.93</v>
      </c>
      <c r="Q839" t="s">
        <v>22</v>
      </c>
      <c r="R839" t="s">
        <v>22</v>
      </c>
      <c r="S839">
        <v>1007</v>
      </c>
      <c r="T839">
        <v>914</v>
      </c>
      <c r="U839">
        <v>-7.0000000000000007E-2</v>
      </c>
      <c r="W839">
        <v>0.49</v>
      </c>
      <c r="X839">
        <v>940000000</v>
      </c>
    </row>
    <row r="840" spans="1:24" x14ac:dyDescent="0.25">
      <c r="A840" t="s">
        <v>859</v>
      </c>
      <c r="B840">
        <v>839</v>
      </c>
      <c r="C840">
        <v>4.38</v>
      </c>
      <c r="D840">
        <v>-0.45</v>
      </c>
      <c r="E840">
        <v>15700</v>
      </c>
      <c r="F840">
        <v>68960</v>
      </c>
      <c r="G840">
        <v>1400205723.3599999</v>
      </c>
      <c r="H840">
        <v>26.03</v>
      </c>
      <c r="I840">
        <v>0.76</v>
      </c>
      <c r="J840">
        <v>2.2130920000000001</v>
      </c>
      <c r="K840">
        <v>0.185</v>
      </c>
      <c r="L840">
        <v>0.02</v>
      </c>
      <c r="M840">
        <v>4.8540720000000004</v>
      </c>
      <c r="N840">
        <v>2.9107219999999998</v>
      </c>
      <c r="O840">
        <v>0.90585499999999997</v>
      </c>
      <c r="P840">
        <v>4.22</v>
      </c>
      <c r="Q840" t="s">
        <v>22</v>
      </c>
      <c r="R840" t="s">
        <v>22</v>
      </c>
      <c r="S840">
        <v>1197</v>
      </c>
      <c r="T840">
        <v>1050</v>
      </c>
      <c r="U840">
        <v>-0.01</v>
      </c>
      <c r="V840">
        <v>4</v>
      </c>
      <c r="W840">
        <v>5.76</v>
      </c>
      <c r="X840">
        <v>319681672</v>
      </c>
    </row>
    <row r="841" spans="1:24" x14ac:dyDescent="0.25">
      <c r="A841" t="s">
        <v>860</v>
      </c>
      <c r="B841">
        <v>840</v>
      </c>
      <c r="C841">
        <v>0.27</v>
      </c>
      <c r="D841">
        <v>-3.57</v>
      </c>
      <c r="E841">
        <v>1100</v>
      </c>
      <c r="F841">
        <v>307</v>
      </c>
      <c r="G841">
        <v>67500000</v>
      </c>
      <c r="H841">
        <v>65000000</v>
      </c>
      <c r="I841">
        <v>1.56</v>
      </c>
      <c r="J841">
        <v>0.82266399999999995</v>
      </c>
      <c r="K841">
        <v>-0.02</v>
      </c>
      <c r="L841">
        <v>-0.02</v>
      </c>
      <c r="M841">
        <v>-12.287004</v>
      </c>
      <c r="N841">
        <v>-23.674689999999998</v>
      </c>
      <c r="O841">
        <v>-20.544211000000001</v>
      </c>
      <c r="P841">
        <v>1.5</v>
      </c>
      <c r="Q841" t="s">
        <v>22</v>
      </c>
      <c r="R841" t="s">
        <v>22</v>
      </c>
      <c r="W841">
        <v>0.17</v>
      </c>
      <c r="X841">
        <v>250000000</v>
      </c>
    </row>
    <row r="842" spans="1:24" x14ac:dyDescent="0.25">
      <c r="A842" t="s">
        <v>861</v>
      </c>
      <c r="B842">
        <v>841</v>
      </c>
      <c r="C842">
        <v>15.7</v>
      </c>
      <c r="D842">
        <v>-0.63</v>
      </c>
      <c r="E842">
        <v>604</v>
      </c>
      <c r="F842">
        <v>9534.4</v>
      </c>
      <c r="G842">
        <v>1896000000</v>
      </c>
      <c r="H842">
        <v>1896000000</v>
      </c>
      <c r="I842">
        <v>0.38</v>
      </c>
      <c r="J842">
        <v>0.19272400000000001</v>
      </c>
      <c r="K842">
        <v>0.55000000000000004</v>
      </c>
      <c r="L842">
        <v>7.0000000000000007E-2</v>
      </c>
      <c r="M842">
        <v>1.1507879999999999</v>
      </c>
      <c r="N842">
        <v>-0.13165299999999999</v>
      </c>
      <c r="O842">
        <v>0.53273300000000001</v>
      </c>
      <c r="P842">
        <v>3.48</v>
      </c>
      <c r="Q842" t="s">
        <v>22</v>
      </c>
      <c r="R842" t="s">
        <v>22</v>
      </c>
      <c r="V842">
        <v>5</v>
      </c>
      <c r="W842">
        <v>41.08</v>
      </c>
      <c r="X842">
        <v>120000000</v>
      </c>
    </row>
    <row r="843" spans="1:24" x14ac:dyDescent="0.25">
      <c r="A843" t="s">
        <v>862</v>
      </c>
      <c r="B843">
        <v>842</v>
      </c>
      <c r="C843">
        <v>1.29</v>
      </c>
      <c r="D843">
        <v>3.2</v>
      </c>
      <c r="E843">
        <v>908830</v>
      </c>
      <c r="F843">
        <v>1150062.83</v>
      </c>
      <c r="G843">
        <v>774000000</v>
      </c>
      <c r="H843">
        <v>744000000</v>
      </c>
      <c r="I843">
        <v>0.6</v>
      </c>
      <c r="J843">
        <v>0.39127499999999998</v>
      </c>
      <c r="K843">
        <v>5.6300000000000003E-2</v>
      </c>
      <c r="L843">
        <v>-0.13</v>
      </c>
      <c r="M843">
        <v>-0.56844899999999998</v>
      </c>
      <c r="N843">
        <v>-1.9481809999999999</v>
      </c>
      <c r="O843">
        <v>-9.1163550000000004</v>
      </c>
      <c r="P843">
        <v>4.3600000000000003</v>
      </c>
      <c r="Q843" t="s">
        <v>22</v>
      </c>
      <c r="R843" t="s">
        <v>22</v>
      </c>
      <c r="V843">
        <v>4</v>
      </c>
      <c r="W843">
        <v>2.14</v>
      </c>
      <c r="X843">
        <v>600000000</v>
      </c>
    </row>
    <row r="844" spans="1:24" x14ac:dyDescent="0.25">
      <c r="A844" t="s">
        <v>863</v>
      </c>
      <c r="B844">
        <v>843</v>
      </c>
      <c r="C844">
        <v>3.68</v>
      </c>
      <c r="D844">
        <v>-0.54</v>
      </c>
      <c r="E844">
        <v>199603</v>
      </c>
      <c r="F844">
        <v>736580.8</v>
      </c>
      <c r="G844">
        <v>1298823527.6800001</v>
      </c>
      <c r="H844">
        <v>12.03</v>
      </c>
      <c r="I844">
        <v>1.21</v>
      </c>
      <c r="J844">
        <v>1.6217239999999999</v>
      </c>
      <c r="K844">
        <v>0.1066</v>
      </c>
      <c r="L844">
        <v>0.09</v>
      </c>
      <c r="M844">
        <v>8.2246710000000007</v>
      </c>
      <c r="N844">
        <v>11.842733000000001</v>
      </c>
      <c r="O844">
        <v>6.1615989999999998</v>
      </c>
      <c r="P844">
        <v>4.8600000000000003</v>
      </c>
      <c r="Q844" t="s">
        <v>22</v>
      </c>
      <c r="R844" t="s">
        <v>22</v>
      </c>
      <c r="S844">
        <v>608</v>
      </c>
      <c r="T844">
        <v>625</v>
      </c>
      <c r="U844">
        <v>0.25</v>
      </c>
      <c r="W844">
        <v>3.05</v>
      </c>
      <c r="X844">
        <v>352941176</v>
      </c>
    </row>
    <row r="845" spans="1:24" x14ac:dyDescent="0.25">
      <c r="A845" t="s">
        <v>864</v>
      </c>
      <c r="B845">
        <v>844</v>
      </c>
      <c r="C845">
        <v>0.04</v>
      </c>
      <c r="D845">
        <v>0</v>
      </c>
      <c r="E845">
        <v>26900</v>
      </c>
      <c r="F845">
        <v>1051</v>
      </c>
      <c r="G845">
        <v>458517484</v>
      </c>
      <c r="H845">
        <v>1.45</v>
      </c>
      <c r="I845">
        <v>1.01</v>
      </c>
      <c r="J845">
        <v>1.6244989999999999</v>
      </c>
      <c r="L845">
        <v>50.823592799432305</v>
      </c>
      <c r="M845">
        <v>50.823593000000002</v>
      </c>
      <c r="N845">
        <v>55.507243000000003</v>
      </c>
      <c r="O845">
        <v>-10.481183</v>
      </c>
      <c r="P845">
        <v>1.01</v>
      </c>
      <c r="Q845" t="s">
        <v>22</v>
      </c>
      <c r="R845" t="s">
        <v>22</v>
      </c>
      <c r="S845">
        <v>8</v>
      </c>
      <c r="T845">
        <v>2</v>
      </c>
      <c r="V845">
        <v>4</v>
      </c>
      <c r="W845">
        <v>0.04</v>
      </c>
      <c r="X845">
        <v>11462937100</v>
      </c>
    </row>
    <row r="846" spans="1:24" x14ac:dyDescent="0.25">
      <c r="A846" t="s">
        <v>865</v>
      </c>
      <c r="B846">
        <v>845</v>
      </c>
      <c r="C846">
        <v>0</v>
      </c>
      <c r="D846">
        <v>0</v>
      </c>
      <c r="E846">
        <v>0</v>
      </c>
      <c r="F846">
        <v>0</v>
      </c>
      <c r="G846">
        <v>0</v>
      </c>
      <c r="J846">
        <v>0.25</v>
      </c>
      <c r="L846">
        <v>-0.92</v>
      </c>
      <c r="M846">
        <v>6.74</v>
      </c>
      <c r="N846">
        <v>6.13</v>
      </c>
      <c r="O846">
        <v>11.88</v>
      </c>
      <c r="Q846" t="s">
        <v>22</v>
      </c>
      <c r="R846" t="s">
        <v>22</v>
      </c>
    </row>
    <row r="847" spans="1:24" x14ac:dyDescent="0.25">
      <c r="A847" t="s">
        <v>866</v>
      </c>
      <c r="B847">
        <v>846</v>
      </c>
      <c r="C847">
        <v>1.01</v>
      </c>
      <c r="D847">
        <v>-0.98</v>
      </c>
      <c r="E847">
        <v>59328</v>
      </c>
      <c r="F847">
        <v>60398.559999999998</v>
      </c>
      <c r="G847">
        <v>468842000</v>
      </c>
      <c r="H847">
        <v>454916000</v>
      </c>
      <c r="I847">
        <v>0.27</v>
      </c>
      <c r="J847">
        <v>0.33668300000000001</v>
      </c>
      <c r="K847">
        <v>0.21</v>
      </c>
      <c r="L847">
        <v>0.03</v>
      </c>
      <c r="M847">
        <v>-0.35061799999999999</v>
      </c>
      <c r="N847">
        <v>-1.0839700000000001</v>
      </c>
      <c r="O847">
        <v>1.3193170000000001</v>
      </c>
      <c r="P847">
        <v>0.26</v>
      </c>
      <c r="Q847" t="s">
        <v>22</v>
      </c>
      <c r="R847" t="s">
        <v>22</v>
      </c>
      <c r="V847">
        <v>3</v>
      </c>
      <c r="W847">
        <v>3.75</v>
      </c>
      <c r="X847">
        <v>464200000</v>
      </c>
    </row>
    <row r="848" spans="1:24" x14ac:dyDescent="0.25">
      <c r="A848" t="s">
        <v>867</v>
      </c>
      <c r="B848">
        <v>847</v>
      </c>
      <c r="C848">
        <v>0.69</v>
      </c>
      <c r="D848">
        <v>0</v>
      </c>
      <c r="E848">
        <v>1983008</v>
      </c>
      <c r="F848">
        <v>1403308.53</v>
      </c>
      <c r="G848">
        <v>414000000</v>
      </c>
      <c r="H848">
        <v>3.42</v>
      </c>
      <c r="I848">
        <v>0.74</v>
      </c>
      <c r="J848">
        <v>1.932704</v>
      </c>
      <c r="K848">
        <v>0.05</v>
      </c>
      <c r="L848">
        <v>0.1</v>
      </c>
      <c r="M848">
        <v>10.452417000000001</v>
      </c>
      <c r="N848">
        <v>24.141100999999999</v>
      </c>
      <c r="O848">
        <v>5.8110179999999998</v>
      </c>
      <c r="P848">
        <v>0.75</v>
      </c>
      <c r="Q848" t="s">
        <v>22</v>
      </c>
      <c r="R848" t="s">
        <v>22</v>
      </c>
      <c r="S848">
        <v>48</v>
      </c>
      <c r="T848">
        <v>138</v>
      </c>
      <c r="U848">
        <v>-0.02</v>
      </c>
      <c r="V848">
        <v>5</v>
      </c>
      <c r="W848">
        <v>0.94</v>
      </c>
      <c r="X848">
        <v>600000000</v>
      </c>
    </row>
    <row r="849" spans="1:24" x14ac:dyDescent="0.25">
      <c r="A849" t="s">
        <v>868</v>
      </c>
      <c r="B849">
        <v>848</v>
      </c>
      <c r="C849">
        <v>4.9400000000000004</v>
      </c>
      <c r="D849">
        <v>1.65</v>
      </c>
      <c r="E849">
        <v>230236621</v>
      </c>
      <c r="F849">
        <v>1139737069.1600001</v>
      </c>
      <c r="G849">
        <v>73837363314.259995</v>
      </c>
      <c r="H849">
        <v>17.39</v>
      </c>
      <c r="I849">
        <v>1.97</v>
      </c>
      <c r="J849">
        <v>1.584543</v>
      </c>
      <c r="K849">
        <v>0.14380000000000001</v>
      </c>
      <c r="L849">
        <v>0.15</v>
      </c>
      <c r="M849">
        <v>6.2940240000000003</v>
      </c>
      <c r="N849">
        <v>11.714471</v>
      </c>
      <c r="O849">
        <v>40.205120999999998</v>
      </c>
      <c r="P849">
        <v>4.2699999999999996</v>
      </c>
      <c r="Q849" t="s">
        <v>22</v>
      </c>
      <c r="R849" t="s">
        <v>22</v>
      </c>
      <c r="S849">
        <v>720</v>
      </c>
      <c r="T849">
        <v>849</v>
      </c>
      <c r="U849">
        <v>0.83</v>
      </c>
      <c r="V849">
        <v>5</v>
      </c>
      <c r="W849">
        <v>2.5</v>
      </c>
      <c r="X849">
        <v>14946834679</v>
      </c>
    </row>
    <row r="850" spans="1:24" x14ac:dyDescent="0.25">
      <c r="A850" t="s">
        <v>869</v>
      </c>
      <c r="B850">
        <v>849</v>
      </c>
      <c r="C850">
        <v>7.75</v>
      </c>
      <c r="D850">
        <v>1.97</v>
      </c>
      <c r="E850">
        <v>19364790</v>
      </c>
      <c r="F850">
        <v>149775248.44999999</v>
      </c>
      <c r="G850">
        <v>29643750000</v>
      </c>
      <c r="H850">
        <v>19.95</v>
      </c>
      <c r="I850">
        <v>2.1800000000000002</v>
      </c>
      <c r="J850">
        <v>1.397078</v>
      </c>
      <c r="K850">
        <v>0.1925</v>
      </c>
      <c r="L850">
        <v>0.22</v>
      </c>
      <c r="M850">
        <v>6.8038610000000004</v>
      </c>
      <c r="N850">
        <v>11.128075000000001</v>
      </c>
      <c r="O850">
        <v>41.379517999999997</v>
      </c>
      <c r="P850">
        <v>3.26</v>
      </c>
      <c r="Q850" t="s">
        <v>22</v>
      </c>
      <c r="R850" t="s">
        <v>22</v>
      </c>
      <c r="S850">
        <v>787</v>
      </c>
      <c r="T850">
        <v>855</v>
      </c>
      <c r="U850">
        <v>0.44</v>
      </c>
      <c r="V850">
        <v>5</v>
      </c>
      <c r="W850">
        <v>3.56</v>
      </c>
      <c r="X850">
        <v>3825000000</v>
      </c>
    </row>
    <row r="851" spans="1:24" x14ac:dyDescent="0.25">
      <c r="A851" t="s">
        <v>870</v>
      </c>
      <c r="B851">
        <v>850</v>
      </c>
      <c r="C851">
        <v>3.42</v>
      </c>
      <c r="D851">
        <v>2.4</v>
      </c>
      <c r="E851">
        <v>2173833</v>
      </c>
      <c r="F851">
        <v>7418506.2000000002</v>
      </c>
      <c r="G851">
        <v>2192218290</v>
      </c>
      <c r="H851">
        <v>24.11</v>
      </c>
      <c r="I851">
        <v>1.62</v>
      </c>
      <c r="J851">
        <v>0.94236799999999998</v>
      </c>
      <c r="K851">
        <v>0.14000000000000001</v>
      </c>
      <c r="L851">
        <v>0.08</v>
      </c>
      <c r="M851">
        <v>2.8875380000000002</v>
      </c>
      <c r="N851">
        <v>6.8330830000000002</v>
      </c>
      <c r="O851">
        <v>1.1754610000000001</v>
      </c>
      <c r="P851">
        <v>4.09</v>
      </c>
      <c r="Q851" t="s">
        <v>22</v>
      </c>
      <c r="R851" t="s">
        <v>22</v>
      </c>
      <c r="S851">
        <v>1063</v>
      </c>
      <c r="T851">
        <v>1125</v>
      </c>
      <c r="U851">
        <v>-1.28</v>
      </c>
      <c r="V851">
        <v>5</v>
      </c>
      <c r="W851">
        <v>2.12</v>
      </c>
      <c r="X851">
        <v>640999500</v>
      </c>
    </row>
    <row r="852" spans="1:24" x14ac:dyDescent="0.25">
      <c r="A852" t="s">
        <v>871</v>
      </c>
      <c r="B852">
        <v>851</v>
      </c>
      <c r="C852">
        <v>1.3</v>
      </c>
      <c r="D852">
        <v>0.78</v>
      </c>
      <c r="E852">
        <v>5461101</v>
      </c>
      <c r="F852">
        <v>7214952.3399999999</v>
      </c>
      <c r="G852">
        <v>1088988509.7</v>
      </c>
      <c r="H852">
        <v>10.71</v>
      </c>
      <c r="I852">
        <v>0.5</v>
      </c>
      <c r="J852">
        <v>0.29025699999999999</v>
      </c>
      <c r="K852">
        <v>5.5E-2</v>
      </c>
      <c r="L852">
        <v>0.09</v>
      </c>
      <c r="M852">
        <v>5.0307060000000003</v>
      </c>
      <c r="N852">
        <v>4.7490810000000003</v>
      </c>
      <c r="O852">
        <v>8.5066710000000008</v>
      </c>
      <c r="P852">
        <v>4.2300000000000004</v>
      </c>
      <c r="Q852" t="s">
        <v>22</v>
      </c>
      <c r="R852" t="s">
        <v>22</v>
      </c>
      <c r="S852">
        <v>847</v>
      </c>
      <c r="T852">
        <v>768</v>
      </c>
      <c r="U852">
        <v>6.19</v>
      </c>
      <c r="V852">
        <v>3</v>
      </c>
      <c r="W852">
        <v>2.59</v>
      </c>
      <c r="X852">
        <v>837683469</v>
      </c>
    </row>
    <row r="853" spans="1:24" x14ac:dyDescent="0.25">
      <c r="A853" t="s">
        <v>872</v>
      </c>
      <c r="B853">
        <v>852</v>
      </c>
      <c r="C853">
        <v>0.3</v>
      </c>
      <c r="D853">
        <v>0</v>
      </c>
      <c r="E853">
        <v>9800</v>
      </c>
      <c r="F853">
        <v>2874</v>
      </c>
      <c r="G853">
        <v>168343206</v>
      </c>
      <c r="H853">
        <v>168343206</v>
      </c>
      <c r="I853">
        <v>0.45</v>
      </c>
      <c r="J853">
        <v>0.83208899999999997</v>
      </c>
      <c r="L853">
        <v>0.40426625409962008</v>
      </c>
      <c r="M853">
        <v>0.40426600000000001</v>
      </c>
      <c r="N853">
        <v>-3.4172690000000001</v>
      </c>
      <c r="O853">
        <v>-0.95559899999999998</v>
      </c>
      <c r="P853">
        <v>0.45</v>
      </c>
      <c r="Q853" t="s">
        <v>22</v>
      </c>
      <c r="R853" t="s">
        <v>22</v>
      </c>
      <c r="V853">
        <v>4</v>
      </c>
      <c r="W853">
        <v>0.67</v>
      </c>
      <c r="X853">
        <v>561144020</v>
      </c>
    </row>
    <row r="854" spans="1:24" x14ac:dyDescent="0.25">
      <c r="A854" t="s">
        <v>873</v>
      </c>
      <c r="B854">
        <v>853</v>
      </c>
      <c r="C854">
        <v>0.76</v>
      </c>
      <c r="D854">
        <v>-1.3</v>
      </c>
      <c r="E854">
        <v>191901</v>
      </c>
      <c r="F854">
        <v>146399.78</v>
      </c>
      <c r="G854">
        <v>674880000</v>
      </c>
      <c r="H854">
        <v>16.28</v>
      </c>
      <c r="I854">
        <v>0.74</v>
      </c>
      <c r="J854">
        <v>0.18560499999999999</v>
      </c>
      <c r="K854">
        <v>0.03</v>
      </c>
      <c r="L854">
        <v>0.04</v>
      </c>
      <c r="M854">
        <v>4.9261059999999999</v>
      </c>
      <c r="N854">
        <v>4.5635500000000002</v>
      </c>
      <c r="O854">
        <v>8.6173940000000009</v>
      </c>
      <c r="P854">
        <v>3.95</v>
      </c>
      <c r="Q854" t="s">
        <v>22</v>
      </c>
      <c r="R854" t="s">
        <v>22</v>
      </c>
      <c r="S854">
        <v>989</v>
      </c>
      <c r="T854">
        <v>902</v>
      </c>
      <c r="U854">
        <v>0.28000000000000003</v>
      </c>
      <c r="W854">
        <v>1.03</v>
      </c>
      <c r="X854">
        <v>888000000</v>
      </c>
    </row>
    <row r="855" spans="1:24" x14ac:dyDescent="0.25">
      <c r="A855" t="s">
        <v>874</v>
      </c>
      <c r="B855">
        <v>854</v>
      </c>
      <c r="C855">
        <v>1.24</v>
      </c>
      <c r="D855">
        <v>-3.88</v>
      </c>
      <c r="E855">
        <v>1387483</v>
      </c>
      <c r="F855">
        <v>1794409.7</v>
      </c>
      <c r="G855">
        <v>496000000</v>
      </c>
      <c r="H855">
        <v>29.54</v>
      </c>
      <c r="I855">
        <v>0.78</v>
      </c>
      <c r="J855">
        <v>0.78146599999999999</v>
      </c>
      <c r="K855">
        <v>1.2500000000000001E-2</v>
      </c>
      <c r="L855">
        <v>0.02</v>
      </c>
      <c r="M855">
        <v>3.2726060000000001</v>
      </c>
      <c r="N855">
        <v>2.6439699999999999</v>
      </c>
      <c r="O855">
        <v>2.52318</v>
      </c>
      <c r="P855">
        <v>1.01</v>
      </c>
      <c r="Q855" t="s">
        <v>22</v>
      </c>
      <c r="R855" t="s">
        <v>22</v>
      </c>
      <c r="S855">
        <v>1162</v>
      </c>
      <c r="T855">
        <v>1106</v>
      </c>
      <c r="U855">
        <v>-0.77</v>
      </c>
      <c r="V855">
        <v>5</v>
      </c>
      <c r="W855">
        <v>1.6</v>
      </c>
      <c r="X855">
        <v>400000000</v>
      </c>
    </row>
    <row r="856" spans="1:24" x14ac:dyDescent="0.25">
      <c r="A856" t="s">
        <v>875</v>
      </c>
      <c r="B856">
        <v>855</v>
      </c>
      <c r="C856">
        <v>2.2200000000000002</v>
      </c>
      <c r="D856">
        <v>-3.48</v>
      </c>
      <c r="E856">
        <v>451530</v>
      </c>
      <c r="F856">
        <v>1003223.82</v>
      </c>
      <c r="G856">
        <v>1331943749.6400001</v>
      </c>
      <c r="H856">
        <v>9.42</v>
      </c>
      <c r="I856">
        <v>1.86</v>
      </c>
      <c r="J856">
        <v>0.81535899999999994</v>
      </c>
      <c r="K856">
        <v>0.09</v>
      </c>
      <c r="L856">
        <v>0.11</v>
      </c>
      <c r="M856">
        <v>14.035897</v>
      </c>
      <c r="N856">
        <v>20.988568999999998</v>
      </c>
      <c r="O856">
        <v>6.3304140000000002</v>
      </c>
      <c r="P856">
        <v>8.11</v>
      </c>
      <c r="Q856" t="s">
        <v>22</v>
      </c>
      <c r="R856" t="s">
        <v>22</v>
      </c>
      <c r="S856">
        <v>341</v>
      </c>
      <c r="T856">
        <v>339</v>
      </c>
      <c r="U856">
        <v>0.04</v>
      </c>
      <c r="V856">
        <v>5</v>
      </c>
      <c r="W856">
        <v>1.2</v>
      </c>
      <c r="X856">
        <v>599974662</v>
      </c>
    </row>
    <row r="857" spans="1:24" x14ac:dyDescent="0.25">
      <c r="A857" t="s">
        <v>876</v>
      </c>
      <c r="B857">
        <v>856</v>
      </c>
      <c r="C857">
        <v>3.42</v>
      </c>
      <c r="D857">
        <v>0</v>
      </c>
      <c r="E857">
        <v>9214</v>
      </c>
      <c r="F857">
        <v>31557.64</v>
      </c>
      <c r="G857">
        <v>1510136858.7</v>
      </c>
      <c r="H857">
        <v>1510136858.7</v>
      </c>
      <c r="I857">
        <v>0.37</v>
      </c>
      <c r="J857">
        <v>0.16076499999999999</v>
      </c>
      <c r="K857">
        <v>0.09</v>
      </c>
      <c r="L857">
        <v>-0.12</v>
      </c>
      <c r="M857">
        <v>-1.158787</v>
      </c>
      <c r="N857">
        <v>-1.686032</v>
      </c>
      <c r="O857">
        <v>-5.4515820000000001</v>
      </c>
      <c r="P857">
        <v>0.37</v>
      </c>
      <c r="Q857" t="s">
        <v>22</v>
      </c>
      <c r="R857" t="s">
        <v>22</v>
      </c>
      <c r="V857">
        <v>3</v>
      </c>
      <c r="W857">
        <v>9.3000000000000007</v>
      </c>
      <c r="X857">
        <v>441560485</v>
      </c>
    </row>
    <row r="858" spans="1:24" x14ac:dyDescent="0.25">
      <c r="A858" t="s">
        <v>877</v>
      </c>
      <c r="B858">
        <v>857</v>
      </c>
      <c r="C858">
        <v>3.76</v>
      </c>
      <c r="D858">
        <v>0</v>
      </c>
      <c r="E858">
        <v>90304</v>
      </c>
      <c r="F858">
        <v>338623.26</v>
      </c>
      <c r="G858">
        <v>1919498048</v>
      </c>
      <c r="H858">
        <v>11.17</v>
      </c>
      <c r="I858">
        <v>1.54</v>
      </c>
      <c r="J858">
        <v>4.5354039999999998</v>
      </c>
      <c r="K858">
        <v>0.3</v>
      </c>
      <c r="L858">
        <v>0.17</v>
      </c>
      <c r="M858">
        <v>3.5635789999999998</v>
      </c>
      <c r="N858">
        <v>13.805936000000001</v>
      </c>
      <c r="O858">
        <v>1.0154339999999999</v>
      </c>
      <c r="P858">
        <v>8.14</v>
      </c>
      <c r="Q858" t="s">
        <v>22</v>
      </c>
      <c r="R858" t="s">
        <v>22</v>
      </c>
      <c r="S858">
        <v>557</v>
      </c>
      <c r="T858">
        <v>880</v>
      </c>
      <c r="U858">
        <v>1.01</v>
      </c>
      <c r="V858">
        <v>5</v>
      </c>
      <c r="W858">
        <v>2.44</v>
      </c>
      <c r="X858">
        <v>510504800</v>
      </c>
    </row>
    <row r="859" spans="1:24" x14ac:dyDescent="0.25">
      <c r="A859" t="s">
        <v>878</v>
      </c>
      <c r="B859">
        <v>858</v>
      </c>
      <c r="C859">
        <v>6.05</v>
      </c>
      <c r="D859">
        <v>0</v>
      </c>
      <c r="E859">
        <v>1285503</v>
      </c>
      <c r="F859">
        <v>7780874.5</v>
      </c>
      <c r="G859">
        <v>4320456643.25</v>
      </c>
      <c r="H859">
        <v>12.6</v>
      </c>
      <c r="I859">
        <v>2.08</v>
      </c>
      <c r="J859">
        <v>0.79409200000000002</v>
      </c>
      <c r="K859">
        <v>7.2999999999999995E-2</v>
      </c>
      <c r="L859">
        <v>0.28999999999999998</v>
      </c>
      <c r="M859">
        <v>12.123336</v>
      </c>
      <c r="N859">
        <v>17.731504999999999</v>
      </c>
      <c r="O859">
        <v>15.80517</v>
      </c>
      <c r="P859">
        <v>1.18</v>
      </c>
      <c r="Q859" t="s">
        <v>22</v>
      </c>
      <c r="R859" t="s">
        <v>22</v>
      </c>
      <c r="S859">
        <v>450</v>
      </c>
      <c r="T859">
        <v>448</v>
      </c>
      <c r="U859">
        <v>0.31</v>
      </c>
      <c r="V859">
        <v>5</v>
      </c>
      <c r="W859">
        <v>2.91</v>
      </c>
      <c r="X859">
        <v>714125065</v>
      </c>
    </row>
    <row r="860" spans="1:24" x14ac:dyDescent="0.25">
      <c r="A860" t="s">
        <v>879</v>
      </c>
      <c r="B860">
        <v>859</v>
      </c>
      <c r="C860">
        <v>2025</v>
      </c>
      <c r="D860">
        <v>-86.956521739130437</v>
      </c>
      <c r="E860">
        <v>673693503</v>
      </c>
      <c r="F860">
        <v>51686.047859999999</v>
      </c>
      <c r="G860">
        <v>73</v>
      </c>
      <c r="H860">
        <v>0</v>
      </c>
      <c r="I860">
        <v>0</v>
      </c>
      <c r="J860">
        <v>0</v>
      </c>
      <c r="K860">
        <v>0.15520100000000001</v>
      </c>
      <c r="L860">
        <v>-1.98</v>
      </c>
      <c r="M860">
        <v>-77.943719000000002</v>
      </c>
      <c r="N860">
        <v>-242.00071769648588</v>
      </c>
      <c r="O860">
        <v>-242.00071800000001</v>
      </c>
      <c r="P860">
        <v>0</v>
      </c>
      <c r="Q860" t="s">
        <v>22</v>
      </c>
      <c r="R860" t="s">
        <v>22</v>
      </c>
      <c r="W860">
        <v>-1.34</v>
      </c>
      <c r="X860">
        <v>2431768238</v>
      </c>
    </row>
    <row r="861" spans="1:24" x14ac:dyDescent="0.25">
      <c r="A861" t="s">
        <v>880</v>
      </c>
      <c r="B861">
        <v>860</v>
      </c>
      <c r="C861">
        <v>7.0000000000000007E-2</v>
      </c>
      <c r="D861">
        <v>0</v>
      </c>
      <c r="E861">
        <v>120105</v>
      </c>
      <c r="F861">
        <v>8377.2999999999993</v>
      </c>
      <c r="G861">
        <v>851464402.80999994</v>
      </c>
      <c r="H861">
        <v>973102174.63999999</v>
      </c>
      <c r="I861">
        <v>2.89</v>
      </c>
      <c r="J861">
        <v>0.79015500000000005</v>
      </c>
      <c r="K861">
        <v>-0.04</v>
      </c>
      <c r="L861">
        <v>-0.04</v>
      </c>
      <c r="M861">
        <v>-87.859247999999994</v>
      </c>
      <c r="N861">
        <v>-194.84361200000001</v>
      </c>
      <c r="O861">
        <v>-217.966725</v>
      </c>
      <c r="P861">
        <v>3.3</v>
      </c>
      <c r="Q861" t="s">
        <v>22</v>
      </c>
      <c r="R861" t="s">
        <v>22</v>
      </c>
      <c r="W861">
        <v>0.02</v>
      </c>
      <c r="X861">
        <v>12163777183</v>
      </c>
    </row>
    <row r="862" spans="1:24" x14ac:dyDescent="0.25">
      <c r="A862" t="s">
        <v>881</v>
      </c>
      <c r="B862">
        <v>861</v>
      </c>
      <c r="C862">
        <v>20.100000000000001</v>
      </c>
      <c r="D862">
        <v>-1.47</v>
      </c>
      <c r="E862">
        <v>341109</v>
      </c>
      <c r="F862">
        <v>6922065.9000000004</v>
      </c>
      <c r="G862">
        <v>8608113977.7000008</v>
      </c>
      <c r="H862">
        <v>18.64</v>
      </c>
      <c r="I862">
        <v>4.43</v>
      </c>
      <c r="J862">
        <v>0.18917500000000001</v>
      </c>
      <c r="K862">
        <v>0.378</v>
      </c>
      <c r="L862">
        <v>0.56000000000000005</v>
      </c>
      <c r="M862">
        <v>22.836960999999999</v>
      </c>
      <c r="N862">
        <v>24.837537000000001</v>
      </c>
      <c r="O862">
        <v>21.544948000000002</v>
      </c>
      <c r="P862">
        <v>3.42</v>
      </c>
      <c r="Q862" t="s">
        <v>22</v>
      </c>
      <c r="R862" t="s">
        <v>22</v>
      </c>
      <c r="S862">
        <v>559</v>
      </c>
      <c r="T862">
        <v>526</v>
      </c>
      <c r="U862">
        <v>1</v>
      </c>
      <c r="V862">
        <v>4</v>
      </c>
      <c r="W862">
        <v>4.54</v>
      </c>
      <c r="X862">
        <v>428264377</v>
      </c>
    </row>
    <row r="863" spans="1:24" x14ac:dyDescent="0.25">
      <c r="A863" t="s">
        <v>882</v>
      </c>
      <c r="B863">
        <v>862</v>
      </c>
      <c r="C863">
        <v>0.55000000000000004</v>
      </c>
      <c r="D863">
        <v>1.85</v>
      </c>
      <c r="E863">
        <v>87910661</v>
      </c>
      <c r="F863">
        <v>48228861.350000001</v>
      </c>
      <c r="G863">
        <v>5885105105.5500002</v>
      </c>
      <c r="H863">
        <v>29.29</v>
      </c>
      <c r="I863">
        <v>0.49</v>
      </c>
      <c r="J863">
        <v>3.2738000000000003E-2</v>
      </c>
      <c r="K863">
        <v>0.01</v>
      </c>
      <c r="L863">
        <v>0.01</v>
      </c>
      <c r="M863">
        <v>2.1202230000000002</v>
      </c>
      <c r="N863">
        <v>1.6819120000000001</v>
      </c>
      <c r="O863">
        <v>24.376374999999999</v>
      </c>
      <c r="P863">
        <v>1.82</v>
      </c>
      <c r="Q863" t="s">
        <v>22</v>
      </c>
      <c r="R863" t="s">
        <v>22</v>
      </c>
      <c r="S863">
        <v>1255</v>
      </c>
      <c r="T863">
        <v>1275</v>
      </c>
      <c r="U863">
        <v>-0.31</v>
      </c>
      <c r="V863">
        <v>4</v>
      </c>
      <c r="W863">
        <v>1.1200000000000001</v>
      </c>
      <c r="X863">
        <v>10700191101</v>
      </c>
    </row>
    <row r="864" spans="1:24" x14ac:dyDescent="0.25">
      <c r="A864" t="s">
        <v>883</v>
      </c>
      <c r="B864">
        <v>863</v>
      </c>
      <c r="C864">
        <v>0.27</v>
      </c>
      <c r="D864">
        <v>0</v>
      </c>
      <c r="E864">
        <v>500</v>
      </c>
      <c r="F864">
        <v>135</v>
      </c>
      <c r="G864">
        <v>471619687.41000003</v>
      </c>
      <c r="H864">
        <v>471619687.41000003</v>
      </c>
      <c r="I864">
        <v>1.1200000000000001</v>
      </c>
      <c r="J864">
        <v>1.081682</v>
      </c>
      <c r="K864">
        <v>0.18129999999999999</v>
      </c>
      <c r="L864">
        <v>-7.0000000000000007E-2</v>
      </c>
      <c r="M864">
        <v>-7.2017980000000001</v>
      </c>
      <c r="N864">
        <v>-62.034061000000001</v>
      </c>
      <c r="O864">
        <v>-6.5157290000000003</v>
      </c>
      <c r="P864">
        <v>1.1200000000000001</v>
      </c>
      <c r="Q864" t="s">
        <v>22</v>
      </c>
      <c r="R864" t="s">
        <v>22</v>
      </c>
      <c r="V864">
        <v>4</v>
      </c>
      <c r="W864">
        <v>0.24</v>
      </c>
      <c r="X864">
        <v>1746739583</v>
      </c>
    </row>
    <row r="865" spans="1:24" x14ac:dyDescent="0.25">
      <c r="A865" t="s">
        <v>884</v>
      </c>
      <c r="B865">
        <v>864</v>
      </c>
      <c r="C865">
        <v>0.18</v>
      </c>
      <c r="D865">
        <v>0</v>
      </c>
      <c r="E865">
        <v>185700</v>
      </c>
      <c r="F865">
        <v>32850</v>
      </c>
      <c r="G865">
        <v>108359493.66</v>
      </c>
      <c r="H865">
        <v>102339521.79000001</v>
      </c>
      <c r="I865">
        <v>2.68</v>
      </c>
      <c r="J865">
        <v>0.93104600000000004</v>
      </c>
      <c r="K865">
        <v>6.7000000000000004E-2</v>
      </c>
      <c r="L865">
        <v>-0.02</v>
      </c>
      <c r="M865">
        <v>-24.627054999999999</v>
      </c>
      <c r="N865">
        <v>-51.270474</v>
      </c>
      <c r="O865">
        <v>-231.96857499999999</v>
      </c>
      <c r="P865">
        <v>2.5299999999999998</v>
      </c>
      <c r="Q865" t="s">
        <v>22</v>
      </c>
      <c r="R865" t="s">
        <v>22</v>
      </c>
      <c r="W865">
        <v>7.0000000000000007E-2</v>
      </c>
      <c r="X865">
        <v>601997187</v>
      </c>
    </row>
    <row r="866" spans="1:24" x14ac:dyDescent="0.25">
      <c r="A866" t="s">
        <v>885</v>
      </c>
      <c r="B866">
        <v>865</v>
      </c>
      <c r="C866">
        <v>0.71</v>
      </c>
      <c r="D866">
        <v>-1.39</v>
      </c>
      <c r="E866">
        <v>297401</v>
      </c>
      <c r="F866">
        <v>211154.71</v>
      </c>
      <c r="G866">
        <v>482800000</v>
      </c>
      <c r="H866">
        <v>23.75</v>
      </c>
      <c r="I866">
        <v>0.56000000000000005</v>
      </c>
      <c r="J866">
        <v>0.58110399999999995</v>
      </c>
      <c r="K866">
        <v>0.03</v>
      </c>
      <c r="L866">
        <v>0.01</v>
      </c>
      <c r="M866">
        <v>2.7166939999999999</v>
      </c>
      <c r="N866">
        <v>2.3384019999999999</v>
      </c>
      <c r="O866">
        <v>1.2824469999999999</v>
      </c>
      <c r="P866">
        <v>4.2300000000000004</v>
      </c>
      <c r="Q866" t="s">
        <v>22</v>
      </c>
      <c r="R866" t="s">
        <v>22</v>
      </c>
      <c r="S866">
        <v>1187</v>
      </c>
      <c r="T866">
        <v>1159</v>
      </c>
      <c r="U866">
        <v>-2.04</v>
      </c>
      <c r="W866">
        <v>1.28</v>
      </c>
      <c r="X866">
        <v>680000000</v>
      </c>
    </row>
    <row r="867" spans="1:24" x14ac:dyDescent="0.25">
      <c r="A867" t="s">
        <v>886</v>
      </c>
      <c r="B867">
        <v>866</v>
      </c>
      <c r="C867">
        <v>14.7</v>
      </c>
      <c r="D867">
        <v>0.68</v>
      </c>
      <c r="E867">
        <v>2109</v>
      </c>
      <c r="F867">
        <v>30921.4</v>
      </c>
      <c r="G867">
        <v>1582087500</v>
      </c>
      <c r="H867">
        <v>6.31</v>
      </c>
      <c r="I867">
        <v>1.1000000000000001</v>
      </c>
      <c r="J867">
        <v>0.43017699999999998</v>
      </c>
      <c r="K867">
        <v>0.90229999999999999</v>
      </c>
      <c r="L867">
        <v>1.39</v>
      </c>
      <c r="M867">
        <v>15.911607</v>
      </c>
      <c r="N867">
        <v>18.293572999999999</v>
      </c>
      <c r="O867">
        <v>10.011362</v>
      </c>
      <c r="P867">
        <v>6.14</v>
      </c>
      <c r="Q867" t="s">
        <v>22</v>
      </c>
      <c r="R867" t="s">
        <v>22</v>
      </c>
      <c r="S867">
        <v>187</v>
      </c>
      <c r="T867">
        <v>155</v>
      </c>
      <c r="U867">
        <v>0.24</v>
      </c>
      <c r="V867">
        <v>3</v>
      </c>
      <c r="W867">
        <v>13.4</v>
      </c>
      <c r="X867">
        <v>107625000</v>
      </c>
    </row>
    <row r="868" spans="1:24" x14ac:dyDescent="0.25">
      <c r="A868" t="s">
        <v>887</v>
      </c>
      <c r="B868">
        <v>867</v>
      </c>
      <c r="C868">
        <v>1.64</v>
      </c>
      <c r="D868">
        <v>0</v>
      </c>
      <c r="E868">
        <v>900</v>
      </c>
      <c r="F868">
        <v>1456</v>
      </c>
      <c r="G868">
        <v>1066097724.3200001</v>
      </c>
      <c r="H868">
        <v>1059597128.4400001</v>
      </c>
      <c r="I868">
        <v>4.88</v>
      </c>
      <c r="J868">
        <v>0.156418</v>
      </c>
      <c r="K868">
        <v>-0.03</v>
      </c>
      <c r="L868">
        <v>-0.03</v>
      </c>
      <c r="M868">
        <v>-15.863185</v>
      </c>
      <c r="N868">
        <v>-20.281949000000001</v>
      </c>
      <c r="O868">
        <v>-15.996852000000001</v>
      </c>
      <c r="P868">
        <v>4.8499999999999996</v>
      </c>
      <c r="Q868" t="s">
        <v>22</v>
      </c>
      <c r="R868" t="s">
        <v>22</v>
      </c>
      <c r="V868">
        <v>3</v>
      </c>
      <c r="W868">
        <v>0.34</v>
      </c>
      <c r="X868">
        <v>650059588</v>
      </c>
    </row>
    <row r="869" spans="1:24" x14ac:dyDescent="0.25">
      <c r="A869" t="s">
        <v>888</v>
      </c>
      <c r="B869">
        <v>868</v>
      </c>
      <c r="C869">
        <v>5.45</v>
      </c>
      <c r="D869">
        <v>-0.91</v>
      </c>
      <c r="E869">
        <v>301</v>
      </c>
      <c r="F869">
        <v>1640.55</v>
      </c>
      <c r="G869">
        <v>1635000000</v>
      </c>
      <c r="H869">
        <v>34.590000000000003</v>
      </c>
      <c r="I869">
        <v>1.21</v>
      </c>
      <c r="J869">
        <v>1.017679</v>
      </c>
      <c r="K869">
        <v>0.1</v>
      </c>
      <c r="L869">
        <v>0.08</v>
      </c>
      <c r="M869">
        <v>4.9332240000000001</v>
      </c>
      <c r="N869">
        <v>3.524143</v>
      </c>
      <c r="O869">
        <v>2.037331</v>
      </c>
      <c r="P869">
        <v>1.83</v>
      </c>
      <c r="Q869" t="s">
        <v>22</v>
      </c>
      <c r="R869" t="s">
        <v>22</v>
      </c>
      <c r="S869">
        <v>1194</v>
      </c>
      <c r="T869">
        <v>1079</v>
      </c>
      <c r="U869">
        <v>-0.4</v>
      </c>
      <c r="V869">
        <v>5</v>
      </c>
      <c r="W869">
        <v>4.49</v>
      </c>
      <c r="X869">
        <v>300000000</v>
      </c>
    </row>
    <row r="870" spans="1:24" x14ac:dyDescent="0.25">
      <c r="A870" t="s">
        <v>889</v>
      </c>
      <c r="B870">
        <v>869</v>
      </c>
      <c r="C870">
        <v>1.29</v>
      </c>
      <c r="D870">
        <v>9.32</v>
      </c>
      <c r="E870">
        <v>32585529</v>
      </c>
      <c r="F870">
        <v>40757282.200000003</v>
      </c>
      <c r="G870">
        <v>951153699.21000004</v>
      </c>
      <c r="H870">
        <v>45.42</v>
      </c>
      <c r="I870">
        <v>1.1299999999999999</v>
      </c>
      <c r="J870">
        <v>0.35158499999999998</v>
      </c>
      <c r="K870">
        <v>0.13</v>
      </c>
      <c r="L870">
        <v>0.03</v>
      </c>
      <c r="M870">
        <v>3.3315049999999999</v>
      </c>
      <c r="N870">
        <v>2.5097870000000002</v>
      </c>
      <c r="O870">
        <v>6.184183</v>
      </c>
      <c r="P870">
        <v>0.82</v>
      </c>
      <c r="Q870" t="s">
        <v>22</v>
      </c>
      <c r="R870" t="s">
        <v>22</v>
      </c>
      <c r="S870">
        <v>1289</v>
      </c>
      <c r="T870">
        <v>1252</v>
      </c>
      <c r="U870">
        <v>-0.43</v>
      </c>
      <c r="V870">
        <v>4</v>
      </c>
      <c r="W870">
        <v>1.1499999999999999</v>
      </c>
      <c r="X870">
        <v>737328449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3559B2-AA1C-4FE5-864B-CC212A38BA90}">
  <sheetPr codeName="Sheet1"/>
  <dimension ref="A1:Z869"/>
  <sheetViews>
    <sheetView tabSelected="1" workbookViewId="0">
      <pane ySplit="2" topLeftCell="A29" activePane="bottomLeft" state="frozen"/>
      <selection pane="bottomLeft" activeCell="D47" sqref="D47"/>
    </sheetView>
  </sheetViews>
  <sheetFormatPr defaultRowHeight="15" x14ac:dyDescent="0.25"/>
  <cols>
    <col min="25" max="25" width="19" bestFit="1" customWidth="1"/>
  </cols>
  <sheetData>
    <row r="1" spans="1:26" ht="15.75" thickBot="1" x14ac:dyDescent="0.3">
      <c r="A1">
        <v>51438</v>
      </c>
      <c r="B1" s="9" t="s">
        <v>890</v>
      </c>
      <c r="C1" s="9"/>
      <c r="D1">
        <v>4</v>
      </c>
      <c r="E1">
        <f t="shared" ref="E1:V1" si="0">D1+1</f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v>23</v>
      </c>
      <c r="X1">
        <v>24</v>
      </c>
      <c r="Y1">
        <v>25</v>
      </c>
    </row>
    <row r="2" spans="1:26" ht="18" thickTop="1" thickBot="1" x14ac:dyDescent="0.35">
      <c r="A2" s="7" t="s">
        <v>896</v>
      </c>
      <c r="B2" s="1" t="s">
        <v>891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H2" s="1" t="s">
        <v>6</v>
      </c>
      <c r="I2" s="1" t="s">
        <v>7</v>
      </c>
      <c r="J2" s="1" t="s">
        <v>8</v>
      </c>
      <c r="K2" s="1" t="s">
        <v>9</v>
      </c>
      <c r="L2" s="1" t="s">
        <v>10</v>
      </c>
      <c r="M2" s="1" t="s">
        <v>11</v>
      </c>
      <c r="N2" s="1" t="s">
        <v>12</v>
      </c>
      <c r="O2" s="1" t="s">
        <v>13</v>
      </c>
      <c r="P2" s="1" t="s">
        <v>14</v>
      </c>
      <c r="Q2" s="1" t="s">
        <v>15</v>
      </c>
      <c r="R2" s="1" t="s">
        <v>16</v>
      </c>
      <c r="S2" s="1" t="s">
        <v>17</v>
      </c>
      <c r="T2" s="1" t="s">
        <v>18</v>
      </c>
      <c r="U2" s="1" t="s">
        <v>19</v>
      </c>
      <c r="V2" s="1" t="s">
        <v>20</v>
      </c>
      <c r="W2" s="2" t="s">
        <v>21</v>
      </c>
      <c r="X2" s="3" t="s">
        <v>892</v>
      </c>
      <c r="Y2" s="4" t="s">
        <v>893</v>
      </c>
    </row>
    <row r="3" spans="1:26" ht="15.75" hidden="1" thickTop="1" x14ac:dyDescent="0.25">
      <c r="B3" t="str">
        <f>Siam_Chart[[#This Row],[Name]]</f>
        <v>88TH</v>
      </c>
      <c r="C3">
        <f>Siam_Chart[[#This Row],[No.]]</f>
        <v>2</v>
      </c>
      <c r="D3">
        <f>Siam_Chart[[#This Row],[Last]]</f>
        <v>3.7</v>
      </c>
      <c r="E3">
        <f>Siam_Chart[[#This Row],[Chg%]]</f>
        <v>0</v>
      </c>
      <c r="F3">
        <f>Siam_Chart[[#This Row],[Volume]]</f>
        <v>208332</v>
      </c>
      <c r="G3">
        <f>Siam_Chart[[#This Row],[Value (k)]]</f>
        <v>764450.5</v>
      </c>
      <c r="H3" cm="1">
        <f t="array" ref="H3:W3">Siam_Chart[[#This Row],[MCap (M)]:[CG]]</f>
        <v>786250000</v>
      </c>
      <c r="I3">
        <v>9.18</v>
      </c>
      <c r="J3">
        <v>1.63</v>
      </c>
      <c r="K3">
        <v>0.16503699999999999</v>
      </c>
      <c r="L3">
        <v>0.185</v>
      </c>
      <c r="M3">
        <v>0.17</v>
      </c>
      <c r="N3">
        <v>24.886887999999999</v>
      </c>
      <c r="O3">
        <v>24.717697000000001</v>
      </c>
      <c r="P3">
        <v>11.065108</v>
      </c>
      <c r="Q3">
        <v>5</v>
      </c>
      <c r="R3" t="str">
        <v/>
      </c>
      <c r="S3" t="str">
        <v/>
      </c>
      <c r="T3">
        <v>277</v>
      </c>
      <c r="U3">
        <v>239</v>
      </c>
      <c r="V3">
        <v>0.12</v>
      </c>
      <c r="W3">
        <v>0</v>
      </c>
      <c r="X3" s="5">
        <f>IFERROR(D3/J3,0)</f>
        <v>2.2699386503067487</v>
      </c>
      <c r="Y3" s="6">
        <f>IFERROR(H3/D3,0)</f>
        <v>212500000</v>
      </c>
      <c r="Z3" t="s">
        <v>890</v>
      </c>
    </row>
    <row r="4" spans="1:26" hidden="1" x14ac:dyDescent="0.25">
      <c r="B4" t="str">
        <f>Siam_Chart[[#This Row],[Name]]</f>
        <v>A</v>
      </c>
      <c r="C4">
        <f>Siam_Chart[[#This Row],[No.]]</f>
        <v>3</v>
      </c>
      <c r="D4">
        <f>Siam_Chart[[#This Row],[Last]]</f>
        <v>2.48</v>
      </c>
      <c r="E4">
        <f>Siam_Chart[[#This Row],[Chg%]]</f>
        <v>-3.13</v>
      </c>
      <c r="F4">
        <f>Siam_Chart[[#This Row],[Volume]]</f>
        <v>100</v>
      </c>
      <c r="G4">
        <f>Siam_Chart[[#This Row],[Value (k)]]</f>
        <v>248</v>
      </c>
      <c r="H4" cm="1">
        <f t="array" ref="H4:W4">Siam_Chart[[#This Row],[MCap (M)]:[CG]]</f>
        <v>2430400000</v>
      </c>
      <c r="I4">
        <v>2508800000</v>
      </c>
      <c r="J4">
        <v>4.84</v>
      </c>
      <c r="K4">
        <v>26.022794000000001</v>
      </c>
      <c r="L4">
        <v>0.03</v>
      </c>
      <c r="M4">
        <v>-0.73</v>
      </c>
      <c r="N4">
        <v>-4.7250069999999997</v>
      </c>
      <c r="O4">
        <v>-121.535421</v>
      </c>
      <c r="P4">
        <v>-264.28200199999998</v>
      </c>
      <c r="Q4">
        <v>4.99</v>
      </c>
      <c r="R4" t="str">
        <v/>
      </c>
      <c r="S4" t="str">
        <v/>
      </c>
      <c r="T4">
        <v>0</v>
      </c>
      <c r="U4">
        <v>0</v>
      </c>
      <c r="V4">
        <v>0</v>
      </c>
      <c r="W4">
        <v>0</v>
      </c>
      <c r="X4" s="5">
        <f t="shared" ref="X4:X67" si="1">IFERROR(D4/J4,0)</f>
        <v>0.51239669421487599</v>
      </c>
      <c r="Y4" s="6">
        <f t="shared" ref="Y4:Y67" si="2">IFERROR(H4/D4,0)</f>
        <v>980000000</v>
      </c>
    </row>
    <row r="5" spans="1:26" hidden="1" x14ac:dyDescent="0.25">
      <c r="B5" t="str">
        <f>Siam_Chart[[#This Row],[Name]]</f>
        <v>A5</v>
      </c>
      <c r="C5">
        <f>Siam_Chart[[#This Row],[No.]]</f>
        <v>4</v>
      </c>
      <c r="D5">
        <f>Siam_Chart[[#This Row],[Last]]</f>
        <v>1.79</v>
      </c>
      <c r="E5">
        <f>Siam_Chart[[#This Row],[Chg%]]</f>
        <v>0</v>
      </c>
      <c r="F5">
        <f>Siam_Chart[[#This Row],[Volume]]</f>
        <v>11400</v>
      </c>
      <c r="G5">
        <f>Siam_Chart[[#This Row],[Value (k)]]</f>
        <v>20324</v>
      </c>
      <c r="H5" cm="1">
        <f t="array" ref="H5:W5">Siam_Chart[[#This Row],[MCap (M)]:[CG]]</f>
        <v>2164798928.04</v>
      </c>
      <c r="I5">
        <v>84.35</v>
      </c>
      <c r="J5">
        <v>1.28</v>
      </c>
      <c r="K5">
        <v>1.0944689999999999</v>
      </c>
      <c r="L5">
        <v>0.05</v>
      </c>
      <c r="M5">
        <v>0.02</v>
      </c>
      <c r="N5">
        <v>1.9496770000000001</v>
      </c>
      <c r="O5">
        <v>1.5024919999999999</v>
      </c>
      <c r="P5">
        <v>4.2510659999999998</v>
      </c>
      <c r="Q5">
        <v>2.79</v>
      </c>
      <c r="R5" t="str">
        <v/>
      </c>
      <c r="S5" t="str">
        <v/>
      </c>
      <c r="T5">
        <v>1198</v>
      </c>
      <c r="U5">
        <v>1192</v>
      </c>
      <c r="V5">
        <v>0.47</v>
      </c>
      <c r="W5">
        <v>4</v>
      </c>
      <c r="X5" s="5">
        <f t="shared" si="1"/>
        <v>1.3984375</v>
      </c>
      <c r="Y5" s="6">
        <f t="shared" si="2"/>
        <v>1209384876</v>
      </c>
    </row>
    <row r="6" spans="1:26" hidden="1" x14ac:dyDescent="0.25">
      <c r="B6" t="str">
        <f>Siam_Chart[[#This Row],[Name]]</f>
        <v>AAI</v>
      </c>
      <c r="C6">
        <f>Siam_Chart[[#This Row],[No.]]</f>
        <v>5</v>
      </c>
      <c r="D6">
        <f>Siam_Chart[[#This Row],[Last]]</f>
        <v>4.0199999999999996</v>
      </c>
      <c r="E6">
        <f>Siam_Chart[[#This Row],[Chg%]]</f>
        <v>1.52</v>
      </c>
      <c r="F6">
        <f>Siam_Chart[[#This Row],[Volume]]</f>
        <v>4304081</v>
      </c>
      <c r="G6">
        <f>Siam_Chart[[#This Row],[Value (k)]]</f>
        <v>17336834.719999999</v>
      </c>
      <c r="H6" cm="1">
        <f t="array" ref="H6:W6">Siam_Chart[[#This Row],[MCap (M)]:[CG]]</f>
        <v>8542500000</v>
      </c>
      <c r="I6">
        <v>14.12</v>
      </c>
      <c r="J6">
        <v>1.75</v>
      </c>
      <c r="K6">
        <v>0.17941699999999999</v>
      </c>
      <c r="L6">
        <v>0.1416</v>
      </c>
      <c r="M6">
        <v>0.15</v>
      </c>
      <c r="N6">
        <v>11.575144999999999</v>
      </c>
      <c r="O6">
        <v>12.240123000000001</v>
      </c>
      <c r="P6">
        <v>9.7450369999999999</v>
      </c>
      <c r="Q6">
        <v>8.34</v>
      </c>
      <c r="R6" t="str">
        <v/>
      </c>
      <c r="S6" t="str">
        <v/>
      </c>
      <c r="T6">
        <v>644</v>
      </c>
      <c r="U6">
        <v>569</v>
      </c>
      <c r="V6">
        <v>0.54</v>
      </c>
      <c r="W6">
        <v>5</v>
      </c>
      <c r="X6" s="5">
        <f t="shared" si="1"/>
        <v>2.2971428571428567</v>
      </c>
      <c r="Y6" s="6">
        <f t="shared" si="2"/>
        <v>2125000000.0000002</v>
      </c>
    </row>
    <row r="7" spans="1:26" hidden="1" x14ac:dyDescent="0.25">
      <c r="B7" t="str">
        <f>Siam_Chart[[#This Row],[Name]]</f>
        <v>AAV</v>
      </c>
      <c r="C7">
        <f>Siam_Chart[[#This Row],[No.]]</f>
        <v>6</v>
      </c>
      <c r="D7">
        <f>Siam_Chart[[#This Row],[Last]]</f>
        <v>1.04</v>
      </c>
      <c r="E7">
        <f>Siam_Chart[[#This Row],[Chg%]]</f>
        <v>0</v>
      </c>
      <c r="F7">
        <f>Siam_Chart[[#This Row],[Volume]]</f>
        <v>10500750</v>
      </c>
      <c r="G7">
        <f>Siam_Chart[[#This Row],[Value (k)]]</f>
        <v>10918041.279999999</v>
      </c>
      <c r="H7" cm="1">
        <f t="array" ref="H7:W7">Siam_Chart[[#This Row],[MCap (M)]:[CG]]</f>
        <v>13363999996.879999</v>
      </c>
      <c r="I7">
        <v>13492499996.85</v>
      </c>
      <c r="J7">
        <v>1.1100000000000001</v>
      </c>
      <c r="K7">
        <v>5.5347470000000003</v>
      </c>
      <c r="L7">
        <v>-0.12</v>
      </c>
      <c r="M7">
        <v>-0.12</v>
      </c>
      <c r="N7">
        <v>3.5895929999999998</v>
      </c>
      <c r="O7">
        <v>-5.9867460000000001</v>
      </c>
      <c r="P7">
        <v>-6.0504759999999997</v>
      </c>
      <c r="Q7">
        <v>1.1200000000000001</v>
      </c>
      <c r="R7" t="str">
        <v/>
      </c>
      <c r="S7" t="str">
        <v/>
      </c>
      <c r="T7">
        <v>306</v>
      </c>
      <c r="U7">
        <v>445</v>
      </c>
      <c r="V7">
        <v>0.06</v>
      </c>
      <c r="W7">
        <v>5</v>
      </c>
      <c r="X7" s="5">
        <f t="shared" si="1"/>
        <v>0.93693693693693691</v>
      </c>
      <c r="Y7" s="6">
        <f t="shared" si="2"/>
        <v>12849999996.999998</v>
      </c>
    </row>
    <row r="8" spans="1:26" hidden="1" x14ac:dyDescent="0.25">
      <c r="B8" t="str">
        <f>Siam_Chart[[#This Row],[Name]]</f>
        <v>ABM</v>
      </c>
      <c r="C8">
        <f>Siam_Chart[[#This Row],[No.]]</f>
        <v>7</v>
      </c>
      <c r="D8">
        <f>Siam_Chart[[#This Row],[Last]]</f>
        <v>0.88</v>
      </c>
      <c r="E8">
        <f>Siam_Chart[[#This Row],[Chg%]]</f>
        <v>-8.33</v>
      </c>
      <c r="F8">
        <f>Siam_Chart[[#This Row],[Volume]]</f>
        <v>2935657</v>
      </c>
      <c r="G8">
        <f>Siam_Chart[[#This Row],[Value (k)]]</f>
        <v>2646053.0299999998</v>
      </c>
      <c r="H8" cm="1">
        <f t="array" ref="H8:W8">Siam_Chart[[#This Row],[MCap (M)]:[CG]]</f>
        <v>609065991.60000002</v>
      </c>
      <c r="I8">
        <v>470641902.60000002</v>
      </c>
      <c r="J8">
        <v>0.82</v>
      </c>
      <c r="K8">
        <v>0.71881600000000001</v>
      </c>
      <c r="L8">
        <v>0</v>
      </c>
      <c r="M8">
        <v>-2.667134274301076</v>
      </c>
      <c r="N8">
        <v>-2.6671339999999999</v>
      </c>
      <c r="O8">
        <v>-9.1576869999999992</v>
      </c>
      <c r="P8">
        <v>-0.22853200000000001</v>
      </c>
      <c r="Q8">
        <v>0.63</v>
      </c>
      <c r="R8" t="str">
        <v/>
      </c>
      <c r="S8" t="str">
        <v/>
      </c>
      <c r="T8">
        <v>0</v>
      </c>
      <c r="U8">
        <v>0</v>
      </c>
      <c r="V8">
        <v>0</v>
      </c>
      <c r="W8">
        <v>4</v>
      </c>
      <c r="X8" s="5">
        <f t="shared" si="1"/>
        <v>1.0731707317073171</v>
      </c>
      <c r="Y8" s="6">
        <f t="shared" si="2"/>
        <v>692120445</v>
      </c>
    </row>
    <row r="9" spans="1:26" hidden="1" x14ac:dyDescent="0.25">
      <c r="B9" t="str">
        <f>Siam_Chart[[#This Row],[Name]]</f>
        <v>ACAP</v>
      </c>
      <c r="C9">
        <f>Siam_Chart[[#This Row],[No.]]</f>
        <v>8</v>
      </c>
      <c r="D9">
        <f>Siam_Chart[[#This Row],[Last]]</f>
        <v>2026</v>
      </c>
      <c r="E9">
        <f>Siam_Chart[[#This Row],[Chg%]]</f>
        <v>0</v>
      </c>
      <c r="F9">
        <f>Siam_Chart[[#This Row],[Volume]]</f>
        <v>0</v>
      </c>
      <c r="G9">
        <f>Siam_Chart[[#This Row],[Value (k)]]</f>
        <v>0</v>
      </c>
      <c r="H9" cm="1">
        <f t="array" ref="H9:W9">Siam_Chart[[#This Row],[MCap (M)]:[CG]]</f>
        <v>134</v>
      </c>
      <c r="I9">
        <v>0</v>
      </c>
      <c r="J9">
        <v>1.3269226132901817</v>
      </c>
      <c r="K9">
        <v>1.3269230000000001</v>
      </c>
      <c r="L9">
        <v>0.35</v>
      </c>
      <c r="M9">
        <v>0.35</v>
      </c>
      <c r="N9">
        <v>13.699806000000001</v>
      </c>
      <c r="O9">
        <v>31.319330999999998</v>
      </c>
      <c r="P9">
        <v>302.313738</v>
      </c>
      <c r="Q9">
        <v>0</v>
      </c>
      <c r="R9" t="str">
        <v/>
      </c>
      <c r="S9" t="str">
        <v/>
      </c>
      <c r="T9">
        <v>0</v>
      </c>
      <c r="U9">
        <v>0</v>
      </c>
      <c r="V9">
        <v>0</v>
      </c>
      <c r="W9">
        <v>0</v>
      </c>
      <c r="X9" s="5">
        <f t="shared" si="1"/>
        <v>1526.8411131953019</v>
      </c>
      <c r="Y9" s="6">
        <f t="shared" si="2"/>
        <v>6.6140177690029611E-2</v>
      </c>
    </row>
    <row r="10" spans="1:26" hidden="1" x14ac:dyDescent="0.25">
      <c r="B10" t="str">
        <f>Siam_Chart[[#This Row],[Name]]</f>
        <v>ACC</v>
      </c>
      <c r="C10">
        <f>Siam_Chart[[#This Row],[No.]]</f>
        <v>9</v>
      </c>
      <c r="D10">
        <f>Siam_Chart[[#This Row],[Last]]</f>
        <v>0.33</v>
      </c>
      <c r="E10">
        <f>Siam_Chart[[#This Row],[Chg%]]</f>
        <v>0</v>
      </c>
      <c r="F10">
        <f>Siam_Chart[[#This Row],[Volume]]</f>
        <v>872033</v>
      </c>
      <c r="G10">
        <f>Siam_Chart[[#This Row],[Value (k)]]</f>
        <v>288947.23</v>
      </c>
      <c r="H10" cm="1">
        <f t="array" ref="H10:W10">Siam_Chart[[#This Row],[MCap (M)]:[CG]]</f>
        <v>620510217.69000006</v>
      </c>
      <c r="I10">
        <v>564100197.89999998</v>
      </c>
      <c r="J10">
        <v>1.3</v>
      </c>
      <c r="K10">
        <v>0.84760599999999997</v>
      </c>
      <c r="L10">
        <v>-0.02</v>
      </c>
      <c r="M10">
        <v>-0.02</v>
      </c>
      <c r="N10">
        <v>-6.0269709999999996</v>
      </c>
      <c r="O10">
        <v>-52.384585999999999</v>
      </c>
      <c r="P10">
        <v>-72.290936000000002</v>
      </c>
      <c r="Q10">
        <v>1.18</v>
      </c>
      <c r="R10" t="str">
        <v/>
      </c>
      <c r="S10" t="str">
        <v/>
      </c>
      <c r="T10">
        <v>0</v>
      </c>
      <c r="U10">
        <v>0</v>
      </c>
      <c r="V10">
        <v>0</v>
      </c>
      <c r="W10">
        <v>0</v>
      </c>
      <c r="X10" s="5">
        <f t="shared" si="1"/>
        <v>0.25384615384615383</v>
      </c>
      <c r="Y10" s="6">
        <f t="shared" si="2"/>
        <v>1880333993</v>
      </c>
    </row>
    <row r="11" spans="1:26" hidden="1" x14ac:dyDescent="0.25">
      <c r="B11" t="str">
        <f>Siam_Chart[[#This Row],[Name]]</f>
        <v>ACE</v>
      </c>
      <c r="C11">
        <f>Siam_Chart[[#This Row],[No.]]</f>
        <v>10</v>
      </c>
      <c r="D11">
        <f>Siam_Chart[[#This Row],[Last]]</f>
        <v>1.3</v>
      </c>
      <c r="E11">
        <f>Siam_Chart[[#This Row],[Chg%]]</f>
        <v>-0.76</v>
      </c>
      <c r="F11">
        <f>Siam_Chart[[#This Row],[Volume]]</f>
        <v>837094</v>
      </c>
      <c r="G11">
        <f>Siam_Chart[[#This Row],[Value (k)]]</f>
        <v>1094452.94</v>
      </c>
      <c r="H11" cm="1">
        <f t="array" ref="H11:W11">Siam_Chart[[#This Row],[MCap (M)]:[CG]]</f>
        <v>13098324668</v>
      </c>
      <c r="I11">
        <v>12.47</v>
      </c>
      <c r="J11">
        <v>0.75</v>
      </c>
      <c r="K11">
        <v>0.52501699999999996</v>
      </c>
      <c r="L11">
        <v>0.01</v>
      </c>
      <c r="M11">
        <v>0.06</v>
      </c>
      <c r="N11">
        <v>5.774184</v>
      </c>
      <c r="O11">
        <v>6.1454120000000003</v>
      </c>
      <c r="P11">
        <v>17.523515</v>
      </c>
      <c r="Q11">
        <v>0.77</v>
      </c>
      <c r="R11" t="str">
        <v/>
      </c>
      <c r="S11" t="str">
        <v/>
      </c>
      <c r="T11">
        <v>831</v>
      </c>
      <c r="U11">
        <v>758</v>
      </c>
      <c r="V11">
        <v>-0.88</v>
      </c>
      <c r="W11">
        <v>5</v>
      </c>
      <c r="X11" s="5">
        <f t="shared" si="1"/>
        <v>1.7333333333333334</v>
      </c>
      <c r="Y11" s="6">
        <f t="shared" si="2"/>
        <v>10075634360</v>
      </c>
    </row>
    <row r="12" spans="1:26" hidden="1" x14ac:dyDescent="0.25">
      <c r="B12" t="str">
        <f>Siam_Chart[[#This Row],[Name]]</f>
        <v>ACG</v>
      </c>
      <c r="C12">
        <f>Siam_Chart[[#This Row],[No.]]</f>
        <v>11</v>
      </c>
      <c r="D12">
        <f>Siam_Chart[[#This Row],[Last]]</f>
        <v>0.73</v>
      </c>
      <c r="E12">
        <f>Siam_Chart[[#This Row],[Chg%]]</f>
        <v>-1.35</v>
      </c>
      <c r="F12">
        <f>Siam_Chart[[#This Row],[Volume]]</f>
        <v>27800</v>
      </c>
      <c r="G12">
        <f>Siam_Chart[[#This Row],[Value (k)]]</f>
        <v>20554</v>
      </c>
      <c r="H12" cm="1">
        <f t="array" ref="H12:W12">Siam_Chart[[#This Row],[MCap (M)]:[CG]]</f>
        <v>438000000</v>
      </c>
      <c r="I12">
        <v>10.37</v>
      </c>
      <c r="J12">
        <v>0.6</v>
      </c>
      <c r="K12">
        <v>0.52753899999999998</v>
      </c>
      <c r="L12">
        <v>0.04</v>
      </c>
      <c r="M12">
        <v>0.04</v>
      </c>
      <c r="N12">
        <v>6.2305460000000004</v>
      </c>
      <c r="O12">
        <v>5.8413139999999997</v>
      </c>
      <c r="P12">
        <v>3.5502560000000001</v>
      </c>
      <c r="Q12">
        <v>5.48</v>
      </c>
      <c r="R12" t="str">
        <v/>
      </c>
      <c r="S12" t="str">
        <v/>
      </c>
      <c r="T12">
        <v>846</v>
      </c>
      <c r="U12">
        <v>739</v>
      </c>
      <c r="V12">
        <v>0.78</v>
      </c>
      <c r="W12">
        <v>4</v>
      </c>
      <c r="X12" s="5">
        <f t="shared" si="1"/>
        <v>1.2166666666666668</v>
      </c>
      <c r="Y12" s="6">
        <f t="shared" si="2"/>
        <v>600000000</v>
      </c>
    </row>
    <row r="13" spans="1:26" hidden="1" x14ac:dyDescent="0.25">
      <c r="B13" t="str">
        <f>Siam_Chart[[#This Row],[Name]]</f>
        <v>ADB</v>
      </c>
      <c r="C13">
        <f>Siam_Chart[[#This Row],[No.]]</f>
        <v>12</v>
      </c>
      <c r="D13">
        <f>Siam_Chart[[#This Row],[Last]]</f>
        <v>1.25</v>
      </c>
      <c r="E13">
        <f>Siam_Chart[[#This Row],[Chg%]]</f>
        <v>-1.57</v>
      </c>
      <c r="F13">
        <f>Siam_Chart[[#This Row],[Volume]]</f>
        <v>828461</v>
      </c>
      <c r="G13">
        <f>Siam_Chart[[#This Row],[Value (k)]]</f>
        <v>1042284.46</v>
      </c>
      <c r="H13" cm="1">
        <f t="array" ref="H13:W13">Siam_Chart[[#This Row],[MCap (M)]:[CG]]</f>
        <v>907499903.75</v>
      </c>
      <c r="I13">
        <v>12.77</v>
      </c>
      <c r="J13">
        <v>1.33</v>
      </c>
      <c r="K13">
        <v>0.56151300000000004</v>
      </c>
      <c r="L13">
        <v>0.03</v>
      </c>
      <c r="M13">
        <v>0.08</v>
      </c>
      <c r="N13">
        <v>8.2836780000000001</v>
      </c>
      <c r="O13">
        <v>10.769192</v>
      </c>
      <c r="P13">
        <v>11.628432</v>
      </c>
      <c r="Q13">
        <v>2.4</v>
      </c>
      <c r="R13" t="str">
        <v/>
      </c>
      <c r="S13" t="str">
        <v/>
      </c>
      <c r="T13">
        <v>610</v>
      </c>
      <c r="U13">
        <v>588</v>
      </c>
      <c r="V13">
        <v>0.18</v>
      </c>
      <c r="W13">
        <v>5</v>
      </c>
      <c r="X13" s="5">
        <f t="shared" si="1"/>
        <v>0.93984962406015038</v>
      </c>
      <c r="Y13" s="6">
        <f t="shared" si="2"/>
        <v>725999923</v>
      </c>
    </row>
    <row r="14" spans="1:26" hidden="1" x14ac:dyDescent="0.25">
      <c r="B14" t="str">
        <f>Siam_Chart[[#This Row],[Name]]</f>
        <v>ADD</v>
      </c>
      <c r="C14">
        <f>Siam_Chart[[#This Row],[No.]]</f>
        <v>13</v>
      </c>
      <c r="D14">
        <f>Siam_Chart[[#This Row],[Last]]</f>
        <v>3.66</v>
      </c>
      <c r="E14">
        <f>Siam_Chart[[#This Row],[Chg%]]</f>
        <v>-0.54</v>
      </c>
      <c r="F14">
        <f>Siam_Chart[[#This Row],[Volume]]</f>
        <v>13212</v>
      </c>
      <c r="G14">
        <f>Siam_Chart[[#This Row],[Value (k)]]</f>
        <v>47974.12</v>
      </c>
      <c r="H14" cm="1">
        <f t="array" ref="H14:W14">Siam_Chart[[#This Row],[MCap (M)]:[CG]]</f>
        <v>614880000</v>
      </c>
      <c r="I14">
        <v>17.38</v>
      </c>
      <c r="J14">
        <v>1.25</v>
      </c>
      <c r="K14">
        <v>0.358406</v>
      </c>
      <c r="L14">
        <v>7.0000000000000007E-2</v>
      </c>
      <c r="M14">
        <v>0.05</v>
      </c>
      <c r="N14">
        <v>9.4434839999999998</v>
      </c>
      <c r="O14">
        <v>7.0536820000000002</v>
      </c>
      <c r="P14">
        <v>4.4087630000000004</v>
      </c>
      <c r="Q14">
        <v>9.56</v>
      </c>
      <c r="R14" t="str">
        <v/>
      </c>
      <c r="S14" t="str">
        <v/>
      </c>
      <c r="T14">
        <v>828</v>
      </c>
      <c r="U14">
        <v>596</v>
      </c>
      <c r="V14">
        <v>-7.39</v>
      </c>
      <c r="W14">
        <v>4</v>
      </c>
      <c r="X14" s="5">
        <f t="shared" si="1"/>
        <v>2.9279999999999999</v>
      </c>
      <c r="Y14" s="6">
        <f t="shared" si="2"/>
        <v>168000000</v>
      </c>
    </row>
    <row r="15" spans="1:26" hidden="1" x14ac:dyDescent="0.25">
      <c r="B15" t="str">
        <f>Siam_Chart[[#This Row],[Name]]</f>
        <v>ADVANC</v>
      </c>
      <c r="C15">
        <f>Siam_Chart[[#This Row],[No.]]</f>
        <v>14</v>
      </c>
      <c r="D15">
        <f>Siam_Chart[[#This Row],[Last]]</f>
        <v>355</v>
      </c>
      <c r="E15">
        <f>Siam_Chart[[#This Row],[Chg%]]</f>
        <v>-0.28000000000000003</v>
      </c>
      <c r="F15">
        <f>Siam_Chart[[#This Row],[Volume]]</f>
        <v>5738656</v>
      </c>
      <c r="G15">
        <f>Siam_Chart[[#This Row],[Value (k)]]</f>
        <v>2040736905.55</v>
      </c>
      <c r="H15" cm="1">
        <f t="array" ref="H15:W15">Siam_Chart[[#This Row],[MCap (M)]:[CG]]</f>
        <v>1055844456280</v>
      </c>
      <c r="I15">
        <v>19.72</v>
      </c>
      <c r="J15">
        <v>20.2</v>
      </c>
      <c r="K15">
        <v>6.6706180000000002</v>
      </c>
      <c r="L15">
        <v>8.69</v>
      </c>
      <c r="M15">
        <v>9.15</v>
      </c>
      <c r="N15">
        <v>17.816033000000001</v>
      </c>
      <c r="O15">
        <v>69.541426000000001</v>
      </c>
      <c r="P15">
        <v>23.668272000000002</v>
      </c>
      <c r="Q15">
        <v>9.66</v>
      </c>
      <c r="R15" t="str">
        <v/>
      </c>
      <c r="S15" t="str">
        <v/>
      </c>
      <c r="T15">
        <v>567</v>
      </c>
      <c r="U15">
        <v>603</v>
      </c>
      <c r="V15">
        <v>1.27</v>
      </c>
      <c r="W15">
        <v>5</v>
      </c>
      <c r="X15" s="5">
        <f t="shared" si="1"/>
        <v>17.574257425742577</v>
      </c>
      <c r="Y15" s="6">
        <f t="shared" si="2"/>
        <v>2974209736</v>
      </c>
    </row>
    <row r="16" spans="1:26" hidden="1" x14ac:dyDescent="0.25">
      <c r="B16" t="str">
        <f>Siam_Chart[[#This Row],[Name]]</f>
        <v>ADVICE</v>
      </c>
      <c r="C16">
        <f>Siam_Chart[[#This Row],[No.]]</f>
        <v>15</v>
      </c>
      <c r="D16">
        <f>Siam_Chart[[#This Row],[Last]]</f>
        <v>7.1</v>
      </c>
      <c r="E16">
        <f>Siam_Chart[[#This Row],[Chg%]]</f>
        <v>-2.74</v>
      </c>
      <c r="F16">
        <f>Siam_Chart[[#This Row],[Volume]]</f>
        <v>1737805</v>
      </c>
      <c r="G16">
        <f>Siam_Chart[[#This Row],[Value (k)]]</f>
        <v>12455129.949999999</v>
      </c>
      <c r="H16" cm="1">
        <f t="array" ref="H16:W16">Siam_Chart[[#This Row],[MCap (M)]:[CG]]</f>
        <v>4402000000</v>
      </c>
      <c r="I16">
        <v>11.53</v>
      </c>
      <c r="J16">
        <v>3.89</v>
      </c>
      <c r="K16">
        <v>3.1583800000000002</v>
      </c>
      <c r="L16">
        <v>0.23</v>
      </c>
      <c r="M16">
        <v>0.41</v>
      </c>
      <c r="N16">
        <v>12.112847</v>
      </c>
      <c r="O16">
        <v>36.318364000000003</v>
      </c>
      <c r="P16">
        <v>2.859785</v>
      </c>
      <c r="Q16">
        <v>4.93</v>
      </c>
      <c r="R16" t="str">
        <v/>
      </c>
      <c r="S16" t="str">
        <v/>
      </c>
      <c r="T16">
        <v>465</v>
      </c>
      <c r="U16">
        <v>577</v>
      </c>
      <c r="V16">
        <v>0.55000000000000004</v>
      </c>
      <c r="W16">
        <v>0</v>
      </c>
      <c r="X16" s="5">
        <f t="shared" si="1"/>
        <v>1.8251928020565551</v>
      </c>
      <c r="Y16" s="6">
        <f t="shared" si="2"/>
        <v>620000000</v>
      </c>
    </row>
    <row r="17" spans="2:25" hidden="1" x14ac:dyDescent="0.25">
      <c r="B17" t="str">
        <f>Siam_Chart[[#This Row],[Name]]</f>
        <v>AE</v>
      </c>
      <c r="C17">
        <f>Siam_Chart[[#This Row],[No.]]</f>
        <v>16</v>
      </c>
      <c r="D17">
        <f>Siam_Chart[[#This Row],[Last]]</f>
        <v>0.08</v>
      </c>
      <c r="E17">
        <f>Siam_Chart[[#This Row],[Chg%]]</f>
        <v>0</v>
      </c>
      <c r="F17">
        <f>Siam_Chart[[#This Row],[Volume]]</f>
        <v>801506</v>
      </c>
      <c r="G17">
        <f>Siam_Chart[[#This Row],[Value (k)]]</f>
        <v>57150.46</v>
      </c>
      <c r="H17" cm="1">
        <f t="array" ref="H17:W17">Siam_Chart[[#This Row],[MCap (M)]:[CG]]</f>
        <v>205722872.56</v>
      </c>
      <c r="I17">
        <v>205722872.56</v>
      </c>
      <c r="J17">
        <v>0.1</v>
      </c>
      <c r="K17">
        <v>0.311114</v>
      </c>
      <c r="L17">
        <v>-0.02</v>
      </c>
      <c r="M17">
        <v>-0.02</v>
      </c>
      <c r="N17">
        <v>-3.473983</v>
      </c>
      <c r="O17">
        <v>-6.0811279999999996</v>
      </c>
      <c r="P17">
        <v>-9.2582740000000001</v>
      </c>
      <c r="Q17">
        <v>0.1</v>
      </c>
      <c r="R17" t="str">
        <v/>
      </c>
      <c r="S17" t="str">
        <v/>
      </c>
      <c r="T17">
        <v>0</v>
      </c>
      <c r="U17">
        <v>0</v>
      </c>
      <c r="V17">
        <v>0</v>
      </c>
      <c r="W17">
        <v>4</v>
      </c>
      <c r="X17" s="5">
        <f t="shared" si="1"/>
        <v>0.79999999999999993</v>
      </c>
      <c r="Y17" s="6">
        <f t="shared" si="2"/>
        <v>2571535907</v>
      </c>
    </row>
    <row r="18" spans="2:25" hidden="1" x14ac:dyDescent="0.25">
      <c r="B18" t="str">
        <f>Siam_Chart[[#This Row],[Name]]</f>
        <v>AEONTS</v>
      </c>
      <c r="C18">
        <f>Siam_Chart[[#This Row],[No.]]</f>
        <v>17</v>
      </c>
      <c r="D18">
        <f>Siam_Chart[[#This Row],[Last]]</f>
        <v>102</v>
      </c>
      <c r="E18">
        <f>Siam_Chart[[#This Row],[Chg%]]</f>
        <v>-0.97</v>
      </c>
      <c r="F18">
        <f>Siam_Chart[[#This Row],[Volume]]</f>
        <v>189124</v>
      </c>
      <c r="G18">
        <f>Siam_Chart[[#This Row],[Value (k)]]</f>
        <v>19310401.5</v>
      </c>
      <c r="H18" cm="1">
        <f t="array" ref="H18:W18">Siam_Chart[[#This Row],[MCap (M)]:[CG]]</f>
        <v>25500000000</v>
      </c>
      <c r="I18">
        <v>8.08</v>
      </c>
      <c r="J18">
        <v>0.89</v>
      </c>
      <c r="K18">
        <v>2.0144319999999998</v>
      </c>
      <c r="L18">
        <v>2.95</v>
      </c>
      <c r="M18">
        <v>3.2</v>
      </c>
      <c r="N18">
        <v>6.5336119999999998</v>
      </c>
      <c r="O18">
        <v>11.360295000000001</v>
      </c>
      <c r="P18">
        <v>17.127700000000001</v>
      </c>
      <c r="Q18">
        <v>5.42</v>
      </c>
      <c r="R18" t="str">
        <v/>
      </c>
      <c r="S18" t="str">
        <v/>
      </c>
      <c r="T18">
        <v>382</v>
      </c>
      <c r="U18">
        <v>685</v>
      </c>
      <c r="V18">
        <v>-1.42</v>
      </c>
      <c r="W18">
        <v>5</v>
      </c>
      <c r="X18" s="5">
        <f t="shared" si="1"/>
        <v>114.6067415730337</v>
      </c>
      <c r="Y18" s="6">
        <f t="shared" si="2"/>
        <v>250000000</v>
      </c>
    </row>
    <row r="19" spans="2:25" hidden="1" x14ac:dyDescent="0.25">
      <c r="B19" t="str">
        <f>Siam_Chart[[#This Row],[Name]]</f>
        <v>AF</v>
      </c>
      <c r="C19">
        <f>Siam_Chart[[#This Row],[No.]]</f>
        <v>18</v>
      </c>
      <c r="D19">
        <f>Siam_Chart[[#This Row],[Last]]</f>
        <v>0.4</v>
      </c>
      <c r="E19">
        <f>Siam_Chart[[#This Row],[Chg%]]</f>
        <v>0</v>
      </c>
      <c r="F19">
        <f>Siam_Chart[[#This Row],[Volume]]</f>
        <v>17900</v>
      </c>
      <c r="G19">
        <f>Siam_Chart[[#This Row],[Value (k)]]</f>
        <v>7238</v>
      </c>
      <c r="H19" cm="1">
        <f t="array" ref="H19:W19">Siam_Chart[[#This Row],[MCap (M)]:[CG]]</f>
        <v>640000000</v>
      </c>
      <c r="I19">
        <v>41.67</v>
      </c>
      <c r="J19">
        <v>1.18</v>
      </c>
      <c r="K19">
        <v>3.9206059999999998</v>
      </c>
      <c r="L19">
        <v>0.02</v>
      </c>
      <c r="M19">
        <v>0.01</v>
      </c>
      <c r="N19">
        <v>3.7842660000000001</v>
      </c>
      <c r="O19">
        <v>2.877955</v>
      </c>
      <c r="P19">
        <v>8.7016620000000007</v>
      </c>
      <c r="Q19">
        <v>1.1499999999999999</v>
      </c>
      <c r="R19" t="str">
        <v/>
      </c>
      <c r="S19" t="str">
        <v/>
      </c>
      <c r="T19">
        <v>1230</v>
      </c>
      <c r="U19">
        <v>1338</v>
      </c>
      <c r="V19">
        <v>3.95</v>
      </c>
      <c r="W19">
        <v>5</v>
      </c>
      <c r="X19" s="5">
        <f t="shared" si="1"/>
        <v>0.33898305084745767</v>
      </c>
      <c r="Y19" s="6">
        <f>IFERROR(H19/D19,0)</f>
        <v>1600000000</v>
      </c>
    </row>
    <row r="20" spans="2:25" hidden="1" x14ac:dyDescent="0.25">
      <c r="B20" t="str">
        <f>Siam_Chart[[#This Row],[Name]]</f>
        <v>AFC</v>
      </c>
      <c r="C20">
        <f>Siam_Chart[[#This Row],[No.]]</f>
        <v>19</v>
      </c>
      <c r="D20">
        <f>Siam_Chart[[#This Row],[Last]]</f>
        <v>4.66</v>
      </c>
      <c r="E20">
        <f>Siam_Chart[[#This Row],[Chg%]]</f>
        <v>-0.85</v>
      </c>
      <c r="F20">
        <f>Siam_Chart[[#This Row],[Volume]]</f>
        <v>1000</v>
      </c>
      <c r="G20">
        <f>Siam_Chart[[#This Row],[Value (k)]]</f>
        <v>4670</v>
      </c>
      <c r="H20" cm="1">
        <f t="array" ref="H20:W20">Siam_Chart[[#This Row],[MCap (M)]:[CG]]</f>
        <v>212376079.56</v>
      </c>
      <c r="I20">
        <v>18.920000000000002</v>
      </c>
      <c r="J20">
        <v>0.17</v>
      </c>
      <c r="K20">
        <v>0.182639</v>
      </c>
      <c r="L20">
        <v>0.14000000000000001</v>
      </c>
      <c r="M20">
        <v>0.25</v>
      </c>
      <c r="N20">
        <v>0.92559999999999998</v>
      </c>
      <c r="O20">
        <v>0.93847000000000003</v>
      </c>
      <c r="P20">
        <v>2.1501999999999999</v>
      </c>
      <c r="Q20">
        <v>0.18</v>
      </c>
      <c r="R20" t="str">
        <v/>
      </c>
      <c r="S20" t="str">
        <v/>
      </c>
      <c r="T20">
        <v>695</v>
      </c>
      <c r="U20">
        <v>692</v>
      </c>
      <c r="V20">
        <v>-0.04</v>
      </c>
      <c r="W20">
        <v>0</v>
      </c>
      <c r="X20" s="5">
        <f t="shared" si="1"/>
        <v>27.411764705882351</v>
      </c>
      <c r="Y20" s="6">
        <f t="shared" si="2"/>
        <v>45574266</v>
      </c>
    </row>
    <row r="21" spans="2:25" hidden="1" x14ac:dyDescent="0.25">
      <c r="B21" t="str">
        <f>Siam_Chart[[#This Row],[Name]]</f>
        <v>AGE</v>
      </c>
      <c r="C21">
        <f>Siam_Chart[[#This Row],[No.]]</f>
        <v>20</v>
      </c>
      <c r="D21">
        <f>Siam_Chart[[#This Row],[Last]]</f>
        <v>1.42</v>
      </c>
      <c r="E21">
        <f>Siam_Chart[[#This Row],[Chg%]]</f>
        <v>-0.7</v>
      </c>
      <c r="F21">
        <f>Siam_Chart[[#This Row],[Volume]]</f>
        <v>1293103</v>
      </c>
      <c r="G21">
        <f>Siam_Chart[[#This Row],[Value (k)]]</f>
        <v>1857458.41</v>
      </c>
      <c r="H21" cm="1">
        <f t="array" ref="H21:W21">Siam_Chart[[#This Row],[MCap (M)]:[CG]]</f>
        <v>1699063277.7</v>
      </c>
      <c r="I21">
        <v>4.3499999999999996</v>
      </c>
      <c r="J21">
        <v>0.5</v>
      </c>
      <c r="K21">
        <v>1.3713470000000001</v>
      </c>
      <c r="L21">
        <v>0.2</v>
      </c>
      <c r="M21">
        <v>0.2</v>
      </c>
      <c r="N21">
        <v>7.8592979999999999</v>
      </c>
      <c r="O21">
        <v>12.091222999999999</v>
      </c>
      <c r="P21">
        <v>2.9290050000000001</v>
      </c>
      <c r="Q21">
        <v>0.51</v>
      </c>
      <c r="R21" t="str">
        <v/>
      </c>
      <c r="S21" t="str">
        <v/>
      </c>
      <c r="T21">
        <v>259</v>
      </c>
      <c r="U21">
        <v>333</v>
      </c>
      <c r="V21">
        <v>-0.05</v>
      </c>
      <c r="W21">
        <v>5</v>
      </c>
      <c r="X21" s="5">
        <f t="shared" si="1"/>
        <v>2.84</v>
      </c>
      <c r="Y21" s="6">
        <f t="shared" si="2"/>
        <v>1196523435</v>
      </c>
    </row>
    <row r="22" spans="2:25" hidden="1" x14ac:dyDescent="0.25">
      <c r="B22" t="str">
        <f>Siam_Chart[[#This Row],[Name]]</f>
        <v>AH</v>
      </c>
      <c r="C22">
        <f>Siam_Chart[[#This Row],[No.]]</f>
        <v>21</v>
      </c>
      <c r="D22">
        <f>Siam_Chart[[#This Row],[Last]]</f>
        <v>15.6</v>
      </c>
      <c r="E22">
        <f>Siam_Chart[[#This Row],[Chg%]]</f>
        <v>-2.5</v>
      </c>
      <c r="F22">
        <f>Siam_Chart[[#This Row],[Volume]]</f>
        <v>144312</v>
      </c>
      <c r="G22">
        <f>Siam_Chart[[#This Row],[Value (k)]]</f>
        <v>2262835.7000000002</v>
      </c>
      <c r="H22" cm="1">
        <f t="array" ref="H22:W22">Siam_Chart[[#This Row],[MCap (M)]:[CG]]</f>
        <v>5535535387.1999998</v>
      </c>
      <c r="I22">
        <v>6.34</v>
      </c>
      <c r="J22">
        <v>0.45</v>
      </c>
      <c r="K22">
        <v>1.020686</v>
      </c>
      <c r="L22">
        <v>0.38</v>
      </c>
      <c r="M22">
        <v>1.52</v>
      </c>
      <c r="N22">
        <v>5.196593</v>
      </c>
      <c r="O22">
        <v>7.3837989999999998</v>
      </c>
      <c r="P22">
        <v>4.0787310000000003</v>
      </c>
      <c r="Q22">
        <v>5.0599999999999996</v>
      </c>
      <c r="R22" t="str">
        <v/>
      </c>
      <c r="S22" t="str">
        <v/>
      </c>
      <c r="T22">
        <v>481</v>
      </c>
      <c r="U22">
        <v>508</v>
      </c>
      <c r="V22">
        <v>2.52</v>
      </c>
      <c r="W22">
        <v>4</v>
      </c>
      <c r="X22" s="5">
        <f t="shared" si="1"/>
        <v>34.666666666666664</v>
      </c>
      <c r="Y22" s="6">
        <f t="shared" si="2"/>
        <v>354842012</v>
      </c>
    </row>
    <row r="23" spans="2:25" hidden="1" x14ac:dyDescent="0.25">
      <c r="B23" t="str">
        <f>Siam_Chart[[#This Row],[Name]]</f>
        <v>AHC</v>
      </c>
      <c r="C23">
        <f>Siam_Chart[[#This Row],[No.]]</f>
        <v>22</v>
      </c>
      <c r="D23">
        <f>Siam_Chart[[#This Row],[Last]]</f>
        <v>12</v>
      </c>
      <c r="E23">
        <f>Siam_Chart[[#This Row],[Chg%]]</f>
        <v>-2.44</v>
      </c>
      <c r="F23">
        <f>Siam_Chart[[#This Row],[Volume]]</f>
        <v>51801</v>
      </c>
      <c r="G23">
        <f>Siam_Chart[[#This Row],[Value (k)]]</f>
        <v>614616.69999999995</v>
      </c>
      <c r="H23" cm="1">
        <f t="array" ref="H23:W23">Siam_Chart[[#This Row],[MCap (M)]:[CG]]</f>
        <v>1798911168</v>
      </c>
      <c r="I23">
        <v>21.5</v>
      </c>
      <c r="J23">
        <v>0.86</v>
      </c>
      <c r="K23">
        <v>0.177117</v>
      </c>
      <c r="L23">
        <v>0.52</v>
      </c>
      <c r="M23">
        <v>0.18</v>
      </c>
      <c r="N23">
        <v>4.1635530000000003</v>
      </c>
      <c r="O23">
        <v>3.9756719999999999</v>
      </c>
      <c r="P23">
        <v>3.132037</v>
      </c>
      <c r="Q23">
        <v>4.33</v>
      </c>
      <c r="R23" t="str">
        <v/>
      </c>
      <c r="S23" t="str">
        <v/>
      </c>
      <c r="T23">
        <v>949</v>
      </c>
      <c r="U23">
        <v>826</v>
      </c>
      <c r="V23">
        <v>-1.71</v>
      </c>
      <c r="W23">
        <v>3</v>
      </c>
      <c r="X23" s="5">
        <f t="shared" si="1"/>
        <v>13.953488372093023</v>
      </c>
      <c r="Y23" s="6">
        <f t="shared" si="2"/>
        <v>149909264</v>
      </c>
    </row>
    <row r="24" spans="2:25" hidden="1" x14ac:dyDescent="0.25">
      <c r="B24" t="str">
        <f>Siam_Chart[[#This Row],[Name]]</f>
        <v>AI</v>
      </c>
      <c r="C24">
        <f>Siam_Chart[[#This Row],[No.]]</f>
        <v>23</v>
      </c>
      <c r="D24">
        <f>Siam_Chart[[#This Row],[Last]]</f>
        <v>3.16</v>
      </c>
      <c r="E24">
        <f>Siam_Chart[[#This Row],[Chg%]]</f>
        <v>0</v>
      </c>
      <c r="F24">
        <f>Siam_Chart[[#This Row],[Volume]]</f>
        <v>159083</v>
      </c>
      <c r="G24">
        <f>Siam_Chart[[#This Row],[Value (k)]]</f>
        <v>502983.32</v>
      </c>
      <c r="H24" cm="1">
        <f t="array" ref="H24:W24">Siam_Chart[[#This Row],[MCap (M)]:[CG]]</f>
        <v>2211996906.3600001</v>
      </c>
      <c r="I24">
        <v>12.07</v>
      </c>
      <c r="J24">
        <v>0.93</v>
      </c>
      <c r="K24">
        <v>0.16528799999999999</v>
      </c>
      <c r="L24">
        <v>0.2</v>
      </c>
      <c r="M24">
        <v>0.22</v>
      </c>
      <c r="N24">
        <v>7.8656699999999997</v>
      </c>
      <c r="O24">
        <v>7.7882040000000003</v>
      </c>
      <c r="P24">
        <v>5.3703139999999996</v>
      </c>
      <c r="Q24">
        <v>6.33</v>
      </c>
      <c r="R24" t="str">
        <v/>
      </c>
      <c r="S24" t="str">
        <v/>
      </c>
      <c r="T24">
        <v>723</v>
      </c>
      <c r="U24">
        <v>607</v>
      </c>
      <c r="V24">
        <v>0.8</v>
      </c>
      <c r="W24">
        <v>0</v>
      </c>
      <c r="X24" s="5">
        <f t="shared" si="1"/>
        <v>3.3978494623655915</v>
      </c>
      <c r="Y24" s="6">
        <f t="shared" si="2"/>
        <v>699999021</v>
      </c>
    </row>
    <row r="25" spans="2:25" hidden="1" x14ac:dyDescent="0.25">
      <c r="B25" t="str">
        <f>Siam_Chart[[#This Row],[Name]]</f>
        <v>AIE</v>
      </c>
      <c r="C25">
        <f>Siam_Chart[[#This Row],[No.]]</f>
        <v>24</v>
      </c>
      <c r="D25">
        <f>Siam_Chart[[#This Row],[Last]]</f>
        <v>1.59</v>
      </c>
      <c r="E25">
        <f>Siam_Chart[[#This Row],[Chg%]]</f>
        <v>1.27</v>
      </c>
      <c r="F25">
        <f>Siam_Chart[[#This Row],[Volume]]</f>
        <v>3718048</v>
      </c>
      <c r="G25">
        <f>Siam_Chart[[#This Row],[Value (k)]]</f>
        <v>5845647.9299999997</v>
      </c>
      <c r="H25" cm="1">
        <f t="array" ref="H25:W25">Siam_Chart[[#This Row],[MCap (M)]:[CG]]</f>
        <v>2200582274.3099999</v>
      </c>
      <c r="I25">
        <v>9.32</v>
      </c>
      <c r="J25">
        <v>1.03</v>
      </c>
      <c r="K25">
        <v>0.22031300000000001</v>
      </c>
      <c r="L25">
        <v>0.2</v>
      </c>
      <c r="M25">
        <v>0.13</v>
      </c>
      <c r="N25">
        <v>9.5258870000000009</v>
      </c>
      <c r="O25">
        <v>11.480028000000001</v>
      </c>
      <c r="P25">
        <v>4.5046989999999996</v>
      </c>
      <c r="Q25">
        <v>3.14</v>
      </c>
      <c r="R25" t="str">
        <v/>
      </c>
      <c r="S25" t="str">
        <v/>
      </c>
      <c r="T25">
        <v>405</v>
      </c>
      <c r="U25">
        <v>362</v>
      </c>
      <c r="V25">
        <v>1.55</v>
      </c>
      <c r="W25">
        <v>3</v>
      </c>
      <c r="X25" s="5">
        <f t="shared" si="1"/>
        <v>1.5436893203883495</v>
      </c>
      <c r="Y25" s="6">
        <f t="shared" si="2"/>
        <v>1384014009</v>
      </c>
    </row>
    <row r="26" spans="2:25" hidden="1" x14ac:dyDescent="0.25">
      <c r="B26" t="str">
        <f>Siam_Chart[[#This Row],[Name]]</f>
        <v>AIRA</v>
      </c>
      <c r="C26">
        <f>Siam_Chart[[#This Row],[No.]]</f>
        <v>25</v>
      </c>
      <c r="D26">
        <f>Siam_Chart[[#This Row],[Last]]</f>
        <v>1.05</v>
      </c>
      <c r="E26">
        <f>Siam_Chart[[#This Row],[Chg%]]</f>
        <v>0</v>
      </c>
      <c r="F26">
        <f>Siam_Chart[[#This Row],[Volume]]</f>
        <v>10000</v>
      </c>
      <c r="G26">
        <f>Siam_Chart[[#This Row],[Value (k)]]</f>
        <v>10500</v>
      </c>
      <c r="H26" cm="1">
        <f t="array" ref="H26:W26">Siam_Chart[[#This Row],[MCap (M)]:[CG]]</f>
        <v>6504324888.9899998</v>
      </c>
      <c r="I26">
        <v>6630622459.6499996</v>
      </c>
      <c r="J26">
        <v>2.1</v>
      </c>
      <c r="K26">
        <v>1.281239</v>
      </c>
      <c r="L26">
        <v>1.0999999999999999E-2</v>
      </c>
      <c r="M26">
        <v>2.916637598579479</v>
      </c>
      <c r="N26">
        <v>2.9166379999999998</v>
      </c>
      <c r="O26">
        <v>-1.253331</v>
      </c>
      <c r="P26">
        <v>4.8326190000000002</v>
      </c>
      <c r="Q26">
        <v>2.14</v>
      </c>
      <c r="R26" t="str">
        <v/>
      </c>
      <c r="S26" t="str">
        <v/>
      </c>
      <c r="T26">
        <v>0</v>
      </c>
      <c r="U26">
        <v>0</v>
      </c>
      <c r="V26">
        <v>0</v>
      </c>
      <c r="W26">
        <v>5</v>
      </c>
      <c r="X26" s="5">
        <f t="shared" si="1"/>
        <v>0.5</v>
      </c>
      <c r="Y26" s="6">
        <f t="shared" si="2"/>
        <v>6194595132.3714285</v>
      </c>
    </row>
    <row r="27" spans="2:25" hidden="1" x14ac:dyDescent="0.25">
      <c r="B27" t="str">
        <f>Siam_Chart[[#This Row],[Name]]</f>
        <v>AIT</v>
      </c>
      <c r="C27">
        <f>Siam_Chart[[#This Row],[No.]]</f>
        <v>26</v>
      </c>
      <c r="D27">
        <f>Siam_Chart[[#This Row],[Last]]</f>
        <v>4.84</v>
      </c>
      <c r="E27">
        <f>Siam_Chart[[#This Row],[Chg%]]</f>
        <v>0</v>
      </c>
      <c r="F27">
        <f>Siam_Chart[[#This Row],[Volume]]</f>
        <v>210400</v>
      </c>
      <c r="G27">
        <f>Siam_Chart[[#This Row],[Value (k)]]</f>
        <v>1014454.72</v>
      </c>
      <c r="H27" cm="1">
        <f t="array" ref="H27:W27">Siam_Chart[[#This Row],[MCap (M)]:[CG]]</f>
        <v>7436251368.4799995</v>
      </c>
      <c r="I27">
        <v>12.75</v>
      </c>
      <c r="J27">
        <v>1.87</v>
      </c>
      <c r="K27">
        <v>0.60337700000000005</v>
      </c>
      <c r="L27">
        <v>0.15</v>
      </c>
      <c r="M27">
        <v>0.19</v>
      </c>
      <c r="N27">
        <v>11.325621999999999</v>
      </c>
      <c r="O27">
        <v>14.690593</v>
      </c>
      <c r="P27">
        <v>8.2305510000000002</v>
      </c>
      <c r="Q27">
        <v>7.44</v>
      </c>
      <c r="R27" t="str">
        <v/>
      </c>
      <c r="S27" t="str">
        <v/>
      </c>
      <c r="T27">
        <v>543</v>
      </c>
      <c r="U27">
        <v>531</v>
      </c>
      <c r="V27">
        <v>4.79</v>
      </c>
      <c r="W27">
        <v>4</v>
      </c>
      <c r="X27" s="5">
        <f t="shared" si="1"/>
        <v>2.5882352941176467</v>
      </c>
      <c r="Y27" s="6">
        <f t="shared" si="2"/>
        <v>1536415572</v>
      </c>
    </row>
    <row r="28" spans="2:25" hidden="1" x14ac:dyDescent="0.25">
      <c r="B28" t="str">
        <f>Siam_Chart[[#This Row],[Name]]</f>
        <v>AJ</v>
      </c>
      <c r="C28">
        <f>Siam_Chart[[#This Row],[No.]]</f>
        <v>27</v>
      </c>
      <c r="D28">
        <f>Siam_Chart[[#This Row],[Last]]</f>
        <v>3.66</v>
      </c>
      <c r="E28">
        <f>Siam_Chart[[#This Row],[Chg%]]</f>
        <v>0</v>
      </c>
      <c r="F28">
        <f>Siam_Chart[[#This Row],[Volume]]</f>
        <v>4064591</v>
      </c>
      <c r="G28">
        <f>Siam_Chart[[#This Row],[Value (k)]]</f>
        <v>15091326.16</v>
      </c>
      <c r="H28" cm="1">
        <f t="array" ref="H28:W28">Siam_Chart[[#This Row],[MCap (M)]:[CG]]</f>
        <v>2183183327.8200002</v>
      </c>
      <c r="I28">
        <v>2218973218.4400001</v>
      </c>
      <c r="J28">
        <v>0.56999999999999995</v>
      </c>
      <c r="K28">
        <v>2.2305899999999999</v>
      </c>
      <c r="L28">
        <v>0.38</v>
      </c>
      <c r="M28">
        <v>0.08</v>
      </c>
      <c r="N28">
        <v>-0.12145499999999999</v>
      </c>
      <c r="O28">
        <v>-7.5107419999999996</v>
      </c>
      <c r="P28">
        <v>1.1399079999999999</v>
      </c>
      <c r="Q28">
        <v>0.57999999999999996</v>
      </c>
      <c r="R28" t="str">
        <v/>
      </c>
      <c r="S28" t="str">
        <v/>
      </c>
      <c r="T28">
        <v>0</v>
      </c>
      <c r="U28">
        <v>0</v>
      </c>
      <c r="V28">
        <v>0</v>
      </c>
      <c r="W28">
        <v>5</v>
      </c>
      <c r="X28" s="5">
        <f t="shared" si="1"/>
        <v>6.4210526315789478</v>
      </c>
      <c r="Y28" s="6">
        <f t="shared" si="2"/>
        <v>596498177</v>
      </c>
    </row>
    <row r="29" spans="2:25" hidden="1" x14ac:dyDescent="0.25">
      <c r="B29" t="str">
        <f>Siam_Chart[[#This Row],[Name]]</f>
        <v>AJA</v>
      </c>
      <c r="C29">
        <f>Siam_Chart[[#This Row],[No.]]</f>
        <v>28</v>
      </c>
      <c r="D29">
        <f>Siam_Chart[[#This Row],[Last]]</f>
        <v>0.12</v>
      </c>
      <c r="E29">
        <f>Siam_Chart[[#This Row],[Chg%]]</f>
        <v>9.09</v>
      </c>
      <c r="F29">
        <f>Siam_Chart[[#This Row],[Volume]]</f>
        <v>804958</v>
      </c>
      <c r="G29">
        <f>Siam_Chart[[#This Row],[Value (k)]]</f>
        <v>93898.72</v>
      </c>
      <c r="H29" cm="1">
        <f t="array" ref="H29:W29">Siam_Chart[[#This Row],[MCap (M)]:[CG]]</f>
        <v>689185512.84000003</v>
      </c>
      <c r="I29">
        <v>631753386.76999998</v>
      </c>
      <c r="J29">
        <v>1.42</v>
      </c>
      <c r="K29">
        <v>0.245563</v>
      </c>
      <c r="L29">
        <v>-0.01</v>
      </c>
      <c r="M29">
        <v>-0.01</v>
      </c>
      <c r="N29">
        <v>-23.404427999999999</v>
      </c>
      <c r="O29">
        <v>-28.923179000000001</v>
      </c>
      <c r="P29">
        <v>-88.972033999999994</v>
      </c>
      <c r="Q29">
        <v>1.3</v>
      </c>
      <c r="R29" t="str">
        <v/>
      </c>
      <c r="S29" t="str">
        <v/>
      </c>
      <c r="T29">
        <v>0</v>
      </c>
      <c r="U29">
        <v>0</v>
      </c>
      <c r="V29">
        <v>0</v>
      </c>
      <c r="W29">
        <v>0</v>
      </c>
      <c r="X29" s="5">
        <f t="shared" si="1"/>
        <v>8.4507042253521125E-2</v>
      </c>
      <c r="Y29" s="6">
        <f t="shared" si="2"/>
        <v>5743212607.000001</v>
      </c>
    </row>
    <row r="30" spans="2:25" hidden="1" x14ac:dyDescent="0.25">
      <c r="B30" t="str">
        <f>Siam_Chart[[#This Row],[Name]]</f>
        <v>AKP</v>
      </c>
      <c r="C30">
        <f>Siam_Chart[[#This Row],[No.]]</f>
        <v>29</v>
      </c>
      <c r="D30">
        <f>Siam_Chart[[#This Row],[Last]]</f>
        <v>0.76</v>
      </c>
      <c r="E30">
        <f>Siam_Chart[[#This Row],[Chg%]]</f>
        <v>-3.8</v>
      </c>
      <c r="F30">
        <f>Siam_Chart[[#This Row],[Volume]]</f>
        <v>1956411</v>
      </c>
      <c r="G30">
        <f>Siam_Chart[[#This Row],[Value (k)]]</f>
        <v>1512599.7</v>
      </c>
      <c r="H30" cm="1">
        <f t="array" ref="H30:W30">Siam_Chart[[#This Row],[MCap (M)]:[CG]]</f>
        <v>307040000</v>
      </c>
      <c r="I30">
        <v>4.1399999999999997</v>
      </c>
      <c r="J30">
        <v>0.44</v>
      </c>
      <c r="K30">
        <v>0.17745</v>
      </c>
      <c r="L30">
        <v>4.5999999999999999E-2</v>
      </c>
      <c r="M30">
        <v>0.04</v>
      </c>
      <c r="N30">
        <v>11.815903</v>
      </c>
      <c r="O30">
        <v>11.147302</v>
      </c>
      <c r="P30">
        <v>7.0535550000000002</v>
      </c>
      <c r="Q30">
        <v>6.05</v>
      </c>
      <c r="R30" t="str">
        <v/>
      </c>
      <c r="S30" t="str">
        <v/>
      </c>
      <c r="T30">
        <v>254</v>
      </c>
      <c r="U30">
        <v>145</v>
      </c>
      <c r="V30">
        <v>0.11</v>
      </c>
      <c r="W30">
        <v>5</v>
      </c>
      <c r="X30" s="5">
        <f t="shared" si="1"/>
        <v>1.7272727272727273</v>
      </c>
      <c r="Y30" s="6">
        <f t="shared" si="2"/>
        <v>404000000</v>
      </c>
    </row>
    <row r="31" spans="2:25" hidden="1" x14ac:dyDescent="0.25">
      <c r="B31" t="str">
        <f>Siam_Chart[[#This Row],[Name]]</f>
        <v>AKR</v>
      </c>
      <c r="C31">
        <f>Siam_Chart[[#This Row],[No.]]</f>
        <v>30</v>
      </c>
      <c r="D31">
        <f>Siam_Chart[[#This Row],[Last]]</f>
        <v>0.97</v>
      </c>
      <c r="E31">
        <f>Siam_Chart[[#This Row],[Chg%]]</f>
        <v>0</v>
      </c>
      <c r="F31">
        <f>Siam_Chart[[#This Row],[Volume]]</f>
        <v>3871803</v>
      </c>
      <c r="G31">
        <f>Siam_Chart[[#This Row],[Value (k)]]</f>
        <v>3751764.93</v>
      </c>
      <c r="H31" cm="1">
        <f t="array" ref="H31:W31">Siam_Chart[[#This Row],[MCap (M)]:[CG]]</f>
        <v>1427740762.21</v>
      </c>
      <c r="I31">
        <v>10.28</v>
      </c>
      <c r="J31">
        <v>0.86</v>
      </c>
      <c r="K31">
        <v>0.44738800000000001</v>
      </c>
      <c r="L31">
        <v>6.5000000000000002E-2</v>
      </c>
      <c r="M31">
        <v>0.04</v>
      </c>
      <c r="N31">
        <v>8.656542</v>
      </c>
      <c r="O31">
        <v>8.3991399999999992</v>
      </c>
      <c r="P31">
        <v>6.8035480000000002</v>
      </c>
      <c r="Q31">
        <v>6.7</v>
      </c>
      <c r="R31" t="str">
        <v/>
      </c>
      <c r="S31" t="str">
        <v/>
      </c>
      <c r="T31">
        <v>612</v>
      </c>
      <c r="U31">
        <v>488</v>
      </c>
      <c r="V31">
        <v>0.38</v>
      </c>
      <c r="W31">
        <v>5</v>
      </c>
      <c r="X31" s="5">
        <f t="shared" si="1"/>
        <v>1.1279069767441861</v>
      </c>
      <c r="Y31" s="6">
        <f t="shared" si="2"/>
        <v>1471897693</v>
      </c>
    </row>
    <row r="32" spans="2:25" hidden="1" x14ac:dyDescent="0.25">
      <c r="B32" t="str">
        <f>Siam_Chart[[#This Row],[Name]]</f>
        <v>AKS</v>
      </c>
      <c r="C32">
        <f>Siam_Chart[[#This Row],[No.]]</f>
        <v>31</v>
      </c>
      <c r="D32">
        <f>Siam_Chart[[#This Row],[Last]]</f>
        <v>2025</v>
      </c>
      <c r="E32">
        <f>Siam_Chart[[#This Row],[Chg%]]</f>
        <v>-50</v>
      </c>
      <c r="F32">
        <f>Siam_Chart[[#This Row],[Volume]]</f>
        <v>423786518</v>
      </c>
      <c r="G32">
        <f>Siam_Chart[[#This Row],[Value (k)]]</f>
        <v>5109.1522999999997</v>
      </c>
      <c r="H32" cm="1">
        <f t="array" ref="H32:W32">Siam_Chart[[#This Row],[MCap (M)]:[CG]]</f>
        <v>41</v>
      </c>
      <c r="I32">
        <v>0</v>
      </c>
      <c r="J32">
        <v>0</v>
      </c>
      <c r="K32">
        <v>0</v>
      </c>
      <c r="L32">
        <v>-0.08</v>
      </c>
      <c r="M32">
        <v>-0.08</v>
      </c>
      <c r="N32">
        <v>-42.452015000000003</v>
      </c>
      <c r="O32">
        <v>-242.06662499999999</v>
      </c>
      <c r="P32">
        <v>-150.14008000000001</v>
      </c>
      <c r="Q32">
        <v>0</v>
      </c>
      <c r="R32" t="str">
        <v/>
      </c>
      <c r="S32" t="str">
        <v/>
      </c>
      <c r="T32">
        <v>0</v>
      </c>
      <c r="U32">
        <v>0</v>
      </c>
      <c r="V32">
        <v>0</v>
      </c>
      <c r="W32">
        <v>0</v>
      </c>
      <c r="X32" s="5">
        <f t="shared" si="1"/>
        <v>0</v>
      </c>
      <c r="Y32" s="6">
        <f t="shared" si="2"/>
        <v>2.0246913580246915E-2</v>
      </c>
    </row>
    <row r="33" spans="2:25" hidden="1" x14ac:dyDescent="0.25">
      <c r="B33" t="str">
        <f>Siam_Chart[[#This Row],[Name]]</f>
        <v>ALLA</v>
      </c>
      <c r="C33">
        <f>Siam_Chart[[#This Row],[No.]]</f>
        <v>32</v>
      </c>
      <c r="D33">
        <f>Siam_Chart[[#This Row],[Last]]</f>
        <v>1.1200000000000001</v>
      </c>
      <c r="E33">
        <f>Siam_Chart[[#This Row],[Chg%]]</f>
        <v>0.9</v>
      </c>
      <c r="F33">
        <f>Siam_Chart[[#This Row],[Volume]]</f>
        <v>2503894</v>
      </c>
      <c r="G33">
        <f>Siam_Chart[[#This Row],[Value (k)]]</f>
        <v>2857589.27</v>
      </c>
      <c r="H33" cm="1">
        <f t="array" ref="H33:W33">Siam_Chart[[#This Row],[MCap (M)]:[CG]]</f>
        <v>672000000</v>
      </c>
      <c r="I33">
        <v>11.58</v>
      </c>
      <c r="J33">
        <v>0.73</v>
      </c>
      <c r="K33">
        <v>0.23381299999999999</v>
      </c>
      <c r="L33">
        <v>0.1</v>
      </c>
      <c r="M33">
        <v>0.03</v>
      </c>
      <c r="N33">
        <v>6.3425520000000004</v>
      </c>
      <c r="O33">
        <v>6.2389869999999998</v>
      </c>
      <c r="P33">
        <v>5.8756839999999997</v>
      </c>
      <c r="Q33">
        <v>8.93</v>
      </c>
      <c r="R33" t="str">
        <v/>
      </c>
      <c r="S33" t="str">
        <v/>
      </c>
      <c r="T33">
        <v>734</v>
      </c>
      <c r="U33">
        <v>624</v>
      </c>
      <c r="V33">
        <v>0.32</v>
      </c>
      <c r="W33">
        <v>5</v>
      </c>
      <c r="X33" s="5">
        <f t="shared" si="1"/>
        <v>1.5342465753424659</v>
      </c>
      <c r="Y33" s="6">
        <f t="shared" si="2"/>
        <v>600000000</v>
      </c>
    </row>
    <row r="34" spans="2:25" hidden="1" x14ac:dyDescent="0.25">
      <c r="B34" t="str">
        <f>Siam_Chart[[#This Row],[Name]]</f>
        <v>ALPHAX</v>
      </c>
      <c r="C34">
        <f>Siam_Chart[[#This Row],[No.]]</f>
        <v>33</v>
      </c>
      <c r="D34">
        <f>Siam_Chart[[#This Row],[Last]]</f>
        <v>0.24</v>
      </c>
      <c r="E34">
        <f>Siam_Chart[[#This Row],[Chg%]]</f>
        <v>0</v>
      </c>
      <c r="F34">
        <f>Siam_Chart[[#This Row],[Volume]]</f>
        <v>3353900</v>
      </c>
      <c r="G34">
        <f>Siam_Chart[[#This Row],[Value (k)]]</f>
        <v>802077</v>
      </c>
      <c r="H34" cm="1">
        <f t="array" ref="H34:W34">Siam_Chart[[#This Row],[MCap (M)]:[CG]]</f>
        <v>2230169793.1199999</v>
      </c>
      <c r="I34">
        <v>11.66</v>
      </c>
      <c r="J34">
        <v>0.38</v>
      </c>
      <c r="K34">
        <v>0.27379599999999998</v>
      </c>
      <c r="L34">
        <v>0</v>
      </c>
      <c r="M34">
        <v>3.8134255094914682</v>
      </c>
      <c r="N34">
        <v>3.8134260000000002</v>
      </c>
      <c r="O34">
        <v>3.3467319999999998</v>
      </c>
      <c r="P34">
        <v>2.8565830000000001</v>
      </c>
      <c r="Q34">
        <v>0.36</v>
      </c>
      <c r="R34" t="str">
        <v/>
      </c>
      <c r="S34" t="str">
        <v/>
      </c>
      <c r="T34">
        <v>669</v>
      </c>
      <c r="U34">
        <v>559</v>
      </c>
      <c r="V34">
        <v>-0.01</v>
      </c>
      <c r="W34">
        <v>0</v>
      </c>
      <c r="X34" s="5">
        <f t="shared" si="1"/>
        <v>0.63157894736842102</v>
      </c>
      <c r="Y34" s="6">
        <f t="shared" si="2"/>
        <v>9292374138</v>
      </c>
    </row>
    <row r="35" spans="2:25" hidden="1" x14ac:dyDescent="0.25">
      <c r="B35" t="str">
        <f>Siam_Chart[[#This Row],[Name]]</f>
        <v>ALT</v>
      </c>
      <c r="C35">
        <f>Siam_Chart[[#This Row],[No.]]</f>
        <v>34</v>
      </c>
      <c r="D35">
        <f>Siam_Chart[[#This Row],[Last]]</f>
        <v>1.68</v>
      </c>
      <c r="E35">
        <f>Siam_Chart[[#This Row],[Chg%]]</f>
        <v>0</v>
      </c>
      <c r="F35">
        <f>Siam_Chart[[#This Row],[Volume]]</f>
        <v>2962815</v>
      </c>
      <c r="G35">
        <f>Siam_Chart[[#This Row],[Value (k)]]</f>
        <v>5020616.6500000004</v>
      </c>
      <c r="H35" cm="1">
        <f t="array" ref="H35:W35">Siam_Chart[[#This Row],[MCap (M)]:[CG]]</f>
        <v>1902142063.9200001</v>
      </c>
      <c r="I35">
        <v>96.39</v>
      </c>
      <c r="J35">
        <v>1.0900000000000001</v>
      </c>
      <c r="K35">
        <v>1.569655</v>
      </c>
      <c r="L35">
        <v>0.03</v>
      </c>
      <c r="M35">
        <v>0.03</v>
      </c>
      <c r="N35">
        <v>2.140368</v>
      </c>
      <c r="O35">
        <v>1.133767</v>
      </c>
      <c r="P35">
        <v>4.0391219999999999</v>
      </c>
      <c r="Q35">
        <v>1.23</v>
      </c>
      <c r="R35" t="str">
        <v/>
      </c>
      <c r="S35" t="str">
        <v/>
      </c>
      <c r="T35">
        <v>1326</v>
      </c>
      <c r="U35">
        <v>1287</v>
      </c>
      <c r="V35">
        <v>0.57999999999999996</v>
      </c>
      <c r="W35">
        <v>5</v>
      </c>
      <c r="X35" s="5">
        <f t="shared" si="1"/>
        <v>1.5412844036697246</v>
      </c>
      <c r="Y35" s="6">
        <f t="shared" si="2"/>
        <v>1132227419</v>
      </c>
    </row>
    <row r="36" spans="2:25" hidden="1" x14ac:dyDescent="0.25">
      <c r="B36" t="str">
        <f>Siam_Chart[[#This Row],[Name]]</f>
        <v>ALUCON</v>
      </c>
      <c r="C36">
        <f>Siam_Chart[[#This Row],[No.]]</f>
        <v>35</v>
      </c>
      <c r="D36">
        <f>Siam_Chart[[#This Row],[Last]]</f>
        <v>252</v>
      </c>
      <c r="E36">
        <f>Siam_Chart[[#This Row],[Chg%]]</f>
        <v>-0.4</v>
      </c>
      <c r="F36">
        <f>Siam_Chart[[#This Row],[Volume]]</f>
        <v>607</v>
      </c>
      <c r="G36">
        <f>Siam_Chart[[#This Row],[Value (k)]]</f>
        <v>152967</v>
      </c>
      <c r="H36" cm="1">
        <f t="array" ref="H36:W36">Siam_Chart[[#This Row],[MCap (M)]:[CG]]</f>
        <v>10886396472</v>
      </c>
      <c r="I36">
        <v>10.14</v>
      </c>
      <c r="J36">
        <v>1.45</v>
      </c>
      <c r="K36">
        <v>0.18429499999999999</v>
      </c>
      <c r="L36">
        <v>16</v>
      </c>
      <c r="M36">
        <v>15.96</v>
      </c>
      <c r="N36">
        <v>15.420394</v>
      </c>
      <c r="O36">
        <v>14.659425000000001</v>
      </c>
      <c r="P36">
        <v>17.08277</v>
      </c>
      <c r="Q36">
        <v>6.35</v>
      </c>
      <c r="R36" t="str">
        <v/>
      </c>
      <c r="S36" t="str">
        <v/>
      </c>
      <c r="T36">
        <v>418</v>
      </c>
      <c r="U36">
        <v>323</v>
      </c>
      <c r="V36">
        <v>0.74</v>
      </c>
      <c r="W36">
        <v>4</v>
      </c>
      <c r="X36" s="5">
        <f t="shared" si="1"/>
        <v>173.79310344827587</v>
      </c>
      <c r="Y36" s="6">
        <f t="shared" si="2"/>
        <v>43199986</v>
      </c>
    </row>
    <row r="37" spans="2:25" hidden="1" x14ac:dyDescent="0.25">
      <c r="B37" t="str">
        <f>Siam_Chart[[#This Row],[Name]]</f>
        <v>AMA</v>
      </c>
      <c r="C37">
        <f>Siam_Chart[[#This Row],[No.]]</f>
        <v>36</v>
      </c>
      <c r="D37">
        <f>Siam_Chart[[#This Row],[Last]]</f>
        <v>3.84</v>
      </c>
      <c r="E37">
        <f>Siam_Chart[[#This Row],[Chg%]]</f>
        <v>0</v>
      </c>
      <c r="F37">
        <f>Siam_Chart[[#This Row],[Volume]]</f>
        <v>181449</v>
      </c>
      <c r="G37">
        <f>Siam_Chart[[#This Row],[Value (k)]]</f>
        <v>693292.16</v>
      </c>
      <c r="H37" cm="1">
        <f t="array" ref="H37:W37">Siam_Chart[[#This Row],[MCap (M)]:[CG]]</f>
        <v>1988800408.3199999</v>
      </c>
      <c r="I37">
        <v>12.56</v>
      </c>
      <c r="J37">
        <v>0.68</v>
      </c>
      <c r="K37">
        <v>0.408725</v>
      </c>
      <c r="L37">
        <v>0.2</v>
      </c>
      <c r="M37">
        <v>0.11</v>
      </c>
      <c r="N37">
        <v>6.2630340000000002</v>
      </c>
      <c r="O37">
        <v>5.4483309999999996</v>
      </c>
      <c r="P37">
        <v>4.3059539999999998</v>
      </c>
      <c r="Q37">
        <v>7.81</v>
      </c>
      <c r="R37" t="str">
        <v/>
      </c>
      <c r="S37" t="str">
        <v/>
      </c>
      <c r="T37">
        <v>689</v>
      </c>
      <c r="U37">
        <v>548</v>
      </c>
      <c r="V37">
        <v>0.28000000000000003</v>
      </c>
      <c r="W37">
        <v>5</v>
      </c>
      <c r="X37" s="5">
        <f t="shared" si="1"/>
        <v>5.6470588235294112</v>
      </c>
      <c r="Y37" s="6">
        <f t="shared" si="2"/>
        <v>517916773</v>
      </c>
    </row>
    <row r="38" spans="2:25" hidden="1" x14ac:dyDescent="0.25">
      <c r="B38" t="str">
        <f>Siam_Chart[[#This Row],[Name]]</f>
        <v>AMANAH</v>
      </c>
      <c r="C38">
        <f>Siam_Chart[[#This Row],[No.]]</f>
        <v>37</v>
      </c>
      <c r="D38">
        <f>Siam_Chart[[#This Row],[Last]]</f>
        <v>0.84</v>
      </c>
      <c r="E38">
        <f>Siam_Chart[[#This Row],[Chg%]]</f>
        <v>-3.45</v>
      </c>
      <c r="F38">
        <f>Siam_Chart[[#This Row],[Volume]]</f>
        <v>1407739</v>
      </c>
      <c r="G38">
        <f>Siam_Chart[[#This Row],[Value (k)]]</f>
        <v>1188648.43</v>
      </c>
      <c r="H38" cm="1">
        <f t="array" ref="H38:W38">Siam_Chart[[#This Row],[MCap (M)]:[CG]]</f>
        <v>994662371.63999999</v>
      </c>
      <c r="I38">
        <v>935456278.09000003</v>
      </c>
      <c r="J38">
        <v>0.6</v>
      </c>
      <c r="K38">
        <v>1.4252210000000001</v>
      </c>
      <c r="L38">
        <v>1.5873000000000002E-2</v>
      </c>
      <c r="M38">
        <v>-0.03</v>
      </c>
      <c r="N38">
        <v>-5.2415000000000003E-2</v>
      </c>
      <c r="O38">
        <v>-6.0756160000000001</v>
      </c>
      <c r="P38">
        <v>-8.6154440000000001</v>
      </c>
      <c r="Q38">
        <v>0.56000000000000005</v>
      </c>
      <c r="R38" t="str">
        <v/>
      </c>
      <c r="S38" t="str">
        <v/>
      </c>
      <c r="T38">
        <v>0</v>
      </c>
      <c r="U38">
        <v>0</v>
      </c>
      <c r="V38">
        <v>0</v>
      </c>
      <c r="W38">
        <v>3</v>
      </c>
      <c r="X38" s="5">
        <f t="shared" si="1"/>
        <v>1.4</v>
      </c>
      <c r="Y38" s="6">
        <f t="shared" si="2"/>
        <v>1184121871</v>
      </c>
    </row>
    <row r="39" spans="2:25" hidden="1" x14ac:dyDescent="0.25">
      <c r="B39" t="str">
        <f>Siam_Chart[[#This Row],[Name]]</f>
        <v>AMARC</v>
      </c>
      <c r="C39">
        <f>Siam_Chart[[#This Row],[No.]]</f>
        <v>38</v>
      </c>
      <c r="D39">
        <f>Siam_Chart[[#This Row],[Last]]</f>
        <v>2.96</v>
      </c>
      <c r="E39">
        <f>Siam_Chart[[#This Row],[Chg%]]</f>
        <v>-0.67</v>
      </c>
      <c r="F39">
        <f>Siam_Chart[[#This Row],[Volume]]</f>
        <v>772835</v>
      </c>
      <c r="G39">
        <f>Siam_Chart[[#This Row],[Value (k)]]</f>
        <v>2309876.34</v>
      </c>
      <c r="H39" cm="1">
        <f t="array" ref="H39:W39">Siam_Chart[[#This Row],[MCap (M)]:[CG]]</f>
        <v>1243200000</v>
      </c>
      <c r="I39">
        <v>9.32</v>
      </c>
      <c r="J39">
        <v>2.0299999999999998</v>
      </c>
      <c r="K39">
        <v>0.24549699999999999</v>
      </c>
      <c r="L39">
        <v>0.1</v>
      </c>
      <c r="M39">
        <v>0.17</v>
      </c>
      <c r="N39">
        <v>17.014088000000001</v>
      </c>
      <c r="O39">
        <v>21.214297999999999</v>
      </c>
      <c r="P39">
        <v>28.798874000000001</v>
      </c>
      <c r="Q39">
        <v>8.84</v>
      </c>
      <c r="R39" t="str">
        <v/>
      </c>
      <c r="S39" t="str">
        <v/>
      </c>
      <c r="T39">
        <v>297</v>
      </c>
      <c r="U39">
        <v>275</v>
      </c>
      <c r="V39">
        <v>0.05</v>
      </c>
      <c r="W39">
        <v>0</v>
      </c>
      <c r="X39" s="5">
        <f t="shared" si="1"/>
        <v>1.4581280788177342</v>
      </c>
      <c r="Y39" s="6">
        <f t="shared" si="2"/>
        <v>420000000</v>
      </c>
    </row>
    <row r="40" spans="2:25" hidden="1" x14ac:dyDescent="0.25">
      <c r="B40" t="str">
        <f>Siam_Chart[[#This Row],[Name]]</f>
        <v>AMARIN</v>
      </c>
      <c r="C40">
        <f>Siam_Chart[[#This Row],[No.]]</f>
        <v>39</v>
      </c>
      <c r="D40">
        <f>Siam_Chart[[#This Row],[Last]]</f>
        <v>2026</v>
      </c>
      <c r="E40">
        <f>Siam_Chart[[#This Row],[Chg%]]</f>
        <v>2.04</v>
      </c>
      <c r="F40">
        <f>Siam_Chart[[#This Row],[Volume]]</f>
        <v>5</v>
      </c>
      <c r="G40">
        <f>Siam_Chart[[#This Row],[Value (k)]]</f>
        <v>9.5</v>
      </c>
      <c r="H40" cm="1">
        <f t="array" ref="H40:W40">Siam_Chart[[#This Row],[MCap (M)]:[CG]]</f>
        <v>2036494443.5999999</v>
      </c>
      <c r="I40">
        <v>2036494443.5999999</v>
      </c>
      <c r="J40">
        <v>0.46</v>
      </c>
      <c r="K40">
        <v>0.265239</v>
      </c>
      <c r="L40">
        <v>0.06</v>
      </c>
      <c r="M40">
        <v>-0.05</v>
      </c>
      <c r="N40">
        <v>-1.2125969999999999</v>
      </c>
      <c r="O40">
        <v>-1.7631859999999999</v>
      </c>
      <c r="P40">
        <v>-3.1359029999999999</v>
      </c>
      <c r="Q40">
        <v>0.46</v>
      </c>
      <c r="R40" t="str">
        <v/>
      </c>
      <c r="S40" t="str">
        <v/>
      </c>
      <c r="T40">
        <v>0</v>
      </c>
      <c r="U40">
        <v>0</v>
      </c>
      <c r="V40">
        <v>0</v>
      </c>
      <c r="W40">
        <v>5</v>
      </c>
      <c r="X40" s="5">
        <f t="shared" si="1"/>
        <v>4404.347826086956</v>
      </c>
      <c r="Y40" s="6">
        <f t="shared" si="2"/>
        <v>1005179.8833168806</v>
      </c>
    </row>
    <row r="41" spans="2:25" hidden="1" x14ac:dyDescent="0.25">
      <c r="B41" t="str">
        <f>Siam_Chart[[#This Row],[Name]]</f>
        <v>AMATA</v>
      </c>
      <c r="C41">
        <f>Siam_Chart[[#This Row],[No.]]</f>
        <v>40</v>
      </c>
      <c r="D41">
        <f>Siam_Chart[[#This Row],[Last]]</f>
        <v>33.5</v>
      </c>
      <c r="E41">
        <f>Siam_Chart[[#This Row],[Chg%]]</f>
        <v>10.74</v>
      </c>
      <c r="F41">
        <f>Siam_Chart[[#This Row],[Volume]]</f>
        <v>40319160</v>
      </c>
      <c r="G41">
        <f>Siam_Chart[[#This Row],[Value (k)]]</f>
        <v>1345326711.5</v>
      </c>
      <c r="H41" cm="1">
        <f t="array" ref="H41:W41">Siam_Chart[[#This Row],[MCap (M)]:[CG]]</f>
        <v>38525000000</v>
      </c>
      <c r="I41">
        <v>7.49</v>
      </c>
      <c r="J41">
        <v>1.49</v>
      </c>
      <c r="K41">
        <v>1.266</v>
      </c>
      <c r="L41">
        <v>0.6</v>
      </c>
      <c r="M41">
        <v>2.58</v>
      </c>
      <c r="N41">
        <v>10.405620000000001</v>
      </c>
      <c r="O41">
        <v>21.462084999999998</v>
      </c>
      <c r="P41">
        <v>39.919186000000003</v>
      </c>
      <c r="Q41">
        <v>3.28</v>
      </c>
      <c r="R41" t="str">
        <v/>
      </c>
      <c r="S41" t="str">
        <v/>
      </c>
      <c r="T41">
        <v>321</v>
      </c>
      <c r="U41">
        <v>401</v>
      </c>
      <c r="V41">
        <v>0.33</v>
      </c>
      <c r="W41">
        <v>5</v>
      </c>
      <c r="X41" s="5">
        <f t="shared" si="1"/>
        <v>22.483221476510067</v>
      </c>
      <c r="Y41" s="6">
        <f t="shared" si="2"/>
        <v>1150000000</v>
      </c>
    </row>
    <row r="42" spans="2:25" hidden="1" x14ac:dyDescent="0.25">
      <c r="B42" t="str">
        <f>Siam_Chart[[#This Row],[Name]]</f>
        <v>AMATAV</v>
      </c>
      <c r="C42">
        <f>Siam_Chart[[#This Row],[No.]]</f>
        <v>41</v>
      </c>
      <c r="D42">
        <f>Siam_Chart[[#This Row],[Last]]</f>
        <v>2.2999999999999998</v>
      </c>
      <c r="E42">
        <f>Siam_Chart[[#This Row],[Chg%]]</f>
        <v>0.88</v>
      </c>
      <c r="F42">
        <f>Siam_Chart[[#This Row],[Volume]]</f>
        <v>81914</v>
      </c>
      <c r="G42">
        <f>Siam_Chart[[#This Row],[Value (k)]]</f>
        <v>189704.48</v>
      </c>
      <c r="H42" cm="1">
        <f t="array" ref="H42:W42">Siam_Chart[[#This Row],[MCap (M)]:[CG]]</f>
        <v>2451566009.5</v>
      </c>
      <c r="I42">
        <v>3.33</v>
      </c>
      <c r="J42">
        <v>0.43</v>
      </c>
      <c r="K42">
        <v>1.1314310000000001</v>
      </c>
      <c r="L42">
        <v>0.05</v>
      </c>
      <c r="M42">
        <v>0.34</v>
      </c>
      <c r="N42">
        <v>9.0490259999999996</v>
      </c>
      <c r="O42">
        <v>13.847670000000001</v>
      </c>
      <c r="P42">
        <v>20.949895999999999</v>
      </c>
      <c r="Q42">
        <v>0.42</v>
      </c>
      <c r="R42" t="str">
        <v/>
      </c>
      <c r="S42" t="str">
        <v/>
      </c>
      <c r="T42">
        <v>185</v>
      </c>
      <c r="U42">
        <v>214</v>
      </c>
      <c r="V42">
        <v>0.03</v>
      </c>
      <c r="W42">
        <v>5</v>
      </c>
      <c r="X42" s="5">
        <f t="shared" si="1"/>
        <v>5.3488372093023253</v>
      </c>
      <c r="Y42" s="6">
        <f t="shared" si="2"/>
        <v>1065898265.0000001</v>
      </c>
    </row>
    <row r="43" spans="2:25" hidden="1" x14ac:dyDescent="0.25">
      <c r="B43" t="str">
        <f>Siam_Chart[[#This Row],[Name]]</f>
        <v>AMC</v>
      </c>
      <c r="C43">
        <f>Siam_Chart[[#This Row],[No.]]</f>
        <v>42</v>
      </c>
      <c r="D43">
        <f>Siam_Chart[[#This Row],[Last]]</f>
        <v>2.46</v>
      </c>
      <c r="E43">
        <f>Siam_Chart[[#This Row],[Chg%]]</f>
        <v>-0.81</v>
      </c>
      <c r="F43">
        <f>Siam_Chart[[#This Row],[Volume]]</f>
        <v>19602</v>
      </c>
      <c r="G43">
        <f>Siam_Chart[[#This Row],[Value (k)]]</f>
        <v>47804.84</v>
      </c>
      <c r="H43" cm="1">
        <f t="array" ref="H43:W43">Siam_Chart[[#This Row],[MCap (M)]:[CG]]</f>
        <v>1181036841.4200001</v>
      </c>
      <c r="I43">
        <v>12.68</v>
      </c>
      <c r="J43">
        <v>0.35</v>
      </c>
      <c r="K43">
        <v>0.474634</v>
      </c>
      <c r="L43">
        <v>0.08</v>
      </c>
      <c r="M43">
        <v>0.25</v>
      </c>
      <c r="N43">
        <v>2.9932759999999998</v>
      </c>
      <c r="O43">
        <v>2.79664</v>
      </c>
      <c r="P43">
        <v>4.7989040000000003</v>
      </c>
      <c r="Q43">
        <v>3.25</v>
      </c>
      <c r="R43" t="str">
        <v/>
      </c>
      <c r="S43" t="str">
        <v/>
      </c>
      <c r="T43">
        <v>1346</v>
      </c>
      <c r="U43">
        <v>1335</v>
      </c>
      <c r="V43">
        <v>-0.31</v>
      </c>
      <c r="W43">
        <v>4</v>
      </c>
      <c r="X43" s="5">
        <f t="shared" si="1"/>
        <v>7.0285714285714294</v>
      </c>
      <c r="Y43" s="6">
        <f t="shared" si="2"/>
        <v>480096277.00000006</v>
      </c>
    </row>
    <row r="44" spans="2:25" hidden="1" x14ac:dyDescent="0.25">
      <c r="B44" t="str">
        <f>Siam_Chart[[#This Row],[Name]]</f>
        <v>AMR</v>
      </c>
      <c r="C44">
        <f>Siam_Chart[[#This Row],[No.]]</f>
        <v>43</v>
      </c>
      <c r="D44">
        <f>Siam_Chart[[#This Row],[Last]]</f>
        <v>0.4</v>
      </c>
      <c r="E44">
        <f>Siam_Chart[[#This Row],[Chg%]]</f>
        <v>-2.44</v>
      </c>
      <c r="F44">
        <f>Siam_Chart[[#This Row],[Volume]]</f>
        <v>331900</v>
      </c>
      <c r="G44">
        <f>Siam_Chart[[#This Row],[Value (k)]]</f>
        <v>131033</v>
      </c>
      <c r="H44" cm="1">
        <f t="array" ref="H44:W44">Siam_Chart[[#This Row],[MCap (M)]:[CG]]</f>
        <v>236284000</v>
      </c>
      <c r="I44">
        <v>236284000</v>
      </c>
      <c r="J44">
        <v>0.37</v>
      </c>
      <c r="K44">
        <v>1.199257</v>
      </c>
      <c r="L44">
        <v>0.05</v>
      </c>
      <c r="M44">
        <v>-0.16</v>
      </c>
      <c r="N44">
        <v>-10.348411</v>
      </c>
      <c r="O44">
        <v>-23.061273</v>
      </c>
      <c r="P44">
        <v>-41.180162000000003</v>
      </c>
      <c r="Q44">
        <v>0.37</v>
      </c>
      <c r="R44" t="str">
        <v/>
      </c>
      <c r="S44" t="str">
        <v/>
      </c>
      <c r="T44">
        <v>0</v>
      </c>
      <c r="U44">
        <v>0</v>
      </c>
      <c r="V44">
        <v>0</v>
      </c>
      <c r="W44">
        <v>3</v>
      </c>
      <c r="X44" s="5">
        <f t="shared" si="1"/>
        <v>1.0810810810810811</v>
      </c>
      <c r="Y44" s="6">
        <f t="shared" si="2"/>
        <v>590710000</v>
      </c>
    </row>
    <row r="45" spans="2:25" hidden="1" x14ac:dyDescent="0.25">
      <c r="B45" t="str">
        <f>Siam_Chart[[#This Row],[Name]]</f>
        <v>ANAN</v>
      </c>
      <c r="C45">
        <f>Siam_Chart[[#This Row],[No.]]</f>
        <v>44</v>
      </c>
      <c r="D45">
        <f>Siam_Chart[[#This Row],[Last]]</f>
        <v>0.32</v>
      </c>
      <c r="E45">
        <f>Siam_Chart[[#This Row],[Chg%]]</f>
        <v>0</v>
      </c>
      <c r="F45">
        <f>Siam_Chart[[#This Row],[Volume]]</f>
        <v>977516</v>
      </c>
      <c r="G45">
        <f>Siam_Chart[[#This Row],[Value (k)]]</f>
        <v>311941.21999999997</v>
      </c>
      <c r="H45" cm="1">
        <f t="array" ref="H45:W45">Siam_Chart[[#This Row],[MCap (M)]:[CG]]</f>
        <v>1333201650.24</v>
      </c>
      <c r="I45">
        <v>1291539098.6700001</v>
      </c>
      <c r="J45">
        <v>0.12</v>
      </c>
      <c r="K45">
        <v>1.2469790000000001</v>
      </c>
      <c r="L45">
        <v>-0.1</v>
      </c>
      <c r="M45">
        <v>-0.1</v>
      </c>
      <c r="N45">
        <v>2.2223649999999999</v>
      </c>
      <c r="O45">
        <v>-2.5595970000000001</v>
      </c>
      <c r="P45">
        <v>-10.376499000000001</v>
      </c>
      <c r="Q45">
        <v>0.12</v>
      </c>
      <c r="R45" t="str">
        <v/>
      </c>
      <c r="S45" t="str">
        <v/>
      </c>
      <c r="T45">
        <v>730</v>
      </c>
      <c r="U45">
        <v>598</v>
      </c>
      <c r="V45">
        <v>-0.5</v>
      </c>
      <c r="W45">
        <v>4</v>
      </c>
      <c r="X45" s="5">
        <f t="shared" si="1"/>
        <v>2.666666666666667</v>
      </c>
      <c r="Y45" s="6">
        <f t="shared" si="2"/>
        <v>4166255157</v>
      </c>
    </row>
    <row r="46" spans="2:25" ht="15.75" thickTop="1" x14ac:dyDescent="0.25">
      <c r="B46" t="str">
        <f>Siam_Chart[[#This Row],[Name]]</f>
        <v>ANI</v>
      </c>
      <c r="C46">
        <f>Siam_Chart[[#This Row],[No.]]</f>
        <v>45</v>
      </c>
      <c r="D46">
        <f>Siam_Chart[[#This Row],[Last]]</f>
        <v>3.6</v>
      </c>
      <c r="E46">
        <f>Siam_Chart[[#This Row],[Chg%]]</f>
        <v>2.27</v>
      </c>
      <c r="F46">
        <f>Siam_Chart[[#This Row],[Volume]]</f>
        <v>714800</v>
      </c>
      <c r="G46">
        <f>Siam_Chart[[#This Row],[Value (k)]]</f>
        <v>2575438</v>
      </c>
      <c r="H46" cm="1">
        <f t="array" ref="H46:W46">Siam_Chart[[#This Row],[MCap (M)]:[CG]]</f>
        <v>6652800000</v>
      </c>
      <c r="I46">
        <v>9.86</v>
      </c>
      <c r="J46">
        <v>0.79</v>
      </c>
      <c r="K46">
        <v>0.220834</v>
      </c>
      <c r="L46">
        <v>0.05</v>
      </c>
      <c r="M46">
        <v>0.2</v>
      </c>
      <c r="N46">
        <v>9.2546029999999995</v>
      </c>
      <c r="O46">
        <v>8.2167820000000003</v>
      </c>
      <c r="P46">
        <v>9.8053310000000007</v>
      </c>
      <c r="Q46">
        <v>5.56</v>
      </c>
      <c r="R46" t="str">
        <v/>
      </c>
      <c r="S46" t="str">
        <v/>
      </c>
      <c r="T46">
        <v>588</v>
      </c>
      <c r="U46">
        <v>439</v>
      </c>
      <c r="V46">
        <v>-0.64</v>
      </c>
      <c r="W46">
        <v>3</v>
      </c>
      <c r="X46" s="5">
        <f t="shared" si="1"/>
        <v>4.556962025316456</v>
      </c>
      <c r="Y46" s="6">
        <f t="shared" si="2"/>
        <v>1848000000</v>
      </c>
    </row>
    <row r="47" spans="2:25" x14ac:dyDescent="0.25">
      <c r="B47" t="str">
        <f>Siam_Chart[[#This Row],[Name]]</f>
        <v>AOT</v>
      </c>
      <c r="C47">
        <f>Siam_Chart[[#This Row],[No.]]</f>
        <v>46</v>
      </c>
      <c r="D47">
        <f>Siam_Chart[[#This Row],[Last]]</f>
        <v>65</v>
      </c>
      <c r="E47">
        <f>Siam_Chart[[#This Row],[Chg%]]</f>
        <v>-1.89</v>
      </c>
      <c r="F47">
        <f>Siam_Chart[[#This Row],[Volume]]</f>
        <v>24619021</v>
      </c>
      <c r="G47">
        <f>Siam_Chart[[#This Row],[Value (k)]]</f>
        <v>1613601292.25</v>
      </c>
      <c r="H47" cm="1">
        <f t="array" ref="H47:W47">Siam_Chart[[#This Row],[MCap (M)]:[CG]]</f>
        <v>928570500000</v>
      </c>
      <c r="I47">
        <v>49.72</v>
      </c>
      <c r="J47">
        <v>6.92</v>
      </c>
      <c r="K47">
        <v>0.51793999999999996</v>
      </c>
      <c r="L47">
        <v>0.81</v>
      </c>
      <c r="M47">
        <v>1.04</v>
      </c>
      <c r="N47">
        <v>12.635168</v>
      </c>
      <c r="O47">
        <v>14.303940000000001</v>
      </c>
      <c r="P47">
        <v>29.486359</v>
      </c>
      <c r="Q47">
        <v>1.25</v>
      </c>
      <c r="R47" t="str">
        <v/>
      </c>
      <c r="S47" t="str">
        <v/>
      </c>
      <c r="T47">
        <v>813</v>
      </c>
      <c r="U47">
        <v>764</v>
      </c>
      <c r="V47">
        <v>-2.02</v>
      </c>
      <c r="W47">
        <v>5</v>
      </c>
      <c r="X47" s="5">
        <f t="shared" si="1"/>
        <v>9.3930635838150298</v>
      </c>
      <c r="Y47" s="6">
        <f t="shared" si="2"/>
        <v>14285700000</v>
      </c>
    </row>
    <row r="48" spans="2:25" x14ac:dyDescent="0.25">
      <c r="B48" t="str">
        <f>Siam_Chart[[#This Row],[Name]]</f>
        <v>AP</v>
      </c>
      <c r="C48">
        <f>Siam_Chart[[#This Row],[No.]]</f>
        <v>47</v>
      </c>
      <c r="D48">
        <f>Siam_Chart[[#This Row],[Last]]</f>
        <v>8.25</v>
      </c>
      <c r="E48">
        <f>Siam_Chart[[#This Row],[Chg%]]</f>
        <v>0</v>
      </c>
      <c r="F48">
        <f>Siam_Chart[[#This Row],[Volume]]</f>
        <v>6494113</v>
      </c>
      <c r="G48">
        <f>Siam_Chart[[#This Row],[Value (k)]]</f>
        <v>53599440.950000003</v>
      </c>
      <c r="H48" cm="1">
        <f t="array" ref="H48:W48">Siam_Chart[[#This Row],[MCap (M)]:[CG]]</f>
        <v>25953670833.75</v>
      </c>
      <c r="I48">
        <v>5.88</v>
      </c>
      <c r="J48">
        <v>0.56000000000000005</v>
      </c>
      <c r="K48">
        <v>0.89804399999999995</v>
      </c>
      <c r="L48">
        <v>0.52</v>
      </c>
      <c r="M48">
        <v>0.63</v>
      </c>
      <c r="N48">
        <v>6.9638689999999999</v>
      </c>
      <c r="O48">
        <v>9.8022469999999995</v>
      </c>
      <c r="P48">
        <v>9.6344890000000003</v>
      </c>
      <c r="Q48">
        <v>6.3</v>
      </c>
      <c r="R48" t="str">
        <v/>
      </c>
      <c r="S48" t="str">
        <v/>
      </c>
      <c r="T48">
        <v>364</v>
      </c>
      <c r="U48">
        <v>375</v>
      </c>
      <c r="V48">
        <v>18.260000000000002</v>
      </c>
      <c r="W48">
        <v>5</v>
      </c>
      <c r="X48" s="5">
        <f t="shared" ref="X48" si="3">IFERROR(D48/J48,0)</f>
        <v>14.732142857142856</v>
      </c>
      <c r="Y48" s="6">
        <f t="shared" ref="Y48" si="4">IFERROR(H48/D48,0)</f>
        <v>3145899495</v>
      </c>
    </row>
    <row r="49" spans="2:25" x14ac:dyDescent="0.25">
      <c r="B49" t="str">
        <f>Siam_Chart[[#This Row],[Name]]</f>
        <v>APCO</v>
      </c>
      <c r="C49">
        <f>Siam_Chart[[#This Row],[No.]]</f>
        <v>48</v>
      </c>
      <c r="D49">
        <f>Siam_Chart[[#This Row],[Last]]</f>
        <v>2.54</v>
      </c>
      <c r="E49">
        <f>Siam_Chart[[#This Row],[Chg%]]</f>
        <v>0</v>
      </c>
      <c r="F49">
        <f>Siam_Chart[[#This Row],[Volume]]</f>
        <v>5605</v>
      </c>
      <c r="G49">
        <f>Siam_Chart[[#This Row],[Value (k)]]</f>
        <v>14128.66</v>
      </c>
      <c r="H49" cm="1">
        <f t="array" ref="H49:W49">Siam_Chart[[#This Row],[MCap (M)]:[CG]]</f>
        <v>1524000000</v>
      </c>
      <c r="I49">
        <v>26.36</v>
      </c>
      <c r="J49">
        <v>2.86</v>
      </c>
      <c r="K49">
        <v>0.107046</v>
      </c>
      <c r="L49">
        <v>9.0999999999999998E-2</v>
      </c>
      <c r="M49">
        <v>0.05</v>
      </c>
      <c r="N49">
        <v>12.429067999999999</v>
      </c>
      <c r="O49">
        <v>10.947322</v>
      </c>
      <c r="P49">
        <v>29.869924000000001</v>
      </c>
      <c r="Q49">
        <v>3.58</v>
      </c>
      <c r="R49" t="str">
        <v/>
      </c>
      <c r="S49" t="str">
        <v/>
      </c>
      <c r="T49">
        <v>855</v>
      </c>
      <c r="U49">
        <v>718</v>
      </c>
      <c r="V49">
        <v>36.86</v>
      </c>
      <c r="W49">
        <v>4</v>
      </c>
      <c r="X49" s="5">
        <f t="shared" si="1"/>
        <v>0.88811188811188813</v>
      </c>
      <c r="Y49" s="6">
        <f t="shared" si="2"/>
        <v>600000000</v>
      </c>
    </row>
    <row r="50" spans="2:25" x14ac:dyDescent="0.25">
      <c r="B50" t="str">
        <f>Siam_Chart[[#This Row],[Name]]</f>
        <v>APCS</v>
      </c>
      <c r="C50">
        <f>Siam_Chart[[#This Row],[No.]]</f>
        <v>49</v>
      </c>
      <c r="D50">
        <f>Siam_Chart[[#This Row],[Last]]</f>
        <v>1.17</v>
      </c>
      <c r="E50">
        <f>Siam_Chart[[#This Row],[Chg%]]</f>
        <v>-2.5</v>
      </c>
      <c r="F50">
        <f>Siam_Chart[[#This Row],[Volume]]</f>
        <v>313500</v>
      </c>
      <c r="G50">
        <f>Siam_Chart[[#This Row],[Value (k)]]</f>
        <v>385605</v>
      </c>
      <c r="H50" cm="1">
        <f t="array" ref="H50:W50">Siam_Chart[[#This Row],[MCap (M)]:[CG]]</f>
        <v>811799830.25999999</v>
      </c>
      <c r="I50">
        <v>791999834.39999998</v>
      </c>
      <c r="J50">
        <v>0.74</v>
      </c>
      <c r="K50">
        <v>1.466189</v>
      </c>
      <c r="L50">
        <v>0.06</v>
      </c>
      <c r="M50">
        <v>-0.18</v>
      </c>
      <c r="N50">
        <v>-15.629621</v>
      </c>
      <c r="O50">
        <v>-37.373882000000002</v>
      </c>
      <c r="P50">
        <v>-28.065045000000001</v>
      </c>
      <c r="Q50">
        <v>0.72</v>
      </c>
      <c r="R50" t="str">
        <v/>
      </c>
      <c r="S50" t="str">
        <v/>
      </c>
      <c r="T50">
        <v>0</v>
      </c>
      <c r="U50">
        <v>0</v>
      </c>
      <c r="V50">
        <v>0</v>
      </c>
      <c r="W50">
        <v>4</v>
      </c>
      <c r="X50" s="5">
        <f t="shared" si="1"/>
        <v>1.5810810810810809</v>
      </c>
      <c r="Y50" s="6">
        <f t="shared" si="2"/>
        <v>693846008.76923084</v>
      </c>
    </row>
    <row r="51" spans="2:25" x14ac:dyDescent="0.25">
      <c r="B51" t="str">
        <f>Siam_Chart[[#This Row],[Name]]</f>
        <v>APO</v>
      </c>
      <c r="C51">
        <f>Siam_Chart[[#This Row],[No.]]</f>
        <v>50</v>
      </c>
      <c r="D51">
        <f>Siam_Chart[[#This Row],[Last]]</f>
        <v>1.76</v>
      </c>
      <c r="E51">
        <f>Siam_Chart[[#This Row],[Chg%]]</f>
        <v>0</v>
      </c>
      <c r="F51">
        <f>Siam_Chart[[#This Row],[Volume]]</f>
        <v>734150</v>
      </c>
      <c r="G51">
        <f>Siam_Chart[[#This Row],[Value (k)]]</f>
        <v>1293588.5</v>
      </c>
      <c r="H51" cm="1">
        <f t="array" ref="H51:W51">Siam_Chart[[#This Row],[MCap (M)]:[CG]]</f>
        <v>598400000</v>
      </c>
      <c r="I51">
        <v>14.21</v>
      </c>
      <c r="J51">
        <v>1.28</v>
      </c>
      <c r="K51">
        <v>0.35277900000000001</v>
      </c>
      <c r="L51">
        <v>0.05</v>
      </c>
      <c r="M51">
        <v>6.8195252335075045</v>
      </c>
      <c r="N51">
        <v>6.8195249999999996</v>
      </c>
      <c r="O51">
        <v>8.7072009999999995</v>
      </c>
      <c r="P51">
        <v>-8.8938000000000003E-2</v>
      </c>
      <c r="Q51">
        <v>12.5</v>
      </c>
      <c r="R51" t="str">
        <v/>
      </c>
      <c r="S51" t="str">
        <v/>
      </c>
      <c r="T51">
        <v>45</v>
      </c>
      <c r="U51">
        <v>30</v>
      </c>
      <c r="V51">
        <v>0.01</v>
      </c>
      <c r="W51">
        <v>0</v>
      </c>
      <c r="X51" s="5">
        <f t="shared" si="1"/>
        <v>1.375</v>
      </c>
      <c r="Y51" s="6">
        <f t="shared" si="2"/>
        <v>340000000</v>
      </c>
    </row>
    <row r="52" spans="2:25" x14ac:dyDescent="0.25">
      <c r="B52" t="str">
        <f>Siam_Chart[[#This Row],[Name]]</f>
        <v>APP</v>
      </c>
      <c r="C52">
        <f>Siam_Chart[[#This Row],[No.]]</f>
        <v>51</v>
      </c>
      <c r="D52">
        <f>Siam_Chart[[#This Row],[Last]]</f>
        <v>3.1</v>
      </c>
      <c r="E52">
        <f>Siam_Chart[[#This Row],[Chg%]]</f>
        <v>-0.64</v>
      </c>
      <c r="F52">
        <f>Siam_Chart[[#This Row],[Volume]]</f>
        <v>231655</v>
      </c>
      <c r="G52">
        <f>Siam_Chart[[#This Row],[Value (k)]]</f>
        <v>716780.54</v>
      </c>
      <c r="H52" cm="1">
        <f t="array" ref="H52:W52">Siam_Chart[[#This Row],[MCap (M)]:[CG]]</f>
        <v>868000000</v>
      </c>
      <c r="I52">
        <v>7.53</v>
      </c>
      <c r="J52">
        <v>1.94</v>
      </c>
      <c r="K52">
        <v>1.2900370000000001</v>
      </c>
      <c r="L52">
        <v>0.23</v>
      </c>
      <c r="M52">
        <v>0.24</v>
      </c>
      <c r="N52">
        <v>14.899381</v>
      </c>
      <c r="O52">
        <v>27.279167999999999</v>
      </c>
      <c r="P52">
        <v>11.717853</v>
      </c>
      <c r="Q52">
        <v>7.42</v>
      </c>
      <c r="R52" t="str">
        <v/>
      </c>
      <c r="S52" t="str">
        <v/>
      </c>
      <c r="T52">
        <v>145</v>
      </c>
      <c r="U52">
        <v>172</v>
      </c>
      <c r="V52">
        <v>0.38</v>
      </c>
      <c r="W52">
        <v>0</v>
      </c>
      <c r="X52" s="5">
        <f t="shared" si="1"/>
        <v>1.597938144329897</v>
      </c>
      <c r="Y52" s="6">
        <f t="shared" si="2"/>
        <v>280000000</v>
      </c>
    </row>
    <row r="53" spans="2:25" x14ac:dyDescent="0.25">
      <c r="B53" t="str">
        <f>Siam_Chart[[#This Row],[Name]]</f>
        <v>APURE</v>
      </c>
      <c r="C53">
        <f>Siam_Chart[[#This Row],[No.]]</f>
        <v>52</v>
      </c>
      <c r="D53">
        <f>Siam_Chart[[#This Row],[Last]]</f>
        <v>2.4</v>
      </c>
      <c r="E53">
        <f>Siam_Chart[[#This Row],[Chg%]]</f>
        <v>0.84</v>
      </c>
      <c r="F53">
        <f>Siam_Chart[[#This Row],[Volume]]</f>
        <v>719710</v>
      </c>
      <c r="G53">
        <f>Siam_Chart[[#This Row],[Value (k)]]</f>
        <v>1703947.4</v>
      </c>
      <c r="H53" cm="1">
        <f t="array" ref="H53:W53">Siam_Chart[[#This Row],[MCap (M)]:[CG]]</f>
        <v>2299868148</v>
      </c>
      <c r="I53">
        <v>1974053493.7</v>
      </c>
      <c r="J53">
        <v>1.04</v>
      </c>
      <c r="K53">
        <v>0.19984499999999999</v>
      </c>
      <c r="L53">
        <v>0.22</v>
      </c>
      <c r="M53">
        <v>7.0000000000000007E-2</v>
      </c>
      <c r="N53">
        <v>-7.6084189999999996</v>
      </c>
      <c r="O53">
        <v>-8.2747030000000006</v>
      </c>
      <c r="P53">
        <v>6.9619929999999997</v>
      </c>
      <c r="Q53">
        <v>0.89</v>
      </c>
      <c r="R53" t="str">
        <v/>
      </c>
      <c r="S53" t="str">
        <v/>
      </c>
      <c r="T53">
        <v>0</v>
      </c>
      <c r="U53">
        <v>0</v>
      </c>
      <c r="V53">
        <v>0</v>
      </c>
      <c r="W53">
        <v>3</v>
      </c>
      <c r="X53" s="5">
        <f t="shared" si="1"/>
        <v>2.3076923076923075</v>
      </c>
      <c r="Y53" s="6">
        <f t="shared" si="2"/>
        <v>958278395</v>
      </c>
    </row>
    <row r="54" spans="2:25" x14ac:dyDescent="0.25">
      <c r="B54" t="str">
        <f>Siam_Chart[[#This Row],[Name]]</f>
        <v>AQUA</v>
      </c>
      <c r="C54">
        <f>Siam_Chart[[#This Row],[No.]]</f>
        <v>53</v>
      </c>
      <c r="D54">
        <f>Siam_Chart[[#This Row],[Last]]</f>
        <v>0.1</v>
      </c>
      <c r="E54">
        <f>Siam_Chart[[#This Row],[Chg%]]</f>
        <v>0</v>
      </c>
      <c r="F54">
        <f>Siam_Chart[[#This Row],[Volume]]</f>
        <v>4249110</v>
      </c>
      <c r="G54">
        <f>Siam_Chart[[#This Row],[Value (k)]]</f>
        <v>424908</v>
      </c>
      <c r="H54" cm="1">
        <f t="array" ref="H54:W54">Siam_Chart[[#This Row],[MCap (M)]:[CG]]</f>
        <v>571245718.70000005</v>
      </c>
      <c r="I54">
        <v>571245718.70000005</v>
      </c>
      <c r="J54">
        <v>0.14000000000000001</v>
      </c>
      <c r="K54">
        <v>0.61443499999999995</v>
      </c>
      <c r="L54">
        <v>0.01</v>
      </c>
      <c r="M54">
        <v>0.01</v>
      </c>
      <c r="N54">
        <v>-6.0557299999999996</v>
      </c>
      <c r="O54">
        <v>-13.304874</v>
      </c>
      <c r="P54">
        <v>6.2153470000000004</v>
      </c>
      <c r="Q54">
        <v>0.14000000000000001</v>
      </c>
      <c r="R54" t="str">
        <v/>
      </c>
      <c r="S54" t="str">
        <v/>
      </c>
      <c r="T54">
        <v>0</v>
      </c>
      <c r="U54">
        <v>0</v>
      </c>
      <c r="V54">
        <v>0</v>
      </c>
      <c r="W54">
        <v>0</v>
      </c>
      <c r="X54" s="5">
        <f t="shared" si="1"/>
        <v>0.7142857142857143</v>
      </c>
      <c r="Y54" s="6">
        <f t="shared" si="2"/>
        <v>5712457187</v>
      </c>
    </row>
    <row r="55" spans="2:25" x14ac:dyDescent="0.25">
      <c r="B55" t="str">
        <f>Siam_Chart[[#This Row],[Name]]</f>
        <v>ARIN</v>
      </c>
      <c r="C55">
        <f>Siam_Chart[[#This Row],[No.]]</f>
        <v>54</v>
      </c>
      <c r="D55">
        <f>Siam_Chart[[#This Row],[Last]]</f>
        <v>0.47</v>
      </c>
      <c r="E55">
        <f>Siam_Chart[[#This Row],[Chg%]]</f>
        <v>-2.08</v>
      </c>
      <c r="F55">
        <f>Siam_Chart[[#This Row],[Volume]]</f>
        <v>164019</v>
      </c>
      <c r="G55">
        <f>Siam_Chart[[#This Row],[Value (k)]]</f>
        <v>77347.929999999993</v>
      </c>
      <c r="H55" cm="1">
        <f t="array" ref="H55:W55">Siam_Chart[[#This Row],[MCap (M)]:[CG]]</f>
        <v>282000000</v>
      </c>
      <c r="I55">
        <v>288000000</v>
      </c>
      <c r="J55">
        <v>1.02</v>
      </c>
      <c r="K55">
        <v>1.855588</v>
      </c>
      <c r="L55">
        <v>-0.04</v>
      </c>
      <c r="M55">
        <v>-0.04</v>
      </c>
      <c r="N55">
        <v>-2.4987249999999999</v>
      </c>
      <c r="O55">
        <v>-13.672439000000001</v>
      </c>
      <c r="P55">
        <v>-185.024689</v>
      </c>
      <c r="Q55">
        <v>1.04</v>
      </c>
      <c r="R55" t="str">
        <v/>
      </c>
      <c r="S55" t="str">
        <v/>
      </c>
      <c r="T55">
        <v>0</v>
      </c>
      <c r="U55">
        <v>0</v>
      </c>
      <c r="V55">
        <v>0</v>
      </c>
      <c r="W55">
        <v>3</v>
      </c>
      <c r="X55" s="5">
        <f t="shared" si="1"/>
        <v>0.46078431372549017</v>
      </c>
      <c r="Y55" s="6">
        <f t="shared" si="2"/>
        <v>600000000</v>
      </c>
    </row>
    <row r="56" spans="2:25" x14ac:dyDescent="0.25">
      <c r="B56" t="str">
        <f>Siam_Chart[[#This Row],[Name]]</f>
        <v>ARIP</v>
      </c>
      <c r="C56">
        <f>Siam_Chart[[#This Row],[No.]]</f>
        <v>55</v>
      </c>
      <c r="D56">
        <f>Siam_Chart[[#This Row],[Last]]</f>
        <v>0.45</v>
      </c>
      <c r="E56">
        <f>Siam_Chart[[#This Row],[Chg%]]</f>
        <v>2.27</v>
      </c>
      <c r="F56">
        <f>Siam_Chart[[#This Row],[Volume]]</f>
        <v>6219135</v>
      </c>
      <c r="G56">
        <f>Siam_Chart[[#This Row],[Value (k)]]</f>
        <v>2902083.76</v>
      </c>
      <c r="H56" cm="1">
        <f t="array" ref="H56:W56">Siam_Chart[[#This Row],[MCap (M)]:[CG]]</f>
        <v>209700000</v>
      </c>
      <c r="I56">
        <v>21.86</v>
      </c>
      <c r="J56">
        <v>0.93</v>
      </c>
      <c r="K56">
        <v>0.28350900000000001</v>
      </c>
      <c r="L56">
        <v>0.02</v>
      </c>
      <c r="M56">
        <v>0.01</v>
      </c>
      <c r="N56">
        <v>3.8330669999999998</v>
      </c>
      <c r="O56">
        <v>4.2729470000000003</v>
      </c>
      <c r="P56">
        <v>2.981563</v>
      </c>
      <c r="Q56">
        <v>4.4400000000000004</v>
      </c>
      <c r="R56" t="str">
        <v/>
      </c>
      <c r="S56" t="str">
        <v/>
      </c>
      <c r="T56">
        <v>1111</v>
      </c>
      <c r="U56">
        <v>1083</v>
      </c>
      <c r="V56">
        <v>0.64</v>
      </c>
      <c r="W56">
        <v>5</v>
      </c>
      <c r="X56" s="5">
        <f t="shared" si="1"/>
        <v>0.48387096774193544</v>
      </c>
      <c r="Y56" s="6">
        <f t="shared" si="2"/>
        <v>466000000</v>
      </c>
    </row>
    <row r="57" spans="2:25" x14ac:dyDescent="0.25">
      <c r="B57" t="str">
        <f>Siam_Chart[[#This Row],[Name]]</f>
        <v>ARROW</v>
      </c>
      <c r="C57">
        <f>Siam_Chart[[#This Row],[No.]]</f>
        <v>56</v>
      </c>
      <c r="D57">
        <f>Siam_Chart[[#This Row],[Last]]</f>
        <v>5.7</v>
      </c>
      <c r="E57">
        <f>Siam_Chart[[#This Row],[Chg%]]</f>
        <v>0</v>
      </c>
      <c r="F57">
        <f>Siam_Chart[[#This Row],[Volume]]</f>
        <v>33616</v>
      </c>
      <c r="G57">
        <f>Siam_Chart[[#This Row],[Value (k)]]</f>
        <v>191590.45</v>
      </c>
      <c r="H57" cm="1">
        <f t="array" ref="H57:W57">Siam_Chart[[#This Row],[MCap (M)]:[CG]]</f>
        <v>1464312352.8</v>
      </c>
      <c r="I57">
        <v>9.06</v>
      </c>
      <c r="J57">
        <v>1.0900000000000001</v>
      </c>
      <c r="K57">
        <v>0.35508800000000001</v>
      </c>
      <c r="L57">
        <v>0.1</v>
      </c>
      <c r="M57">
        <v>0.38</v>
      </c>
      <c r="N57">
        <v>12.116803000000001</v>
      </c>
      <c r="O57">
        <v>12.299837999999999</v>
      </c>
      <c r="P57">
        <v>14.768858</v>
      </c>
      <c r="Q57">
        <v>7.02</v>
      </c>
      <c r="R57" t="str">
        <v/>
      </c>
      <c r="S57" t="str">
        <v/>
      </c>
      <c r="T57">
        <v>422</v>
      </c>
      <c r="U57">
        <v>333</v>
      </c>
      <c r="V57">
        <v>2.71</v>
      </c>
      <c r="W57">
        <v>3</v>
      </c>
      <c r="X57" s="5">
        <f t="shared" si="1"/>
        <v>5.2293577981651378</v>
      </c>
      <c r="Y57" s="6">
        <f t="shared" si="2"/>
        <v>256896903.99999997</v>
      </c>
    </row>
    <row r="58" spans="2:25" x14ac:dyDescent="0.25">
      <c r="B58" t="str">
        <f>Siam_Chart[[#This Row],[Name]]</f>
        <v>AS</v>
      </c>
      <c r="C58">
        <f>Siam_Chart[[#This Row],[No.]]</f>
        <v>57</v>
      </c>
      <c r="D58">
        <f>Siam_Chart[[#This Row],[Last]]</f>
        <v>2.2999999999999998</v>
      </c>
      <c r="E58">
        <f>Siam_Chart[[#This Row],[Chg%]]</f>
        <v>1.77</v>
      </c>
      <c r="F58">
        <f>Siam_Chart[[#This Row],[Volume]]</f>
        <v>384300</v>
      </c>
      <c r="G58">
        <f>Siam_Chart[[#This Row],[Value (k)]]</f>
        <v>878024</v>
      </c>
      <c r="H58" cm="1">
        <f t="array" ref="H58:W58">Siam_Chart[[#This Row],[MCap (M)]:[CG]]</f>
        <v>1148267561.8</v>
      </c>
      <c r="I58">
        <v>9.2200000000000006</v>
      </c>
      <c r="J58">
        <v>0.84</v>
      </c>
      <c r="K58">
        <v>0.234457</v>
      </c>
      <c r="L58">
        <v>0.08</v>
      </c>
      <c r="M58">
        <v>0.09</v>
      </c>
      <c r="N58">
        <v>8.694426</v>
      </c>
      <c r="O58">
        <v>9.2433130000000006</v>
      </c>
      <c r="P58">
        <v>7.8673219999999997</v>
      </c>
      <c r="Q58">
        <v>8.6999999999999993</v>
      </c>
      <c r="R58" t="str">
        <v/>
      </c>
      <c r="S58" t="str">
        <v/>
      </c>
      <c r="T58">
        <v>474</v>
      </c>
      <c r="U58">
        <v>376</v>
      </c>
      <c r="V58">
        <v>-0.36</v>
      </c>
      <c r="W58">
        <v>0</v>
      </c>
      <c r="X58" s="5">
        <f t="shared" si="1"/>
        <v>2.7380952380952381</v>
      </c>
      <c r="Y58" s="6">
        <f t="shared" si="2"/>
        <v>499246766</v>
      </c>
    </row>
    <row r="59" spans="2:25" x14ac:dyDescent="0.25">
      <c r="B59" t="str">
        <f>Siam_Chart[[#This Row],[Name]]</f>
        <v>ASAP</v>
      </c>
      <c r="C59">
        <f>Siam_Chart[[#This Row],[No.]]</f>
        <v>58</v>
      </c>
      <c r="D59">
        <f>Siam_Chart[[#This Row],[Last]]</f>
        <v>2.12</v>
      </c>
      <c r="E59">
        <f>Siam_Chart[[#This Row],[Chg%]]</f>
        <v>0</v>
      </c>
      <c r="F59">
        <f>Siam_Chart[[#This Row],[Volume]]</f>
        <v>109900</v>
      </c>
      <c r="G59">
        <f>Siam_Chart[[#This Row],[Value (k)]]</f>
        <v>231148</v>
      </c>
      <c r="H59" cm="1">
        <f t="array" ref="H59:W59">Siam_Chart[[#This Row],[MCap (M)]:[CG]]</f>
        <v>1539119940.6400001</v>
      </c>
      <c r="I59">
        <v>25.64</v>
      </c>
      <c r="J59">
        <v>1.72</v>
      </c>
      <c r="K59">
        <v>6.9748450000000002</v>
      </c>
      <c r="L59">
        <v>0.04</v>
      </c>
      <c r="M59">
        <v>0.04</v>
      </c>
      <c r="N59">
        <v>5.1608790000000004</v>
      </c>
      <c r="O59">
        <v>6.9300519999999999</v>
      </c>
      <c r="P59">
        <v>1.139521</v>
      </c>
      <c r="Q59">
        <v>1.81</v>
      </c>
      <c r="R59" t="str">
        <v/>
      </c>
      <c r="S59" t="str">
        <v/>
      </c>
      <c r="T59">
        <v>1180</v>
      </c>
      <c r="U59">
        <v>1324</v>
      </c>
      <c r="V59">
        <v>-0.19</v>
      </c>
      <c r="W59">
        <v>0</v>
      </c>
      <c r="X59" s="5">
        <f t="shared" si="1"/>
        <v>1.2325581395348839</v>
      </c>
      <c r="Y59" s="6">
        <f t="shared" si="2"/>
        <v>725999972</v>
      </c>
    </row>
    <row r="60" spans="2:25" x14ac:dyDescent="0.25">
      <c r="B60" t="str">
        <f>Siam_Chart[[#This Row],[Name]]</f>
        <v>ASEFA</v>
      </c>
      <c r="C60">
        <f>Siam_Chart[[#This Row],[No.]]</f>
        <v>59</v>
      </c>
      <c r="D60">
        <f>Siam_Chart[[#This Row],[Last]]</f>
        <v>6.2</v>
      </c>
      <c r="E60">
        <f>Siam_Chart[[#This Row],[Chg%]]</f>
        <v>-2.36</v>
      </c>
      <c r="F60">
        <f>Siam_Chart[[#This Row],[Volume]]</f>
        <v>1717600</v>
      </c>
      <c r="G60">
        <f>Siam_Chart[[#This Row],[Value (k)]]</f>
        <v>10798175</v>
      </c>
      <c r="H60" cm="1">
        <f t="array" ref="H60:W60">Siam_Chart[[#This Row],[MCap (M)]:[CG]]</f>
        <v>3383019460</v>
      </c>
      <c r="I60">
        <v>8.51</v>
      </c>
      <c r="J60">
        <v>1.6</v>
      </c>
      <c r="K60">
        <v>1.491603</v>
      </c>
      <c r="L60">
        <v>0.35</v>
      </c>
      <c r="M60">
        <v>0.44</v>
      </c>
      <c r="N60">
        <v>11.87921</v>
      </c>
      <c r="O60">
        <v>19.554407000000001</v>
      </c>
      <c r="P60">
        <v>7.9386669999999997</v>
      </c>
      <c r="Q60">
        <v>5.56</v>
      </c>
      <c r="R60" t="str">
        <v/>
      </c>
      <c r="S60" t="str">
        <v/>
      </c>
      <c r="T60">
        <v>471</v>
      </c>
      <c r="U60">
        <v>480</v>
      </c>
      <c r="V60">
        <v>0.24</v>
      </c>
      <c r="W60">
        <v>0</v>
      </c>
      <c r="X60" s="5">
        <f t="shared" si="1"/>
        <v>3.875</v>
      </c>
      <c r="Y60" s="6">
        <f t="shared" si="2"/>
        <v>545648300</v>
      </c>
    </row>
    <row r="61" spans="2:25" x14ac:dyDescent="0.25">
      <c r="B61" t="str">
        <f>Siam_Chart[[#This Row],[Name]]</f>
        <v>ASIA</v>
      </c>
      <c r="C61">
        <f>Siam_Chart[[#This Row],[No.]]</f>
        <v>60</v>
      </c>
      <c r="D61">
        <f>Siam_Chart[[#This Row],[Last]]</f>
        <v>5.4</v>
      </c>
      <c r="E61">
        <f>Siam_Chart[[#This Row],[Chg%]]</f>
        <v>0.93</v>
      </c>
      <c r="F61">
        <f>Siam_Chart[[#This Row],[Volume]]</f>
        <v>100</v>
      </c>
      <c r="G61">
        <f>Siam_Chart[[#This Row],[Value (k)]]</f>
        <v>540</v>
      </c>
      <c r="H61" cm="1">
        <f t="array" ref="H61:W61">Siam_Chart[[#This Row],[MCap (M)]:[CG]]</f>
        <v>1728000000</v>
      </c>
      <c r="I61">
        <v>1728000000</v>
      </c>
      <c r="J61">
        <v>0.3</v>
      </c>
      <c r="K61">
        <v>0.71444300000000005</v>
      </c>
      <c r="L61">
        <v>0.05</v>
      </c>
      <c r="M61">
        <v>-0.02</v>
      </c>
      <c r="N61">
        <v>1.461352</v>
      </c>
      <c r="O61">
        <v>-0.16102</v>
      </c>
      <c r="P61">
        <v>-1.21227</v>
      </c>
      <c r="Q61">
        <v>2.48</v>
      </c>
      <c r="R61" t="str">
        <v/>
      </c>
      <c r="S61" t="str">
        <v/>
      </c>
      <c r="T61">
        <v>0</v>
      </c>
      <c r="U61">
        <v>0</v>
      </c>
      <c r="V61">
        <v>0</v>
      </c>
      <c r="W61">
        <v>3</v>
      </c>
      <c r="X61" s="5">
        <f t="shared" si="1"/>
        <v>18.000000000000004</v>
      </c>
      <c r="Y61" s="6">
        <f t="shared" si="2"/>
        <v>320000000</v>
      </c>
    </row>
    <row r="62" spans="2:25" x14ac:dyDescent="0.25">
      <c r="B62" t="str">
        <f>Siam_Chart[[#This Row],[Name]]</f>
        <v>ASIAN</v>
      </c>
      <c r="C62">
        <f>Siam_Chart[[#This Row],[No.]]</f>
        <v>61</v>
      </c>
      <c r="D62">
        <f>Siam_Chart[[#This Row],[Last]]</f>
        <v>7.25</v>
      </c>
      <c r="E62">
        <f>Siam_Chart[[#This Row],[Chg%]]</f>
        <v>0.69</v>
      </c>
      <c r="F62">
        <f>Siam_Chart[[#This Row],[Volume]]</f>
        <v>176204</v>
      </c>
      <c r="G62">
        <f>Siam_Chart[[#This Row],[Value (k)]]</f>
        <v>1274559</v>
      </c>
      <c r="H62" cm="1">
        <f t="array" ref="H62:W62">Siam_Chart[[#This Row],[MCap (M)]:[CG]]</f>
        <v>5902134802.75</v>
      </c>
      <c r="I62">
        <v>10.07</v>
      </c>
      <c r="J62">
        <v>0.92</v>
      </c>
      <c r="K62">
        <v>0.15862299999999999</v>
      </c>
      <c r="L62">
        <v>0.19800000000000001</v>
      </c>
      <c r="M62">
        <v>0.33</v>
      </c>
      <c r="N62">
        <v>9.3587819999999997</v>
      </c>
      <c r="O62">
        <v>9.1458860000000008</v>
      </c>
      <c r="P62">
        <v>7.3991559999999996</v>
      </c>
      <c r="Q62">
        <v>9.31</v>
      </c>
      <c r="R62" t="str">
        <v/>
      </c>
      <c r="S62" t="str">
        <v/>
      </c>
      <c r="T62">
        <v>571</v>
      </c>
      <c r="U62">
        <v>452</v>
      </c>
      <c r="V62">
        <v>0.48</v>
      </c>
      <c r="W62">
        <v>5</v>
      </c>
      <c r="X62" s="5">
        <f t="shared" si="1"/>
        <v>7.8804347826086953</v>
      </c>
      <c r="Y62" s="6">
        <f t="shared" si="2"/>
        <v>814087559</v>
      </c>
    </row>
    <row r="63" spans="2:25" x14ac:dyDescent="0.25">
      <c r="B63" t="str">
        <f>Siam_Chart[[#This Row],[Name]]</f>
        <v>ASIMAR</v>
      </c>
      <c r="C63">
        <f>Siam_Chart[[#This Row],[No.]]</f>
        <v>62</v>
      </c>
      <c r="D63">
        <f>Siam_Chart[[#This Row],[Last]]</f>
        <v>1.51</v>
      </c>
      <c r="E63">
        <f>Siam_Chart[[#This Row],[Chg%]]</f>
        <v>0.67</v>
      </c>
      <c r="F63">
        <f>Siam_Chart[[#This Row],[Volume]]</f>
        <v>663900</v>
      </c>
      <c r="G63">
        <f>Siam_Chart[[#This Row],[Value (k)]]</f>
        <v>1000412.2</v>
      </c>
      <c r="H63" cm="1">
        <f t="array" ref="H63:W63">Siam_Chart[[#This Row],[MCap (M)]:[CG]]</f>
        <v>390019541.37</v>
      </c>
      <c r="I63">
        <v>9.41</v>
      </c>
      <c r="J63">
        <v>0.86</v>
      </c>
      <c r="K63">
        <v>0.79304600000000003</v>
      </c>
      <c r="L63">
        <v>0.12</v>
      </c>
      <c r="M63">
        <v>7.0000000000000007E-2</v>
      </c>
      <c r="N63">
        <v>6.5180740000000004</v>
      </c>
      <c r="O63">
        <v>9.2129940000000001</v>
      </c>
      <c r="P63">
        <v>4.4123429999999999</v>
      </c>
      <c r="Q63">
        <v>7.95</v>
      </c>
      <c r="R63" t="str">
        <v/>
      </c>
      <c r="S63" t="str">
        <v/>
      </c>
      <c r="T63">
        <v>500</v>
      </c>
      <c r="U63">
        <v>524</v>
      </c>
      <c r="V63">
        <v>0.18</v>
      </c>
      <c r="W63">
        <v>5</v>
      </c>
      <c r="X63" s="5">
        <f t="shared" si="1"/>
        <v>1.7558139534883721</v>
      </c>
      <c r="Y63" s="6">
        <f t="shared" si="2"/>
        <v>258291087</v>
      </c>
    </row>
    <row r="64" spans="2:25" x14ac:dyDescent="0.25">
      <c r="B64" t="str">
        <f>Siam_Chart[[#This Row],[Name]]</f>
        <v>ASK</v>
      </c>
      <c r="C64">
        <f>Siam_Chart[[#This Row],[No.]]</f>
        <v>63</v>
      </c>
      <c r="D64">
        <f>Siam_Chart[[#This Row],[Last]]</f>
        <v>11.2</v>
      </c>
      <c r="E64">
        <f>Siam_Chart[[#This Row],[Chg%]]</f>
        <v>-1.75</v>
      </c>
      <c r="F64">
        <f>Siam_Chart[[#This Row],[Volume]]</f>
        <v>390801</v>
      </c>
      <c r="G64">
        <f>Siam_Chart[[#This Row],[Value (k)]]</f>
        <v>4424261.5</v>
      </c>
      <c r="H64" cm="1">
        <f t="array" ref="H64:W64">Siam_Chart[[#This Row],[MCap (M)]:[CG]]</f>
        <v>7882462336</v>
      </c>
      <c r="I64">
        <v>11.8</v>
      </c>
      <c r="J64">
        <v>0.66</v>
      </c>
      <c r="K64">
        <v>3.8902990000000002</v>
      </c>
      <c r="L64">
        <v>0.4</v>
      </c>
      <c r="M64">
        <v>0.56999999999999995</v>
      </c>
      <c r="N64">
        <v>4.0232219999999996</v>
      </c>
      <c r="O64">
        <v>5.6609990000000003</v>
      </c>
      <c r="P64">
        <v>16.12546</v>
      </c>
      <c r="Q64">
        <v>3.57</v>
      </c>
      <c r="R64" t="str">
        <v/>
      </c>
      <c r="S64" t="str">
        <v/>
      </c>
      <c r="T64">
        <v>920</v>
      </c>
      <c r="U64">
        <v>1103</v>
      </c>
      <c r="V64">
        <v>-8.8000000000000007</v>
      </c>
      <c r="W64">
        <v>5</v>
      </c>
      <c r="X64" s="5">
        <f t="shared" si="1"/>
        <v>16.969696969696969</v>
      </c>
      <c r="Y64" s="6">
        <f t="shared" si="2"/>
        <v>703791280</v>
      </c>
    </row>
    <row r="65" spans="2:25" x14ac:dyDescent="0.25">
      <c r="B65" t="str">
        <f>Siam_Chart[[#This Row],[Name]]</f>
        <v>ASN</v>
      </c>
      <c r="C65">
        <f>Siam_Chart[[#This Row],[No.]]</f>
        <v>64</v>
      </c>
      <c r="D65">
        <f>Siam_Chart[[#This Row],[Last]]</f>
        <v>0.96</v>
      </c>
      <c r="E65">
        <f>Siam_Chart[[#This Row],[Chg%]]</f>
        <v>1.05</v>
      </c>
      <c r="F65">
        <f>Siam_Chart[[#This Row],[Volume]]</f>
        <v>54311</v>
      </c>
      <c r="G65">
        <f>Siam_Chart[[#This Row],[Value (k)]]</f>
        <v>52083.42</v>
      </c>
      <c r="H65" cm="1">
        <f t="array" ref="H65:W65">Siam_Chart[[#This Row],[MCap (M)]:[CG]]</f>
        <v>179711954.88</v>
      </c>
      <c r="I65">
        <v>229.21</v>
      </c>
      <c r="J65">
        <v>0.62</v>
      </c>
      <c r="K65">
        <v>0.76130299999999995</v>
      </c>
      <c r="L65">
        <v>2.6700000000000002E-2</v>
      </c>
      <c r="M65">
        <v>3.3047457500046864</v>
      </c>
      <c r="N65">
        <v>3.3047460000000002</v>
      </c>
      <c r="O65">
        <v>0.26945000000000002</v>
      </c>
      <c r="P65">
        <v>-0.37939600000000001</v>
      </c>
      <c r="Q65">
        <v>0.61</v>
      </c>
      <c r="R65" t="str">
        <v/>
      </c>
      <c r="S65" t="str">
        <v/>
      </c>
      <c r="T65">
        <v>1346</v>
      </c>
      <c r="U65">
        <v>1198</v>
      </c>
      <c r="V65">
        <v>-0.92</v>
      </c>
      <c r="W65">
        <v>3</v>
      </c>
      <c r="X65" s="5">
        <f t="shared" si="1"/>
        <v>1.5483870967741935</v>
      </c>
      <c r="Y65" s="6">
        <f t="shared" si="2"/>
        <v>187199953</v>
      </c>
    </row>
    <row r="66" spans="2:25" x14ac:dyDescent="0.25">
      <c r="B66" t="str">
        <f>Siam_Chart[[#This Row],[Name]]</f>
        <v>ASP</v>
      </c>
      <c r="C66">
        <f>Siam_Chart[[#This Row],[No.]]</f>
        <v>65</v>
      </c>
      <c r="D66">
        <f>Siam_Chart[[#This Row],[Last]]</f>
        <v>2.44</v>
      </c>
      <c r="E66">
        <f>Siam_Chart[[#This Row],[Chg%]]</f>
        <v>-4.6900000000000004</v>
      </c>
      <c r="F66">
        <f>Siam_Chart[[#This Row],[Volume]]</f>
        <v>2856407</v>
      </c>
      <c r="G66">
        <f>Siam_Chart[[#This Row],[Value (k)]]</f>
        <v>6954467.0800000001</v>
      </c>
      <c r="H66" cm="1">
        <f t="array" ref="H66:W66">Siam_Chart[[#This Row],[MCap (M)]:[CG]]</f>
        <v>4957925655.3599997</v>
      </c>
      <c r="I66">
        <v>10.6</v>
      </c>
      <c r="J66">
        <v>1.01</v>
      </c>
      <c r="K66">
        <v>1.8263590000000001</v>
      </c>
      <c r="L66">
        <v>0.11</v>
      </c>
      <c r="M66">
        <v>0.16</v>
      </c>
      <c r="N66">
        <v>4.9365709999999998</v>
      </c>
      <c r="O66">
        <v>9.6867560000000008</v>
      </c>
      <c r="P66">
        <v>27.196688000000002</v>
      </c>
      <c r="Q66">
        <v>3.69</v>
      </c>
      <c r="R66" t="str">
        <v/>
      </c>
      <c r="S66" t="str">
        <v/>
      </c>
      <c r="T66">
        <v>975</v>
      </c>
      <c r="U66">
        <v>1109</v>
      </c>
      <c r="V66">
        <v>-0.55000000000000004</v>
      </c>
      <c r="W66">
        <v>5</v>
      </c>
      <c r="X66" s="5">
        <f t="shared" si="1"/>
        <v>2.4158415841584158</v>
      </c>
      <c r="Y66" s="6">
        <f t="shared" si="2"/>
        <v>2031936744</v>
      </c>
    </row>
    <row r="67" spans="2:25" x14ac:dyDescent="0.25">
      <c r="B67" t="str">
        <f>Siam_Chart[[#This Row],[Name]]</f>
        <v>ASTR</v>
      </c>
      <c r="C67">
        <f>Siam_Chart[[#This Row],[No.]]</f>
        <v>66</v>
      </c>
      <c r="D67">
        <f>Siam_Chart[[#This Row],[Last]]</f>
        <v>4.46</v>
      </c>
      <c r="E67">
        <f>Siam_Chart[[#This Row],[Chg%]]</f>
        <v>0</v>
      </c>
      <c r="F67">
        <f>Siam_Chart[[#This Row],[Volume]]</f>
        <v>154800</v>
      </c>
      <c r="G67">
        <f>Siam_Chart[[#This Row],[Value (k)]]</f>
        <v>690792</v>
      </c>
      <c r="H67" cm="1">
        <f t="array" ref="H67:W67">Siam_Chart[[#This Row],[MCap (M)]:[CG]]</f>
        <v>7233821804.3999996</v>
      </c>
      <c r="I67">
        <v>7428453781.1999998</v>
      </c>
      <c r="J67">
        <v>8.27</v>
      </c>
      <c r="K67">
        <v>6.8625000000000005E-2</v>
      </c>
      <c r="L67">
        <v>-0.05</v>
      </c>
      <c r="M67">
        <v>-0.05</v>
      </c>
      <c r="N67">
        <v>-12.095561999999999</v>
      </c>
      <c r="O67">
        <v>-13.080667</v>
      </c>
      <c r="P67">
        <v>-132.47297699999999</v>
      </c>
      <c r="Q67">
        <v>8.5</v>
      </c>
      <c r="R67" t="str">
        <v/>
      </c>
      <c r="S67" t="str">
        <v/>
      </c>
      <c r="T67">
        <v>0</v>
      </c>
      <c r="U67">
        <v>0</v>
      </c>
      <c r="V67">
        <v>0</v>
      </c>
      <c r="W67">
        <v>3</v>
      </c>
      <c r="X67" s="5">
        <f t="shared" si="1"/>
        <v>0.53929866989117292</v>
      </c>
      <c r="Y67" s="6">
        <f t="shared" si="2"/>
        <v>1621933140</v>
      </c>
    </row>
    <row r="68" spans="2:25" x14ac:dyDescent="0.25">
      <c r="B68" t="str">
        <f>Siam_Chart[[#This Row],[Name]]</f>
        <v>ASW</v>
      </c>
      <c r="C68">
        <f>Siam_Chart[[#This Row],[No.]]</f>
        <v>67</v>
      </c>
      <c r="D68">
        <f>Siam_Chart[[#This Row],[Last]]</f>
        <v>7.9</v>
      </c>
      <c r="E68">
        <f>Siam_Chart[[#This Row],[Chg%]]</f>
        <v>-0.63</v>
      </c>
      <c r="F68">
        <f>Siam_Chart[[#This Row],[Volume]]</f>
        <v>41530</v>
      </c>
      <c r="G68">
        <f>Siam_Chart[[#This Row],[Value (k)]]</f>
        <v>328540</v>
      </c>
      <c r="H68" cm="1">
        <f t="array" ref="H68:W68">Siam_Chart[[#This Row],[MCap (M)]:[CG]]</f>
        <v>7107981945</v>
      </c>
      <c r="I68">
        <v>4.83</v>
      </c>
      <c r="J68">
        <v>0.77</v>
      </c>
      <c r="K68">
        <v>3.4953430000000001</v>
      </c>
      <c r="L68">
        <v>0.5</v>
      </c>
      <c r="M68">
        <v>0.88</v>
      </c>
      <c r="N68">
        <v>6.1991149999999999</v>
      </c>
      <c r="O68">
        <v>16.805741000000001</v>
      </c>
      <c r="P68">
        <v>15.259986</v>
      </c>
      <c r="Q68">
        <v>6.33</v>
      </c>
      <c r="R68" t="str">
        <v/>
      </c>
      <c r="S68" t="str">
        <v/>
      </c>
      <c r="T68">
        <v>164</v>
      </c>
      <c r="U68">
        <v>400</v>
      </c>
      <c r="V68">
        <v>0.87</v>
      </c>
      <c r="W68">
        <v>5</v>
      </c>
      <c r="X68" s="5">
        <f t="shared" ref="X68:X131" si="5">IFERROR(D68/J68,0)</f>
        <v>10.25974025974026</v>
      </c>
      <c r="Y68" s="6">
        <f t="shared" ref="Y68:Y131" si="6">IFERROR(H68/D68,0)</f>
        <v>899744550</v>
      </c>
    </row>
    <row r="69" spans="2:25" x14ac:dyDescent="0.25">
      <c r="B69" t="str">
        <f>Siam_Chart[[#This Row],[Name]]</f>
        <v>ATLAS</v>
      </c>
      <c r="C69">
        <f>Siam_Chart[[#This Row],[No.]]</f>
        <v>68</v>
      </c>
      <c r="D69">
        <f>Siam_Chart[[#This Row],[Last]]</f>
        <v>1.8</v>
      </c>
      <c r="E69">
        <f>Siam_Chart[[#This Row],[Chg%]]</f>
        <v>-0.55000000000000004</v>
      </c>
      <c r="F69">
        <f>Siam_Chart[[#This Row],[Volume]]</f>
        <v>1334400</v>
      </c>
      <c r="G69">
        <f>Siam_Chart[[#This Row],[Value (k)]]</f>
        <v>2399</v>
      </c>
      <c r="H69" cm="1">
        <f t="array" ref="H69:W69">Siam_Chart[[#This Row],[MCap (M)]:[CG]]</f>
        <v>2539</v>
      </c>
      <c r="I69">
        <v>9.19</v>
      </c>
      <c r="J69">
        <v>0.88</v>
      </c>
      <c r="K69">
        <v>2.23</v>
      </c>
      <c r="L69">
        <v>0.05</v>
      </c>
      <c r="M69">
        <v>0.2</v>
      </c>
      <c r="N69">
        <v>4.8600000000000003</v>
      </c>
      <c r="O69">
        <v>12.36</v>
      </c>
      <c r="P69">
        <v>1.89</v>
      </c>
      <c r="Q69">
        <v>8.33</v>
      </c>
      <c r="R69" t="str">
        <v/>
      </c>
      <c r="S69" t="str">
        <v/>
      </c>
      <c r="T69">
        <v>408</v>
      </c>
      <c r="U69">
        <v>650</v>
      </c>
      <c r="V69">
        <v>1.65</v>
      </c>
      <c r="W69">
        <v>0</v>
      </c>
      <c r="X69" s="5">
        <f t="shared" si="5"/>
        <v>2.0454545454545454</v>
      </c>
      <c r="Y69" s="6">
        <f t="shared" si="6"/>
        <v>1410.5555555555554</v>
      </c>
    </row>
    <row r="70" spans="2:25" x14ac:dyDescent="0.25">
      <c r="B70" t="str">
        <f>Siam_Chart[[#This Row],[Name]]</f>
        <v>ATP30</v>
      </c>
      <c r="C70">
        <f>Siam_Chart[[#This Row],[No.]]</f>
        <v>69</v>
      </c>
      <c r="D70">
        <f>Siam_Chart[[#This Row],[Last]]</f>
        <v>0.83</v>
      </c>
      <c r="E70">
        <f>Siam_Chart[[#This Row],[Chg%]]</f>
        <v>2.4700000000000002</v>
      </c>
      <c r="F70">
        <f>Siam_Chart[[#This Row],[Volume]]</f>
        <v>4805500</v>
      </c>
      <c r="G70">
        <f>Siam_Chart[[#This Row],[Value (k)]]</f>
        <v>3964104</v>
      </c>
      <c r="H70" cm="1">
        <f t="array" ref="H70:W70">Siam_Chart[[#This Row],[MCap (M)]:[CG]]</f>
        <v>566317348.13999999</v>
      </c>
      <c r="I70">
        <v>12.72</v>
      </c>
      <c r="J70">
        <v>0.98</v>
      </c>
      <c r="K70">
        <v>1.272796</v>
      </c>
      <c r="L70">
        <v>0.04</v>
      </c>
      <c r="M70">
        <v>0.03</v>
      </c>
      <c r="N70">
        <v>6.00786</v>
      </c>
      <c r="O70">
        <v>7.8391539999999997</v>
      </c>
      <c r="P70">
        <v>4.2939579999999999</v>
      </c>
      <c r="Q70">
        <v>4.82</v>
      </c>
      <c r="R70" t="str">
        <v/>
      </c>
      <c r="S70" t="str">
        <v/>
      </c>
      <c r="T70">
        <v>557</v>
      </c>
      <c r="U70">
        <v>573</v>
      </c>
      <c r="V70">
        <v>0.56000000000000005</v>
      </c>
      <c r="W70">
        <v>4</v>
      </c>
      <c r="X70" s="5">
        <f t="shared" si="5"/>
        <v>0.84693877551020402</v>
      </c>
      <c r="Y70" s="6">
        <f t="shared" si="6"/>
        <v>682310058</v>
      </c>
    </row>
    <row r="71" spans="2:25" x14ac:dyDescent="0.25">
      <c r="B71" t="str">
        <f>Siam_Chart[[#This Row],[Name]]</f>
        <v>AU</v>
      </c>
      <c r="C71">
        <f>Siam_Chart[[#This Row],[No.]]</f>
        <v>70</v>
      </c>
      <c r="D71">
        <f>Siam_Chart[[#This Row],[Last]]</f>
        <v>4.34</v>
      </c>
      <c r="E71">
        <f>Siam_Chart[[#This Row],[Chg%]]</f>
        <v>0</v>
      </c>
      <c r="F71">
        <f>Siam_Chart[[#This Row],[Volume]]</f>
        <v>268321</v>
      </c>
      <c r="G71">
        <f>Siam_Chart[[#This Row],[Value (k)]]</f>
        <v>1162801.1399999999</v>
      </c>
      <c r="H71" cm="1">
        <f t="array" ref="H71:W71">Siam_Chart[[#This Row],[MCap (M)]:[CG]]</f>
        <v>3539806254.7399998</v>
      </c>
      <c r="I71">
        <v>20.12</v>
      </c>
      <c r="J71">
        <v>3.84</v>
      </c>
      <c r="K71">
        <v>0.48976999999999998</v>
      </c>
      <c r="L71">
        <v>0.25</v>
      </c>
      <c r="M71">
        <v>0.11</v>
      </c>
      <c r="N71">
        <v>16.816061999999999</v>
      </c>
      <c r="O71">
        <v>18.763311999999999</v>
      </c>
      <c r="P71">
        <v>10.906247</v>
      </c>
      <c r="Q71">
        <v>5.76</v>
      </c>
      <c r="R71" t="str">
        <v/>
      </c>
      <c r="S71" t="str">
        <v/>
      </c>
      <c r="T71">
        <v>655</v>
      </c>
      <c r="U71">
        <v>594</v>
      </c>
      <c r="V71">
        <v>0.03</v>
      </c>
      <c r="W71">
        <v>0</v>
      </c>
      <c r="X71" s="5">
        <f t="shared" si="5"/>
        <v>1.1302083333333333</v>
      </c>
      <c r="Y71" s="6">
        <f t="shared" si="6"/>
        <v>815623561</v>
      </c>
    </row>
    <row r="72" spans="2:25" x14ac:dyDescent="0.25">
      <c r="B72" t="str">
        <f>Siam_Chart[[#This Row],[Name]]</f>
        <v>AUCT</v>
      </c>
      <c r="C72">
        <f>Siam_Chart[[#This Row],[No.]]</f>
        <v>71</v>
      </c>
      <c r="D72">
        <f>Siam_Chart[[#This Row],[Last]]</f>
        <v>4.1399999999999997</v>
      </c>
      <c r="E72">
        <f>Siam_Chart[[#This Row],[Chg%]]</f>
        <v>0</v>
      </c>
      <c r="F72">
        <f>Siam_Chart[[#This Row],[Volume]]</f>
        <v>108105</v>
      </c>
      <c r="G72">
        <f>Siam_Chart[[#This Row],[Value (k)]]</f>
        <v>449872.8</v>
      </c>
      <c r="H72" cm="1">
        <f t="array" ref="H72:W72">Siam_Chart[[#This Row],[MCap (M)]:[CG]]</f>
        <v>2277000000</v>
      </c>
      <c r="I72">
        <v>15.55</v>
      </c>
      <c r="J72">
        <v>5.25</v>
      </c>
      <c r="K72">
        <v>3.0132409999999998</v>
      </c>
      <c r="L72">
        <v>7.2999999999999995E-2</v>
      </c>
      <c r="M72">
        <v>0.08</v>
      </c>
      <c r="N72">
        <v>11.867113</v>
      </c>
      <c r="O72">
        <v>31.77356</v>
      </c>
      <c r="P72">
        <v>10.941623</v>
      </c>
      <c r="Q72">
        <v>8.82</v>
      </c>
      <c r="R72" t="str">
        <v/>
      </c>
      <c r="S72" t="str">
        <v/>
      </c>
      <c r="T72">
        <v>497</v>
      </c>
      <c r="U72">
        <v>592</v>
      </c>
      <c r="V72">
        <v>-24.23</v>
      </c>
      <c r="W72">
        <v>5</v>
      </c>
      <c r="X72" s="5">
        <f t="shared" si="5"/>
        <v>0.78857142857142848</v>
      </c>
      <c r="Y72" s="6">
        <f t="shared" si="6"/>
        <v>550000000</v>
      </c>
    </row>
    <row r="73" spans="2:25" x14ac:dyDescent="0.25">
      <c r="B73" t="str">
        <f>Siam_Chart[[#This Row],[Name]]</f>
        <v>AURA</v>
      </c>
      <c r="C73">
        <f>Siam_Chart[[#This Row],[No.]]</f>
        <v>72</v>
      </c>
      <c r="D73">
        <f>Siam_Chart[[#This Row],[Last]]</f>
        <v>14.3</v>
      </c>
      <c r="E73">
        <f>Siam_Chart[[#This Row],[Chg%]]</f>
        <v>-1.38</v>
      </c>
      <c r="F73">
        <f>Siam_Chart[[#This Row],[Volume]]</f>
        <v>2301655</v>
      </c>
      <c r="G73">
        <f>Siam_Chart[[#This Row],[Value (k)]]</f>
        <v>33119449.699999999</v>
      </c>
      <c r="H73" cm="1">
        <f t="array" ref="H73:W73">Siam_Chart[[#This Row],[MCap (M)]:[CG]]</f>
        <v>19129068530</v>
      </c>
      <c r="I73">
        <v>11.75</v>
      </c>
      <c r="J73">
        <v>2.23</v>
      </c>
      <c r="K73">
        <v>2.3596780000000002</v>
      </c>
      <c r="L73">
        <v>0.56000000000000005</v>
      </c>
      <c r="M73">
        <v>0.69</v>
      </c>
      <c r="N73">
        <v>11.33555</v>
      </c>
      <c r="O73">
        <v>21.476434000000001</v>
      </c>
      <c r="P73">
        <v>3.1225860000000001</v>
      </c>
      <c r="Q73">
        <v>3.91</v>
      </c>
      <c r="R73" t="str">
        <v/>
      </c>
      <c r="S73" t="str">
        <v/>
      </c>
      <c r="T73">
        <v>355</v>
      </c>
      <c r="U73">
        <v>385</v>
      </c>
      <c r="V73">
        <v>0.4</v>
      </c>
      <c r="W73">
        <v>5</v>
      </c>
      <c r="X73" s="5">
        <f t="shared" si="5"/>
        <v>6.4125560538116595</v>
      </c>
      <c r="Y73" s="6">
        <f t="shared" si="6"/>
        <v>1337697100</v>
      </c>
    </row>
    <row r="74" spans="2:25" x14ac:dyDescent="0.25">
      <c r="B74" t="str">
        <f>Siam_Chart[[#This Row],[Name]]</f>
        <v>AWC</v>
      </c>
      <c r="C74">
        <f>Siam_Chart[[#This Row],[No.]]</f>
        <v>73</v>
      </c>
      <c r="D74">
        <f>Siam_Chart[[#This Row],[Last]]</f>
        <v>3.04</v>
      </c>
      <c r="E74">
        <f>Siam_Chart[[#This Row],[Chg%]]</f>
        <v>1.33</v>
      </c>
      <c r="F74">
        <f>Siam_Chart[[#This Row],[Volume]]</f>
        <v>33620835</v>
      </c>
      <c r="G74">
        <f>Siam_Chart[[#This Row],[Value (k)]]</f>
        <v>102104977.81999999</v>
      </c>
      <c r="H74" cm="1">
        <f t="array" ref="H74:W74">Siam_Chart[[#This Row],[MCap (M)]:[CG]]</f>
        <v>97360694976</v>
      </c>
      <c r="I74">
        <v>15.05</v>
      </c>
      <c r="J74">
        <v>1.01</v>
      </c>
      <c r="K74">
        <v>1.157815</v>
      </c>
      <c r="L74">
        <v>0.08</v>
      </c>
      <c r="M74">
        <v>0.11</v>
      </c>
      <c r="N74">
        <v>4.8451789999999999</v>
      </c>
      <c r="O74">
        <v>6.8469600000000002</v>
      </c>
      <c r="P74">
        <v>37.509400999999997</v>
      </c>
      <c r="Q74">
        <v>2.63</v>
      </c>
      <c r="R74" t="str">
        <v/>
      </c>
      <c r="S74" t="str">
        <v/>
      </c>
      <c r="T74">
        <v>870</v>
      </c>
      <c r="U74">
        <v>889</v>
      </c>
      <c r="V74">
        <v>0.14000000000000001</v>
      </c>
      <c r="W74">
        <v>5</v>
      </c>
      <c r="X74" s="5">
        <f t="shared" si="5"/>
        <v>3.0099009900990099</v>
      </c>
      <c r="Y74" s="6">
        <f t="shared" si="6"/>
        <v>32026544400</v>
      </c>
    </row>
    <row r="75" spans="2:25" x14ac:dyDescent="0.25">
      <c r="B75" t="str">
        <f>Siam_Chart[[#This Row],[Name]]</f>
        <v>AYUD</v>
      </c>
      <c r="C75">
        <f>Siam_Chart[[#This Row],[No.]]</f>
        <v>74</v>
      </c>
      <c r="D75">
        <f>Siam_Chart[[#This Row],[Last]]</f>
        <v>44.5</v>
      </c>
      <c r="E75">
        <f>Siam_Chart[[#This Row],[Chg%]]</f>
        <v>0</v>
      </c>
      <c r="F75">
        <f>Siam_Chart[[#This Row],[Volume]]</f>
        <v>2814629</v>
      </c>
      <c r="G75">
        <f>Siam_Chart[[#This Row],[Value (k)]]</f>
        <v>126656526.75</v>
      </c>
      <c r="H75" cm="1">
        <f t="array" ref="H75:W75">Siam_Chart[[#This Row],[MCap (M)]:[CG]]</f>
        <v>17322378429.5</v>
      </c>
      <c r="I75">
        <v>5.91</v>
      </c>
      <c r="J75">
        <v>1.18</v>
      </c>
      <c r="K75">
        <v>0.60935700000000004</v>
      </c>
      <c r="L75">
        <v>0.9</v>
      </c>
      <c r="M75">
        <v>4.71</v>
      </c>
      <c r="N75">
        <v>13.160192</v>
      </c>
      <c r="O75">
        <v>20.905473000000001</v>
      </c>
      <c r="P75">
        <v>32.760531999999998</v>
      </c>
      <c r="Q75">
        <v>5.21</v>
      </c>
      <c r="R75" t="str">
        <v/>
      </c>
      <c r="S75" t="str">
        <v/>
      </c>
      <c r="T75">
        <v>152</v>
      </c>
      <c r="U75">
        <v>189</v>
      </c>
      <c r="V75">
        <v>0.11</v>
      </c>
      <c r="W75">
        <v>3</v>
      </c>
      <c r="X75" s="5">
        <f t="shared" si="5"/>
        <v>37.711864406779661</v>
      </c>
      <c r="Y75" s="6">
        <f t="shared" si="6"/>
        <v>389266931</v>
      </c>
    </row>
    <row r="76" spans="2:25" x14ac:dyDescent="0.25">
      <c r="B76" t="str">
        <f>Siam_Chart[[#This Row],[Name]]</f>
        <v>B</v>
      </c>
      <c r="C76">
        <f>Siam_Chart[[#This Row],[No.]]</f>
        <v>75</v>
      </c>
      <c r="D76">
        <f>Siam_Chart[[#This Row],[Last]]</f>
        <v>0.03</v>
      </c>
      <c r="E76">
        <f>Siam_Chart[[#This Row],[Chg%]]</f>
        <v>0</v>
      </c>
      <c r="F76">
        <f>Siam_Chart[[#This Row],[Volume]]</f>
        <v>1319024</v>
      </c>
      <c r="G76">
        <f>Siam_Chart[[#This Row],[Value (k)]]</f>
        <v>39657.72</v>
      </c>
      <c r="H76" cm="1">
        <f t="array" ref="H76:W76">Siam_Chart[[#This Row],[MCap (M)]:[CG]]</f>
        <v>242220273.15000001</v>
      </c>
      <c r="I76">
        <v>242220273.15000001</v>
      </c>
      <c r="J76">
        <v>0.08</v>
      </c>
      <c r="K76">
        <v>0.507189</v>
      </c>
      <c r="L76">
        <v>0</v>
      </c>
      <c r="M76">
        <v>-8.8054674413043941</v>
      </c>
      <c r="N76">
        <v>-8.8054670000000002</v>
      </c>
      <c r="O76">
        <v>-11.730098</v>
      </c>
      <c r="P76">
        <v>-33.021982000000001</v>
      </c>
      <c r="Q76">
        <v>0.08</v>
      </c>
      <c r="R76" t="str">
        <v/>
      </c>
      <c r="S76" t="str">
        <v/>
      </c>
      <c r="T76">
        <v>0</v>
      </c>
      <c r="U76">
        <v>0</v>
      </c>
      <c r="V76">
        <v>0</v>
      </c>
      <c r="W76">
        <v>5</v>
      </c>
      <c r="X76" s="5">
        <f t="shared" si="5"/>
        <v>0.375</v>
      </c>
      <c r="Y76" s="6">
        <f t="shared" si="6"/>
        <v>8074009105.000001</v>
      </c>
    </row>
    <row r="77" spans="2:25" x14ac:dyDescent="0.25">
      <c r="B77" t="str">
        <f>Siam_Chart[[#This Row],[Name]]</f>
        <v>B52</v>
      </c>
      <c r="C77">
        <f>Siam_Chart[[#This Row],[No.]]</f>
        <v>76</v>
      </c>
      <c r="D77">
        <f>Siam_Chart[[#This Row],[Last]]</f>
        <v>0.26</v>
      </c>
      <c r="E77">
        <f>Siam_Chart[[#This Row],[Chg%]]</f>
        <v>-3.7</v>
      </c>
      <c r="F77">
        <f>Siam_Chart[[#This Row],[Volume]]</f>
        <v>6050</v>
      </c>
      <c r="G77">
        <f>Siam_Chart[[#This Row],[Value (k)]]</f>
        <v>1529.5</v>
      </c>
      <c r="H77" cm="1">
        <f t="array" ref="H77:W77">Siam_Chart[[#This Row],[MCap (M)]:[CG]]</f>
        <v>261632850.96000001</v>
      </c>
      <c r="I77">
        <v>261632850.96000001</v>
      </c>
      <c r="J77">
        <v>4.8099999999999996</v>
      </c>
      <c r="K77">
        <v>0.14252000000000001</v>
      </c>
      <c r="L77">
        <v>-0.03</v>
      </c>
      <c r="M77">
        <v>-0.03</v>
      </c>
      <c r="N77">
        <v>-59.503484</v>
      </c>
      <c r="O77">
        <v>-67.419544999999999</v>
      </c>
      <c r="P77">
        <v>-449.753061</v>
      </c>
      <c r="Q77">
        <v>4.8099999999999996</v>
      </c>
      <c r="R77" t="str">
        <v/>
      </c>
      <c r="S77" t="str">
        <v/>
      </c>
      <c r="T77">
        <v>0</v>
      </c>
      <c r="U77">
        <v>0</v>
      </c>
      <c r="V77">
        <v>0</v>
      </c>
      <c r="W77">
        <v>0</v>
      </c>
      <c r="X77" s="5">
        <f t="shared" si="5"/>
        <v>5.4054054054054057E-2</v>
      </c>
      <c r="Y77" s="6">
        <f t="shared" si="6"/>
        <v>1006280196</v>
      </c>
    </row>
    <row r="78" spans="2:25" x14ac:dyDescent="0.25">
      <c r="B78" t="str">
        <f>Siam_Chart[[#This Row],[Name]]</f>
        <v>BA</v>
      </c>
      <c r="C78">
        <f>Siam_Chart[[#This Row],[No.]]</f>
        <v>77</v>
      </c>
      <c r="D78">
        <f>Siam_Chart[[#This Row],[Last]]</f>
        <v>19.399999999999999</v>
      </c>
      <c r="E78">
        <f>Siam_Chart[[#This Row],[Chg%]]</f>
        <v>-1.02</v>
      </c>
      <c r="F78">
        <f>Siam_Chart[[#This Row],[Volume]]</f>
        <v>5104184</v>
      </c>
      <c r="G78">
        <f>Siam_Chart[[#This Row],[Value (k)]]</f>
        <v>99468920</v>
      </c>
      <c r="H78" cm="1">
        <f t="array" ref="H78:W78">Siam_Chart[[#This Row],[MCap (M)]:[CG]]</f>
        <v>40740000000</v>
      </c>
      <c r="I78">
        <v>10.33</v>
      </c>
      <c r="J78">
        <v>2.82</v>
      </c>
      <c r="K78">
        <v>2.6046879999999999</v>
      </c>
      <c r="L78">
        <v>0.7</v>
      </c>
      <c r="M78">
        <v>1.17</v>
      </c>
      <c r="N78">
        <v>12.712834000000001</v>
      </c>
      <c r="O78">
        <v>27.448404</v>
      </c>
      <c r="P78">
        <v>17.525501999999999</v>
      </c>
      <c r="Q78">
        <v>6.22</v>
      </c>
      <c r="R78" t="str">
        <v/>
      </c>
      <c r="S78" t="str">
        <v/>
      </c>
      <c r="T78">
        <v>298</v>
      </c>
      <c r="U78">
        <v>368</v>
      </c>
      <c r="V78">
        <v>-0.13</v>
      </c>
      <c r="W78">
        <v>4</v>
      </c>
      <c r="X78" s="5">
        <f t="shared" si="5"/>
        <v>6.8794326241134751</v>
      </c>
      <c r="Y78" s="6">
        <f t="shared" si="6"/>
        <v>2100000000.0000002</v>
      </c>
    </row>
    <row r="79" spans="2:25" x14ac:dyDescent="0.25">
      <c r="B79" t="str">
        <f>Siam_Chart[[#This Row],[Name]]</f>
        <v>BAFS</v>
      </c>
      <c r="C79">
        <f>Siam_Chart[[#This Row],[No.]]</f>
        <v>78</v>
      </c>
      <c r="D79">
        <f>Siam_Chart[[#This Row],[Last]]</f>
        <v>10.6</v>
      </c>
      <c r="E79">
        <f>Siam_Chart[[#This Row],[Chg%]]</f>
        <v>-1.85</v>
      </c>
      <c r="F79">
        <f>Siam_Chart[[#This Row],[Volume]]</f>
        <v>132748</v>
      </c>
      <c r="G79">
        <f>Siam_Chart[[#This Row],[Value (k)]]</f>
        <v>1405528.5</v>
      </c>
      <c r="H79" cm="1">
        <f t="array" ref="H79:W79">Siam_Chart[[#This Row],[MCap (M)]:[CG]]</f>
        <v>6757459221.8000002</v>
      </c>
      <c r="I79">
        <v>30.04</v>
      </c>
      <c r="J79">
        <v>1.26</v>
      </c>
      <c r="K79">
        <v>2.4311050000000001</v>
      </c>
      <c r="L79">
        <v>0.13</v>
      </c>
      <c r="M79">
        <v>0.28999999999999998</v>
      </c>
      <c r="N79">
        <v>4.0509870000000001</v>
      </c>
      <c r="O79">
        <v>4.177155</v>
      </c>
      <c r="P79">
        <v>10.109845</v>
      </c>
      <c r="Q79">
        <v>3.11</v>
      </c>
      <c r="R79" t="str">
        <v/>
      </c>
      <c r="S79" t="str">
        <v/>
      </c>
      <c r="T79">
        <v>1174</v>
      </c>
      <c r="U79">
        <v>1111</v>
      </c>
      <c r="V79">
        <v>-0.71</v>
      </c>
      <c r="W79">
        <v>5</v>
      </c>
      <c r="X79" s="5">
        <f t="shared" si="5"/>
        <v>8.412698412698413</v>
      </c>
      <c r="Y79" s="6">
        <f t="shared" si="6"/>
        <v>637496153</v>
      </c>
    </row>
    <row r="80" spans="2:25" x14ac:dyDescent="0.25">
      <c r="B80" t="str">
        <f>Siam_Chart[[#This Row],[Name]]</f>
        <v>BAM</v>
      </c>
      <c r="C80">
        <f>Siam_Chart[[#This Row],[No.]]</f>
        <v>79</v>
      </c>
      <c r="D80">
        <f>Siam_Chart[[#This Row],[Last]]</f>
        <v>6.45</v>
      </c>
      <c r="E80">
        <f>Siam_Chart[[#This Row],[Chg%]]</f>
        <v>0</v>
      </c>
      <c r="F80">
        <f>Siam_Chart[[#This Row],[Volume]]</f>
        <v>7666510</v>
      </c>
      <c r="G80">
        <f>Siam_Chart[[#This Row],[Value (k)]]</f>
        <v>49423442.399999999</v>
      </c>
      <c r="H80" cm="1">
        <f t="array" ref="H80:W80">Siam_Chart[[#This Row],[MCap (M)]:[CG]]</f>
        <v>20846672835</v>
      </c>
      <c r="I80">
        <v>27.71</v>
      </c>
      <c r="J80">
        <v>0.48</v>
      </c>
      <c r="K80">
        <v>2.093442</v>
      </c>
      <c r="L80">
        <v>0.5</v>
      </c>
      <c r="M80">
        <v>0.14000000000000001</v>
      </c>
      <c r="N80">
        <v>2.80288</v>
      </c>
      <c r="O80">
        <v>1.705749</v>
      </c>
      <c r="P80">
        <v>9.7048780000000008</v>
      </c>
      <c r="Q80">
        <v>7.75</v>
      </c>
      <c r="R80" t="str">
        <v/>
      </c>
      <c r="S80" t="str">
        <v/>
      </c>
      <c r="T80">
        <v>892</v>
      </c>
      <c r="U80">
        <v>1005</v>
      </c>
      <c r="V80">
        <v>-2.25</v>
      </c>
      <c r="W80">
        <v>5</v>
      </c>
      <c r="X80" s="5">
        <f t="shared" si="5"/>
        <v>13.4375</v>
      </c>
      <c r="Y80" s="6">
        <f t="shared" si="6"/>
        <v>3232042300</v>
      </c>
    </row>
    <row r="81" spans="2:25" x14ac:dyDescent="0.25">
      <c r="B81" t="str">
        <f>Siam_Chart[[#This Row],[Name]]</f>
        <v>BANPU</v>
      </c>
      <c r="C81">
        <f>Siam_Chart[[#This Row],[No.]]</f>
        <v>80</v>
      </c>
      <c r="D81">
        <f>Siam_Chart[[#This Row],[Last]]</f>
        <v>14.6</v>
      </c>
      <c r="E81">
        <f>Siam_Chart[[#This Row],[Chg%]]</f>
        <v>0</v>
      </c>
      <c r="F81">
        <f>Siam_Chart[[#This Row],[Volume]]</f>
        <v>3880524</v>
      </c>
      <c r="G81">
        <f>Siam_Chart[[#This Row],[Value (k)]]</f>
        <v>56665961</v>
      </c>
      <c r="H81" cm="1">
        <f t="array" ref="H81:W81">Siam_Chart[[#This Row],[MCap (M)]:[CG]]</f>
        <v>59124480805.800003</v>
      </c>
      <c r="I81">
        <v>58719518608.5</v>
      </c>
      <c r="J81">
        <v>0.47</v>
      </c>
      <c r="K81">
        <v>1.8106739999999999</v>
      </c>
      <c r="L81">
        <v>0.27</v>
      </c>
      <c r="M81">
        <v>0.27</v>
      </c>
      <c r="N81">
        <v>3.8610929999999999</v>
      </c>
      <c r="O81">
        <v>-8.9160000000000003E-2</v>
      </c>
      <c r="P81">
        <v>4.6436960000000003</v>
      </c>
      <c r="Q81">
        <v>0.47</v>
      </c>
      <c r="R81" t="str">
        <v/>
      </c>
      <c r="S81" t="str">
        <v/>
      </c>
      <c r="T81">
        <v>0</v>
      </c>
      <c r="U81">
        <v>0</v>
      </c>
      <c r="V81">
        <v>0.88</v>
      </c>
      <c r="W81">
        <v>5</v>
      </c>
      <c r="X81" s="5">
        <f t="shared" si="5"/>
        <v>31.063829787234045</v>
      </c>
      <c r="Y81" s="6">
        <f t="shared" si="6"/>
        <v>4049621973.0000005</v>
      </c>
    </row>
    <row r="82" spans="2:25" x14ac:dyDescent="0.25">
      <c r="B82" t="str">
        <f>Siam_Chart[[#This Row],[Name]]</f>
        <v>BANPUU</v>
      </c>
      <c r="C82">
        <f>Siam_Chart[[#This Row],[No.]]</f>
        <v>81</v>
      </c>
      <c r="D82">
        <f>Siam_Chart[[#This Row],[Last]]</f>
        <v>0</v>
      </c>
      <c r="E82">
        <f>Siam_Chart[[#This Row],[Chg%]]</f>
        <v>0</v>
      </c>
      <c r="F82">
        <f>Siam_Chart[[#This Row],[Volume]]</f>
        <v>0</v>
      </c>
      <c r="G82">
        <f>Siam_Chart[[#This Row],[Value (k)]]</f>
        <v>0</v>
      </c>
      <c r="H82" cm="1">
        <f t="array" ref="H82:W82">Siam_Chart[[#This Row],[MCap (M)]:[CG]]</f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 t="str">
        <v/>
      </c>
      <c r="S82" t="str">
        <v/>
      </c>
      <c r="T82">
        <v>0</v>
      </c>
      <c r="U82">
        <v>0</v>
      </c>
      <c r="V82">
        <v>0</v>
      </c>
      <c r="W82">
        <v>5</v>
      </c>
      <c r="X82" s="5">
        <f t="shared" si="5"/>
        <v>0</v>
      </c>
      <c r="Y82" s="6">
        <f t="shared" si="6"/>
        <v>0</v>
      </c>
    </row>
    <row r="83" spans="2:25" x14ac:dyDescent="0.25">
      <c r="B83" t="str">
        <f>Siam_Chart[[#This Row],[Name]]</f>
        <v>BAY</v>
      </c>
      <c r="C83">
        <f>Siam_Chart[[#This Row],[No.]]</f>
        <v>82</v>
      </c>
      <c r="D83">
        <f>Siam_Chart[[#This Row],[Last]]</f>
        <v>40.75</v>
      </c>
      <c r="E83">
        <f>Siam_Chart[[#This Row],[Chg%]]</f>
        <v>0</v>
      </c>
      <c r="F83">
        <f>Siam_Chart[[#This Row],[Volume]]</f>
        <v>1467297</v>
      </c>
      <c r="G83">
        <f>Siam_Chart[[#This Row],[Value (k)]]</f>
        <v>59702710.75</v>
      </c>
      <c r="H83" cm="1">
        <f t="array" ref="H83:W83">Siam_Chart[[#This Row],[MCap (M)]:[CG]]</f>
        <v>299747292249.75</v>
      </c>
      <c r="I83">
        <v>9.1300000000000008</v>
      </c>
      <c r="J83">
        <v>0.71</v>
      </c>
      <c r="K83">
        <v>4.7669300000000003</v>
      </c>
      <c r="L83">
        <v>0.9</v>
      </c>
      <c r="M83">
        <v>2.2999999999999998</v>
      </c>
      <c r="N83">
        <v>2.9947119999999998</v>
      </c>
      <c r="O83">
        <v>7.9349290000000003</v>
      </c>
      <c r="P83">
        <v>18.638093999999999</v>
      </c>
      <c r="Q83">
        <v>3.19</v>
      </c>
      <c r="R83" t="str">
        <v/>
      </c>
      <c r="S83" t="str">
        <v/>
      </c>
      <c r="T83">
        <v>555</v>
      </c>
      <c r="U83">
        <v>857</v>
      </c>
      <c r="V83">
        <v>-7.53</v>
      </c>
      <c r="W83">
        <v>5</v>
      </c>
      <c r="X83" s="5">
        <f t="shared" si="5"/>
        <v>57.394366197183103</v>
      </c>
      <c r="Y83" s="6">
        <f t="shared" si="6"/>
        <v>7355761773</v>
      </c>
    </row>
    <row r="84" spans="2:25" x14ac:dyDescent="0.25">
      <c r="B84" t="str">
        <f>Siam_Chart[[#This Row],[Name]]</f>
        <v>BBGI</v>
      </c>
      <c r="C84">
        <f>Siam_Chart[[#This Row],[No.]]</f>
        <v>83</v>
      </c>
      <c r="D84">
        <f>Siam_Chart[[#This Row],[Last]]</f>
        <v>6.1</v>
      </c>
      <c r="E84">
        <f>Siam_Chart[[#This Row],[Chg%]]</f>
        <v>0</v>
      </c>
      <c r="F84">
        <f>Siam_Chart[[#This Row],[Volume]]</f>
        <v>618127</v>
      </c>
      <c r="G84">
        <f>Siam_Chart[[#This Row],[Value (k)]]</f>
        <v>3764844.2</v>
      </c>
      <c r="H84" cm="1">
        <f t="array" ref="H84:W84">Siam_Chart[[#This Row],[MCap (M)]:[CG]]</f>
        <v>8820600000</v>
      </c>
      <c r="I84">
        <v>9.35</v>
      </c>
      <c r="J84">
        <v>0.89</v>
      </c>
      <c r="K84">
        <v>0.37762600000000002</v>
      </c>
      <c r="L84">
        <v>0.15</v>
      </c>
      <c r="M84">
        <v>0.52</v>
      </c>
      <c r="N84">
        <v>7.9484640000000004</v>
      </c>
      <c r="O84">
        <v>9.9442199999999996</v>
      </c>
      <c r="P84">
        <v>6.5965610000000003</v>
      </c>
      <c r="Q84">
        <v>2.46</v>
      </c>
      <c r="R84" t="str">
        <v/>
      </c>
      <c r="S84" t="str">
        <v/>
      </c>
      <c r="T84">
        <v>470</v>
      </c>
      <c r="U84">
        <v>435</v>
      </c>
      <c r="V84">
        <v>0.02</v>
      </c>
      <c r="W84">
        <v>5</v>
      </c>
      <c r="X84" s="5">
        <f t="shared" si="5"/>
        <v>6.8539325842696623</v>
      </c>
      <c r="Y84" s="6">
        <f t="shared" si="6"/>
        <v>1446000000</v>
      </c>
    </row>
    <row r="85" spans="2:25" x14ac:dyDescent="0.25">
      <c r="B85" t="str">
        <f>Siam_Chart[[#This Row],[Name]]</f>
        <v>BBIK</v>
      </c>
      <c r="C85">
        <f>Siam_Chart[[#This Row],[No.]]</f>
        <v>84</v>
      </c>
      <c r="D85">
        <f>Siam_Chart[[#This Row],[Last]]</f>
        <v>20.8</v>
      </c>
      <c r="E85">
        <f>Siam_Chart[[#This Row],[Chg%]]</f>
        <v>-1.42</v>
      </c>
      <c r="F85">
        <f>Siam_Chart[[#This Row],[Volume]]</f>
        <v>1465590</v>
      </c>
      <c r="G85">
        <f>Siam_Chart[[#This Row],[Value (k)]]</f>
        <v>30696219</v>
      </c>
      <c r="H85" cm="1">
        <f t="array" ref="H85:W85">Siam_Chart[[#This Row],[MCap (M)]:[CG]]</f>
        <v>4160321859.1999998</v>
      </c>
      <c r="I85">
        <v>11.65</v>
      </c>
      <c r="J85">
        <v>1.89</v>
      </c>
      <c r="K85">
        <v>0.19893</v>
      </c>
      <c r="L85">
        <v>0.48</v>
      </c>
      <c r="M85">
        <v>0.81</v>
      </c>
      <c r="N85">
        <v>15.713055000000001</v>
      </c>
      <c r="O85">
        <v>17.189388999999998</v>
      </c>
      <c r="P85">
        <v>21.590502000000001</v>
      </c>
      <c r="Q85">
        <v>2.31</v>
      </c>
      <c r="R85" t="str">
        <v/>
      </c>
      <c r="S85" t="str">
        <v/>
      </c>
      <c r="T85">
        <v>451</v>
      </c>
      <c r="U85">
        <v>396</v>
      </c>
      <c r="V85">
        <v>0.2</v>
      </c>
      <c r="W85">
        <v>4</v>
      </c>
      <c r="X85" s="5">
        <f t="shared" si="5"/>
        <v>11.005291005291006</v>
      </c>
      <c r="Y85" s="6">
        <f t="shared" si="6"/>
        <v>200015473.99999997</v>
      </c>
    </row>
    <row r="86" spans="2:25" x14ac:dyDescent="0.25">
      <c r="B86" t="str">
        <f>Siam_Chart[[#This Row],[Name]]</f>
        <v>BBL</v>
      </c>
      <c r="C86">
        <f>Siam_Chart[[#This Row],[No.]]</f>
        <v>85</v>
      </c>
      <c r="D86">
        <f>Siam_Chart[[#This Row],[Last]]</f>
        <v>190.5</v>
      </c>
      <c r="E86">
        <f>Siam_Chart[[#This Row],[Chg%]]</f>
        <v>-1.04</v>
      </c>
      <c r="F86">
        <f>Siam_Chart[[#This Row],[Volume]]</f>
        <v>12189195</v>
      </c>
      <c r="G86">
        <f>Siam_Chart[[#This Row],[Value (k)]]</f>
        <v>2331855585</v>
      </c>
      <c r="H86" cm="1">
        <f t="array" ref="H86:W86">Siam_Chart[[#This Row],[MCap (M)]:[CG]]</f>
        <v>363634571307</v>
      </c>
      <c r="I86">
        <v>8.19</v>
      </c>
      <c r="J86">
        <v>0.63</v>
      </c>
      <c r="K86">
        <v>7.0533000000000001</v>
      </c>
      <c r="L86">
        <v>8</v>
      </c>
      <c r="M86">
        <v>10.74</v>
      </c>
      <c r="N86">
        <v>2.4542359999999999</v>
      </c>
      <c r="O86">
        <v>7.2950340000000002</v>
      </c>
      <c r="P86">
        <v>18.605720000000002</v>
      </c>
      <c r="Q86">
        <v>5.25</v>
      </c>
      <c r="R86" t="str">
        <v/>
      </c>
      <c r="S86" t="str">
        <v/>
      </c>
      <c r="T86">
        <v>523</v>
      </c>
      <c r="U86">
        <v>837</v>
      </c>
      <c r="V86">
        <v>0.52</v>
      </c>
      <c r="W86">
        <v>5</v>
      </c>
      <c r="X86" s="5">
        <f t="shared" si="5"/>
        <v>302.38095238095235</v>
      </c>
      <c r="Y86" s="6">
        <f t="shared" si="6"/>
        <v>1908842894</v>
      </c>
    </row>
    <row r="87" spans="2:25" x14ac:dyDescent="0.25">
      <c r="B87" t="str">
        <f>Siam_Chart[[#This Row],[Name]]</f>
        <v>BC</v>
      </c>
      <c r="C87">
        <f>Siam_Chart[[#This Row],[No.]]</f>
        <v>86</v>
      </c>
      <c r="D87">
        <f>Siam_Chart[[#This Row],[Last]]</f>
        <v>0.48</v>
      </c>
      <c r="E87">
        <f>Siam_Chart[[#This Row],[Chg%]]</f>
        <v>-4</v>
      </c>
      <c r="F87">
        <f>Siam_Chart[[#This Row],[Volume]]</f>
        <v>244502</v>
      </c>
      <c r="G87">
        <f>Siam_Chart[[#This Row],[Value (k)]]</f>
        <v>118812.02</v>
      </c>
      <c r="H87" cm="1">
        <f t="array" ref="H87:W87">Siam_Chart[[#This Row],[MCap (M)]:[CG]]</f>
        <v>279174402.24000001</v>
      </c>
      <c r="I87">
        <v>296622802.38</v>
      </c>
      <c r="J87">
        <v>0.49</v>
      </c>
      <c r="K87">
        <v>2.9315120000000001</v>
      </c>
      <c r="L87">
        <v>5.1999999999999998E-2</v>
      </c>
      <c r="M87">
        <v>-0.11</v>
      </c>
      <c r="N87">
        <v>-2.7834819999999998</v>
      </c>
      <c r="O87">
        <v>-22.874766000000001</v>
      </c>
      <c r="P87">
        <v>-38.089691999999999</v>
      </c>
      <c r="Q87">
        <v>0.52</v>
      </c>
      <c r="R87" t="str">
        <v/>
      </c>
      <c r="S87" t="str">
        <v/>
      </c>
      <c r="T87">
        <v>0</v>
      </c>
      <c r="U87">
        <v>0</v>
      </c>
      <c r="V87">
        <v>0</v>
      </c>
      <c r="W87">
        <v>4</v>
      </c>
      <c r="X87" s="5">
        <f t="shared" si="5"/>
        <v>0.97959183673469385</v>
      </c>
      <c r="Y87" s="6">
        <f t="shared" si="6"/>
        <v>581613338</v>
      </c>
    </row>
    <row r="88" spans="2:25" x14ac:dyDescent="0.25">
      <c r="B88" t="str">
        <f>Siam_Chart[[#This Row],[Name]]</f>
        <v>BCH</v>
      </c>
      <c r="C88">
        <f>Siam_Chart[[#This Row],[No.]]</f>
        <v>87</v>
      </c>
      <c r="D88">
        <f>Siam_Chart[[#This Row],[Last]]</f>
        <v>11.1</v>
      </c>
      <c r="E88">
        <f>Siam_Chart[[#This Row],[Chg%]]</f>
        <v>-2.63</v>
      </c>
      <c r="F88">
        <f>Siam_Chart[[#This Row],[Volume]]</f>
        <v>6066301</v>
      </c>
      <c r="G88">
        <f>Siam_Chart[[#This Row],[Value (k)]]</f>
        <v>67325877.900000006</v>
      </c>
      <c r="H88" cm="1">
        <f t="array" ref="H88:W88">Siam_Chart[[#This Row],[MCap (M)]:[CG]]</f>
        <v>27680602622.400002</v>
      </c>
      <c r="I88">
        <v>22.74</v>
      </c>
      <c r="J88">
        <v>2.12</v>
      </c>
      <c r="K88">
        <v>0.23822099999999999</v>
      </c>
      <c r="L88">
        <v>0.35</v>
      </c>
      <c r="M88">
        <v>0.24</v>
      </c>
      <c r="N88">
        <v>9.9675639999999994</v>
      </c>
      <c r="O88">
        <v>9.3533500000000007</v>
      </c>
      <c r="P88">
        <v>11.032413999999999</v>
      </c>
      <c r="Q88">
        <v>4.05</v>
      </c>
      <c r="R88" t="str">
        <v/>
      </c>
      <c r="S88" t="str">
        <v/>
      </c>
      <c r="T88">
        <v>865</v>
      </c>
      <c r="U88">
        <v>727</v>
      </c>
      <c r="V88">
        <v>-0.75</v>
      </c>
      <c r="W88">
        <v>5</v>
      </c>
      <c r="X88" s="5">
        <f t="shared" si="5"/>
        <v>5.2358490566037732</v>
      </c>
      <c r="Y88" s="6">
        <f t="shared" si="6"/>
        <v>2493747984</v>
      </c>
    </row>
    <row r="89" spans="2:25" x14ac:dyDescent="0.25">
      <c r="B89" t="str">
        <f>Siam_Chart[[#This Row],[Name]]</f>
        <v>BCP</v>
      </c>
      <c r="C89">
        <f>Siam_Chart[[#This Row],[No.]]</f>
        <v>88</v>
      </c>
      <c r="D89">
        <f>Siam_Chart[[#This Row],[Last]]</f>
        <v>54</v>
      </c>
      <c r="E89">
        <f>Siam_Chart[[#This Row],[Chg%]]</f>
        <v>-1.37</v>
      </c>
      <c r="F89">
        <f>Siam_Chart[[#This Row],[Volume]]</f>
        <v>20305549</v>
      </c>
      <c r="G89">
        <f>Siam_Chart[[#This Row],[Value (k)]]</f>
        <v>1094032498.5</v>
      </c>
      <c r="H89" cm="1">
        <f t="array" ref="H89:W89">Siam_Chart[[#This Row],[MCap (M)]:[CG]]</f>
        <v>79522594938</v>
      </c>
      <c r="I89">
        <v>3.64</v>
      </c>
      <c r="J89">
        <v>0.95</v>
      </c>
      <c r="K89">
        <v>2.6523530000000002</v>
      </c>
      <c r="L89">
        <v>1.05</v>
      </c>
      <c r="M89">
        <v>12.51</v>
      </c>
      <c r="N89">
        <v>11.738598</v>
      </c>
      <c r="O89">
        <v>30.936361999999999</v>
      </c>
      <c r="P89">
        <v>6.2021230000000003</v>
      </c>
      <c r="Q89">
        <v>1.96</v>
      </c>
      <c r="R89" t="str">
        <v/>
      </c>
      <c r="S89" t="str">
        <v/>
      </c>
      <c r="T89">
        <v>46</v>
      </c>
      <c r="U89">
        <v>143</v>
      </c>
      <c r="V89">
        <v>0.71</v>
      </c>
      <c r="W89">
        <v>4</v>
      </c>
      <c r="X89" s="5">
        <f t="shared" si="5"/>
        <v>56.842105263157897</v>
      </c>
      <c r="Y89" s="6">
        <f t="shared" si="6"/>
        <v>1472640647</v>
      </c>
    </row>
    <row r="90" spans="2:25" x14ac:dyDescent="0.25">
      <c r="B90" t="str">
        <f>Siam_Chart[[#This Row],[Name]]</f>
        <v>BCPG</v>
      </c>
      <c r="C90">
        <f>Siam_Chart[[#This Row],[No.]]</f>
        <v>89</v>
      </c>
      <c r="D90">
        <f>Siam_Chart[[#This Row],[Last]]</f>
        <v>7.15</v>
      </c>
      <c r="E90">
        <f>Siam_Chart[[#This Row],[Chg%]]</f>
        <v>-1.38</v>
      </c>
      <c r="F90">
        <f>Siam_Chart[[#This Row],[Volume]]</f>
        <v>5254670</v>
      </c>
      <c r="G90">
        <f>Siam_Chart[[#This Row],[Value (k)]]</f>
        <v>37742064.75</v>
      </c>
      <c r="H90" cm="1">
        <f t="array" ref="H90:W90">Siam_Chart[[#This Row],[MCap (M)]:[CG]]</f>
        <v>21419679273.849998</v>
      </c>
      <c r="I90">
        <v>9.6</v>
      </c>
      <c r="J90">
        <v>0.74</v>
      </c>
      <c r="K90">
        <v>0.90380000000000005</v>
      </c>
      <c r="L90">
        <v>0.25</v>
      </c>
      <c r="M90">
        <v>0.28999999999999998</v>
      </c>
      <c r="N90">
        <v>7.0987580000000001</v>
      </c>
      <c r="O90">
        <v>7.8114619999999997</v>
      </c>
      <c r="P90">
        <v>43.899298000000002</v>
      </c>
      <c r="Q90">
        <v>4.9000000000000004</v>
      </c>
      <c r="R90" t="str">
        <v/>
      </c>
      <c r="S90" t="str">
        <v/>
      </c>
      <c r="T90">
        <v>585</v>
      </c>
      <c r="U90">
        <v>510</v>
      </c>
      <c r="V90">
        <v>-2.4700000000000002</v>
      </c>
      <c r="W90">
        <v>5</v>
      </c>
      <c r="X90" s="5">
        <f t="shared" si="5"/>
        <v>9.6621621621621632</v>
      </c>
      <c r="Y90" s="6">
        <f t="shared" si="6"/>
        <v>2995759338.9999995</v>
      </c>
    </row>
    <row r="91" spans="2:25" x14ac:dyDescent="0.25">
      <c r="B91" t="str">
        <f>Siam_Chart[[#This Row],[Name]]</f>
        <v>BCT</v>
      </c>
      <c r="C91">
        <f>Siam_Chart[[#This Row],[No.]]</f>
        <v>90</v>
      </c>
      <c r="D91">
        <f>Siam_Chart[[#This Row],[Last]]</f>
        <v>50</v>
      </c>
      <c r="E91">
        <f>Siam_Chart[[#This Row],[Chg%]]</f>
        <v>0.5</v>
      </c>
      <c r="F91">
        <f>Siam_Chart[[#This Row],[Volume]]</f>
        <v>1600</v>
      </c>
      <c r="G91">
        <f>Siam_Chart[[#This Row],[Value (k)]]</f>
        <v>79375</v>
      </c>
      <c r="H91" cm="1">
        <f t="array" ref="H91:W91">Siam_Chart[[#This Row],[MCap (M)]:[CG]]</f>
        <v>14925000000</v>
      </c>
      <c r="I91">
        <v>6.52</v>
      </c>
      <c r="J91">
        <v>0.41</v>
      </c>
      <c r="K91">
        <v>0.119757</v>
      </c>
      <c r="L91">
        <v>1</v>
      </c>
      <c r="M91">
        <v>2.0099999999999998</v>
      </c>
      <c r="N91">
        <v>6.92265</v>
      </c>
      <c r="O91">
        <v>6.5073850000000002</v>
      </c>
      <c r="P91">
        <v>23.117556</v>
      </c>
      <c r="Q91">
        <v>2.0099999999999998</v>
      </c>
      <c r="R91" t="str">
        <v/>
      </c>
      <c r="S91" t="str">
        <v/>
      </c>
      <c r="T91">
        <v>639</v>
      </c>
      <c r="U91">
        <v>529</v>
      </c>
      <c r="V91">
        <v>0.12</v>
      </c>
      <c r="W91">
        <v>0</v>
      </c>
      <c r="X91" s="5">
        <f t="shared" si="5"/>
        <v>121.95121951219512</v>
      </c>
      <c r="Y91" s="6">
        <f t="shared" si="6"/>
        <v>298500000</v>
      </c>
    </row>
    <row r="92" spans="2:25" x14ac:dyDescent="0.25">
      <c r="B92" t="str">
        <f>Siam_Chart[[#This Row],[Name]]</f>
        <v>BDMS</v>
      </c>
      <c r="C92">
        <f>Siam_Chart[[#This Row],[No.]]</f>
        <v>91</v>
      </c>
      <c r="D92">
        <f>Siam_Chart[[#This Row],[Last]]</f>
        <v>19.600000000000001</v>
      </c>
      <c r="E92">
        <f>Siam_Chart[[#This Row],[Chg%]]</f>
        <v>-0.51</v>
      </c>
      <c r="F92">
        <f>Siam_Chart[[#This Row],[Volume]]</f>
        <v>57560739</v>
      </c>
      <c r="G92">
        <f>Siam_Chart[[#This Row],[Value (k)]]</f>
        <v>1133571956.7</v>
      </c>
      <c r="H92" cm="1">
        <f t="array" ref="H92:W92">Siam_Chart[[#This Row],[MCap (M)]:[CG]]</f>
        <v>311483237142</v>
      </c>
      <c r="I92">
        <v>20.329999999999998</v>
      </c>
      <c r="J92">
        <v>3.02</v>
      </c>
      <c r="K92">
        <v>0.46912500000000001</v>
      </c>
      <c r="L92">
        <v>0.65</v>
      </c>
      <c r="M92">
        <v>0.46</v>
      </c>
      <c r="N92">
        <v>12.770004999999999</v>
      </c>
      <c r="O92">
        <v>14.959514</v>
      </c>
      <c r="P92">
        <v>13.460514</v>
      </c>
      <c r="Q92">
        <v>5.0999999999999996</v>
      </c>
      <c r="R92" t="str">
        <v/>
      </c>
      <c r="S92" t="str">
        <v/>
      </c>
      <c r="T92">
        <v>703</v>
      </c>
      <c r="U92">
        <v>657</v>
      </c>
      <c r="V92">
        <v>0.97</v>
      </c>
      <c r="W92">
        <v>5</v>
      </c>
      <c r="X92" s="5">
        <f t="shared" si="5"/>
        <v>6.4900662251655632</v>
      </c>
      <c r="Y92" s="6">
        <f t="shared" si="6"/>
        <v>15892001894.999998</v>
      </c>
    </row>
    <row r="93" spans="2:25" x14ac:dyDescent="0.25">
      <c r="B93" t="str">
        <f>Siam_Chart[[#This Row],[Name]]</f>
        <v>BE8</v>
      </c>
      <c r="C93">
        <f>Siam_Chart[[#This Row],[No.]]</f>
        <v>92</v>
      </c>
      <c r="D93">
        <f>Siam_Chart[[#This Row],[Last]]</f>
        <v>5.6</v>
      </c>
      <c r="E93">
        <f>Siam_Chart[[#This Row],[Chg%]]</f>
        <v>0.9</v>
      </c>
      <c r="F93">
        <f>Siam_Chart[[#This Row],[Volume]]</f>
        <v>133786</v>
      </c>
      <c r="G93">
        <f>Siam_Chart[[#This Row],[Value (k)]]</f>
        <v>748897.85</v>
      </c>
      <c r="H93" cm="1">
        <f t="array" ref="H93:W93">Siam_Chart[[#This Row],[MCap (M)]:[CG]]</f>
        <v>1482371144.8</v>
      </c>
      <c r="I93">
        <v>1548548428.05</v>
      </c>
      <c r="J93">
        <v>0.54</v>
      </c>
      <c r="K93">
        <v>0.39227899999999999</v>
      </c>
      <c r="L93">
        <v>0.04</v>
      </c>
      <c r="M93">
        <v>-0.37</v>
      </c>
      <c r="N93">
        <v>-0.76027400000000001</v>
      </c>
      <c r="O93">
        <v>-2.4189059999999998</v>
      </c>
      <c r="P93">
        <v>-8.1191329999999997</v>
      </c>
      <c r="Q93">
        <v>0.71</v>
      </c>
      <c r="R93" t="str">
        <v/>
      </c>
      <c r="S93" t="str">
        <v/>
      </c>
      <c r="T93">
        <v>0</v>
      </c>
      <c r="U93">
        <v>0</v>
      </c>
      <c r="V93">
        <v>0</v>
      </c>
      <c r="W93">
        <v>4</v>
      </c>
      <c r="X93" s="5">
        <f t="shared" si="5"/>
        <v>10.370370370370368</v>
      </c>
      <c r="Y93" s="6">
        <f t="shared" si="6"/>
        <v>264709133</v>
      </c>
    </row>
    <row r="94" spans="2:25" x14ac:dyDescent="0.25">
      <c r="B94" t="str">
        <f>Siam_Chart[[#This Row],[Name]]</f>
        <v>BEAUTY</v>
      </c>
      <c r="C94">
        <f>Siam_Chart[[#This Row],[No.]]</f>
        <v>93</v>
      </c>
      <c r="D94">
        <f>Siam_Chart[[#This Row],[Last]]</f>
        <v>0.35</v>
      </c>
      <c r="E94">
        <f>Siam_Chart[[#This Row],[Chg%]]</f>
        <v>0</v>
      </c>
      <c r="F94">
        <f>Siam_Chart[[#This Row],[Volume]]</f>
        <v>895600</v>
      </c>
      <c r="G94">
        <f>Siam_Chart[[#This Row],[Value (k)]]</f>
        <v>308192</v>
      </c>
      <c r="H94" cm="1">
        <f t="array" ref="H94:W94">Siam_Chart[[#This Row],[MCap (M)]:[CG]]</f>
        <v>1047967737.25</v>
      </c>
      <c r="I94">
        <v>1047967737.25</v>
      </c>
      <c r="J94">
        <v>2.29</v>
      </c>
      <c r="K94">
        <v>0.24046899999999999</v>
      </c>
      <c r="L94">
        <v>-0.01</v>
      </c>
      <c r="M94">
        <v>-0.01</v>
      </c>
      <c r="N94">
        <v>-6.9846440000000003</v>
      </c>
      <c r="O94">
        <v>-9.0622050000000005</v>
      </c>
      <c r="P94">
        <v>-26.779038</v>
      </c>
      <c r="Q94">
        <v>2.29</v>
      </c>
      <c r="R94" t="str">
        <v/>
      </c>
      <c r="S94" t="str">
        <v/>
      </c>
      <c r="T94">
        <v>0</v>
      </c>
      <c r="U94">
        <v>0</v>
      </c>
      <c r="V94">
        <v>0</v>
      </c>
      <c r="W94">
        <v>0</v>
      </c>
      <c r="X94" s="5">
        <f t="shared" si="5"/>
        <v>0.15283842794759825</v>
      </c>
      <c r="Y94" s="6">
        <f t="shared" si="6"/>
        <v>2994193535</v>
      </c>
    </row>
    <row r="95" spans="2:25" x14ac:dyDescent="0.25">
      <c r="B95" t="str">
        <f>Siam_Chart[[#This Row],[Name]]</f>
        <v>BEC</v>
      </c>
      <c r="C95">
        <f>Siam_Chart[[#This Row],[No.]]</f>
        <v>94</v>
      </c>
      <c r="D95">
        <f>Siam_Chart[[#This Row],[Last]]</f>
        <v>2</v>
      </c>
      <c r="E95">
        <f>Siam_Chart[[#This Row],[Chg%]]</f>
        <v>-0.99</v>
      </c>
      <c r="F95">
        <f>Siam_Chart[[#This Row],[Volume]]</f>
        <v>365244</v>
      </c>
      <c r="G95">
        <f>Siam_Chart[[#This Row],[Value (k)]]</f>
        <v>727467.42</v>
      </c>
      <c r="H95" cm="1">
        <f t="array" ref="H95:W95">Siam_Chart[[#This Row],[MCap (M)]:[CG]]</f>
        <v>4000000000</v>
      </c>
      <c r="I95">
        <v>25.33</v>
      </c>
      <c r="J95">
        <v>0.66</v>
      </c>
      <c r="K95">
        <v>0.32271899999999998</v>
      </c>
      <c r="L95">
        <v>0.04</v>
      </c>
      <c r="M95">
        <v>0.01</v>
      </c>
      <c r="N95">
        <v>3.8959999999999999</v>
      </c>
      <c r="O95">
        <v>2.61252</v>
      </c>
      <c r="P95">
        <v>0.92669299999999999</v>
      </c>
      <c r="Q95">
        <v>5</v>
      </c>
      <c r="R95" t="str">
        <v/>
      </c>
      <c r="S95" t="str">
        <v/>
      </c>
      <c r="T95">
        <v>1151</v>
      </c>
      <c r="U95">
        <v>1070</v>
      </c>
      <c r="V95">
        <v>-3.32</v>
      </c>
      <c r="W95">
        <v>5</v>
      </c>
      <c r="X95" s="5">
        <f t="shared" si="5"/>
        <v>3.0303030303030303</v>
      </c>
      <c r="Y95" s="6">
        <f t="shared" si="6"/>
        <v>2000000000</v>
      </c>
    </row>
    <row r="96" spans="2:25" x14ac:dyDescent="0.25">
      <c r="B96" t="str">
        <f>Siam_Chart[[#This Row],[Name]]</f>
        <v>BEM</v>
      </c>
      <c r="C96">
        <f>Siam_Chart[[#This Row],[No.]]</f>
        <v>95</v>
      </c>
      <c r="D96">
        <f>Siam_Chart[[#This Row],[Last]]</f>
        <v>7.05</v>
      </c>
      <c r="E96">
        <f>Siam_Chart[[#This Row],[Chg%]]</f>
        <v>-0.7</v>
      </c>
      <c r="F96">
        <f>Siam_Chart[[#This Row],[Volume]]</f>
        <v>16367172</v>
      </c>
      <c r="G96">
        <f>Siam_Chart[[#This Row],[Value (k)]]</f>
        <v>115474404.3</v>
      </c>
      <c r="H96" cm="1">
        <f t="array" ref="H96:W96">Siam_Chart[[#This Row],[MCap (M)]:[CG]]</f>
        <v>107759250000</v>
      </c>
      <c r="I96">
        <v>27.76</v>
      </c>
      <c r="J96">
        <v>2.84</v>
      </c>
      <c r="K96">
        <v>3.6947130000000001</v>
      </c>
      <c r="L96">
        <v>0.15</v>
      </c>
      <c r="M96">
        <v>0.13</v>
      </c>
      <c r="N96">
        <v>4.2931140000000001</v>
      </c>
      <c r="O96">
        <v>10.580429000000001</v>
      </c>
      <c r="P96">
        <v>21.852616999999999</v>
      </c>
      <c r="Q96">
        <v>2.13</v>
      </c>
      <c r="R96" t="str">
        <v/>
      </c>
      <c r="S96" t="str">
        <v/>
      </c>
      <c r="T96">
        <v>887</v>
      </c>
      <c r="U96">
        <v>1086</v>
      </c>
      <c r="V96">
        <v>0.59</v>
      </c>
      <c r="W96">
        <v>5</v>
      </c>
      <c r="X96" s="5">
        <f t="shared" si="5"/>
        <v>2.482394366197183</v>
      </c>
      <c r="Y96" s="6">
        <f t="shared" si="6"/>
        <v>15285000000</v>
      </c>
    </row>
    <row r="97" spans="2:25" x14ac:dyDescent="0.25">
      <c r="B97" t="str">
        <f>Siam_Chart[[#This Row],[Name]]</f>
        <v>BEYOND</v>
      </c>
      <c r="C97">
        <f>Siam_Chart[[#This Row],[No.]]</f>
        <v>96</v>
      </c>
      <c r="D97">
        <f>Siam_Chart[[#This Row],[Last]]</f>
        <v>8.1</v>
      </c>
      <c r="E97">
        <f>Siam_Chart[[#This Row],[Chg%]]</f>
        <v>0.62</v>
      </c>
      <c r="F97">
        <f>Siam_Chart[[#This Row],[Volume]]</f>
        <v>3900</v>
      </c>
      <c r="G97">
        <f>Siam_Chart[[#This Row],[Value (k)]]</f>
        <v>31250</v>
      </c>
      <c r="H97" cm="1">
        <f t="array" ref="H97:W97">Siam_Chart[[#This Row],[MCap (M)]:[CG]]</f>
        <v>2349556713</v>
      </c>
      <c r="I97">
        <v>22.87</v>
      </c>
      <c r="J97">
        <v>0.35</v>
      </c>
      <c r="K97">
        <v>0.944102</v>
      </c>
      <c r="L97">
        <v>0.23</v>
      </c>
      <c r="M97">
        <v>0.23</v>
      </c>
      <c r="N97">
        <v>3.8191130000000002</v>
      </c>
      <c r="O97">
        <v>1.5627759999999999</v>
      </c>
      <c r="P97">
        <v>3.4603820000000001</v>
      </c>
      <c r="Q97">
        <v>0.35</v>
      </c>
      <c r="R97" t="str">
        <v/>
      </c>
      <c r="S97" t="str">
        <v/>
      </c>
      <c r="T97">
        <v>1306</v>
      </c>
      <c r="U97">
        <v>1178</v>
      </c>
      <c r="V97">
        <v>-0.32</v>
      </c>
      <c r="W97">
        <v>5</v>
      </c>
      <c r="X97" s="5">
        <f t="shared" si="5"/>
        <v>23.142857142857142</v>
      </c>
      <c r="Y97" s="6">
        <f t="shared" si="6"/>
        <v>290068730</v>
      </c>
    </row>
    <row r="98" spans="2:25" x14ac:dyDescent="0.25">
      <c r="B98" t="str">
        <f>Siam_Chart[[#This Row],[Name]]</f>
        <v>BGC</v>
      </c>
      <c r="C98">
        <f>Siam_Chart[[#This Row],[No.]]</f>
        <v>97</v>
      </c>
      <c r="D98">
        <f>Siam_Chart[[#This Row],[Last]]</f>
        <v>6.9</v>
      </c>
      <c r="E98">
        <f>Siam_Chart[[#This Row],[Chg%]]</f>
        <v>-0.72</v>
      </c>
      <c r="F98">
        <f>Siam_Chart[[#This Row],[Volume]]</f>
        <v>5500</v>
      </c>
      <c r="G98">
        <f>Siam_Chart[[#This Row],[Value (k)]]</f>
        <v>38470</v>
      </c>
      <c r="H98" cm="1">
        <f t="array" ref="H98:W98">Siam_Chart[[#This Row],[MCap (M)]:[CG]]</f>
        <v>4791663600</v>
      </c>
      <c r="I98">
        <v>78.760000000000005</v>
      </c>
      <c r="J98">
        <v>0.87</v>
      </c>
      <c r="K98">
        <v>1.809501</v>
      </c>
      <c r="L98">
        <v>0.04</v>
      </c>
      <c r="M98">
        <v>0.17</v>
      </c>
      <c r="N98">
        <v>0.98563400000000001</v>
      </c>
      <c r="O98">
        <v>1.100095</v>
      </c>
      <c r="P98">
        <v>1.774575</v>
      </c>
      <c r="Q98">
        <v>2.21</v>
      </c>
      <c r="R98" t="str">
        <v/>
      </c>
      <c r="S98" t="str">
        <v/>
      </c>
      <c r="T98">
        <v>1319</v>
      </c>
      <c r="U98">
        <v>1348</v>
      </c>
      <c r="V98">
        <v>-2.37</v>
      </c>
      <c r="W98">
        <v>5</v>
      </c>
      <c r="X98" s="5">
        <f t="shared" si="5"/>
        <v>7.931034482758621</v>
      </c>
      <c r="Y98" s="6">
        <f t="shared" si="6"/>
        <v>694444000</v>
      </c>
    </row>
    <row r="99" spans="2:25" x14ac:dyDescent="0.25">
      <c r="B99" t="str">
        <f>Siam_Chart[[#This Row],[Name]]</f>
        <v>BGRIM</v>
      </c>
      <c r="C99">
        <f>Siam_Chart[[#This Row],[No.]]</f>
        <v>98</v>
      </c>
      <c r="D99">
        <f>Siam_Chart[[#This Row],[Last]]</f>
        <v>20.8</v>
      </c>
      <c r="E99">
        <f>Siam_Chart[[#This Row],[Chg%]]</f>
        <v>-0.95</v>
      </c>
      <c r="F99">
        <f>Siam_Chart[[#This Row],[Volume]]</f>
        <v>35736853</v>
      </c>
      <c r="G99">
        <f>Siam_Chart[[#This Row],[Value (k)]]</f>
        <v>750405245.5</v>
      </c>
      <c r="H99" cm="1">
        <f t="array" ref="H99:W99">Siam_Chart[[#This Row],[MCap (M)]:[CG]]</f>
        <v>54223520000</v>
      </c>
      <c r="I99">
        <v>22.48</v>
      </c>
      <c r="J99">
        <v>1.56</v>
      </c>
      <c r="K99">
        <v>2.9273280000000002</v>
      </c>
      <c r="L99">
        <v>0.18</v>
      </c>
      <c r="M99">
        <v>0.36</v>
      </c>
      <c r="N99">
        <v>5.3231630000000001</v>
      </c>
      <c r="O99">
        <v>6.9232899999999997</v>
      </c>
      <c r="P99">
        <v>7.4011480000000001</v>
      </c>
      <c r="Q99">
        <v>1.98</v>
      </c>
      <c r="R99" t="str">
        <v/>
      </c>
      <c r="S99" t="str">
        <v/>
      </c>
      <c r="T99">
        <v>1110</v>
      </c>
      <c r="U99">
        <v>1044</v>
      </c>
      <c r="V99">
        <v>-0.25</v>
      </c>
      <c r="W99">
        <v>5</v>
      </c>
      <c r="X99" s="5">
        <f t="shared" si="5"/>
        <v>13.333333333333334</v>
      </c>
      <c r="Y99" s="6">
        <f t="shared" si="6"/>
        <v>2606900000</v>
      </c>
    </row>
    <row r="100" spans="2:25" x14ac:dyDescent="0.25">
      <c r="B100" t="str">
        <f>Siam_Chart[[#This Row],[Name]]</f>
        <v>BGT</v>
      </c>
      <c r="C100">
        <f>Siam_Chart[[#This Row],[No.]]</f>
        <v>99</v>
      </c>
      <c r="D100">
        <f>Siam_Chart[[#This Row],[Last]]</f>
        <v>0.38</v>
      </c>
      <c r="E100">
        <f>Siam_Chart[[#This Row],[Chg%]]</f>
        <v>2.7</v>
      </c>
      <c r="F100">
        <f>Siam_Chart[[#This Row],[Volume]]</f>
        <v>358400</v>
      </c>
      <c r="G100">
        <f>Siam_Chart[[#This Row],[Value (k)]]</f>
        <v>137793</v>
      </c>
      <c r="H100" cm="1">
        <f t="array" ref="H100:W100">Siam_Chart[[#This Row],[MCap (M)]:[CG]]</f>
        <v>138137563.52000001</v>
      </c>
      <c r="I100">
        <v>134502364.47999999</v>
      </c>
      <c r="J100">
        <v>0.45</v>
      </c>
      <c r="K100">
        <v>1.0015179999999999</v>
      </c>
      <c r="L100">
        <v>-0.04</v>
      </c>
      <c r="M100">
        <v>-0.04</v>
      </c>
      <c r="N100">
        <v>0.45816899999999999</v>
      </c>
      <c r="O100">
        <v>-4.027393</v>
      </c>
      <c r="P100">
        <v>-5.1970970000000003</v>
      </c>
      <c r="Q100">
        <v>0.44</v>
      </c>
      <c r="R100" t="str">
        <v/>
      </c>
      <c r="S100" t="str">
        <v/>
      </c>
      <c r="T100">
        <v>0</v>
      </c>
      <c r="U100">
        <v>0</v>
      </c>
      <c r="V100">
        <v>0</v>
      </c>
      <c r="W100">
        <v>0</v>
      </c>
      <c r="X100" s="5">
        <f t="shared" si="5"/>
        <v>0.84444444444444444</v>
      </c>
      <c r="Y100" s="6">
        <f t="shared" si="6"/>
        <v>363519904</v>
      </c>
    </row>
    <row r="101" spans="2:25" x14ac:dyDescent="0.25">
      <c r="B101" t="str">
        <f>Siam_Chart[[#This Row],[Name]]</f>
        <v>BH</v>
      </c>
      <c r="C101">
        <f>Siam_Chart[[#This Row],[No.]]</f>
        <v>100</v>
      </c>
      <c r="D101">
        <f>Siam_Chart[[#This Row],[Last]]</f>
        <v>200</v>
      </c>
      <c r="E101">
        <f>Siam_Chart[[#This Row],[Chg%]]</f>
        <v>-2.44</v>
      </c>
      <c r="F101">
        <f>Siam_Chart[[#This Row],[Volume]]</f>
        <v>3513306</v>
      </c>
      <c r="G101">
        <f>Siam_Chart[[#This Row],[Value (k)]]</f>
        <v>708178333</v>
      </c>
      <c r="H101" cm="1">
        <f t="array" ref="H101:W101">Siam_Chart[[#This Row],[MCap (M)]:[CG]]</f>
        <v>158993318400</v>
      </c>
      <c r="I101">
        <v>20.94</v>
      </c>
      <c r="J101">
        <v>5.81</v>
      </c>
      <c r="K101">
        <v>0.19656000000000001</v>
      </c>
      <c r="L101">
        <v>9</v>
      </c>
      <c r="M101">
        <v>4.63</v>
      </c>
      <c r="N101">
        <v>28.150777000000001</v>
      </c>
      <c r="O101">
        <v>27.127690999999999</v>
      </c>
      <c r="P101">
        <v>29.372385999999999</v>
      </c>
      <c r="Q101">
        <v>5.5</v>
      </c>
      <c r="R101" t="str">
        <v/>
      </c>
      <c r="S101" t="str">
        <v/>
      </c>
      <c r="T101">
        <v>594</v>
      </c>
      <c r="U101">
        <v>552</v>
      </c>
      <c r="V101">
        <v>0.22</v>
      </c>
      <c r="W101">
        <v>5</v>
      </c>
      <c r="X101" s="5">
        <f t="shared" si="5"/>
        <v>34.423407917383827</v>
      </c>
      <c r="Y101" s="6">
        <f t="shared" si="6"/>
        <v>794966592</v>
      </c>
    </row>
    <row r="102" spans="2:25" x14ac:dyDescent="0.25">
      <c r="B102" t="str">
        <f>Siam_Chart[[#This Row],[Name]]</f>
        <v>BIG</v>
      </c>
      <c r="C102">
        <f>Siam_Chart[[#This Row],[No.]]</f>
        <v>101</v>
      </c>
      <c r="D102">
        <f>Siam_Chart[[#This Row],[Last]]</f>
        <v>0.33</v>
      </c>
      <c r="E102">
        <f>Siam_Chart[[#This Row],[Chg%]]</f>
        <v>-2.94</v>
      </c>
      <c r="F102">
        <f>Siam_Chart[[#This Row],[Volume]]</f>
        <v>659700</v>
      </c>
      <c r="G102">
        <f>Siam_Chart[[#This Row],[Value (k)]]</f>
        <v>217668</v>
      </c>
      <c r="H102" cm="1">
        <f t="array" ref="H102:W102">Siam_Chart[[#This Row],[MCap (M)]:[CG]]</f>
        <v>1164530004</v>
      </c>
      <c r="I102">
        <v>12.17</v>
      </c>
      <c r="J102">
        <v>0.63</v>
      </c>
      <c r="K102">
        <v>0.52049100000000004</v>
      </c>
      <c r="L102">
        <v>0.01</v>
      </c>
      <c r="M102">
        <v>0.01</v>
      </c>
      <c r="N102">
        <v>4.7196800000000003</v>
      </c>
      <c r="O102">
        <v>5.2747999999999999</v>
      </c>
      <c r="P102">
        <v>2.4811869999999998</v>
      </c>
      <c r="Q102">
        <v>3.03</v>
      </c>
      <c r="R102" t="str">
        <v/>
      </c>
      <c r="S102" t="str">
        <v/>
      </c>
      <c r="T102">
        <v>874</v>
      </c>
      <c r="U102">
        <v>838</v>
      </c>
      <c r="V102">
        <v>-0.27</v>
      </c>
      <c r="W102">
        <v>4</v>
      </c>
      <c r="X102" s="5">
        <f t="shared" si="5"/>
        <v>0.52380952380952384</v>
      </c>
      <c r="Y102" s="6">
        <f t="shared" si="6"/>
        <v>3528878800</v>
      </c>
    </row>
    <row r="103" spans="2:25" x14ac:dyDescent="0.25">
      <c r="B103" t="str">
        <f>Siam_Chart[[#This Row],[Name]]</f>
        <v>BIOTEC</v>
      </c>
      <c r="C103">
        <f>Siam_Chart[[#This Row],[No.]]</f>
        <v>102</v>
      </c>
      <c r="D103">
        <f>Siam_Chart[[#This Row],[Last]]</f>
        <v>0.28000000000000003</v>
      </c>
      <c r="E103">
        <f>Siam_Chart[[#This Row],[Chg%]]</f>
        <v>0</v>
      </c>
      <c r="F103">
        <f>Siam_Chart[[#This Row],[Volume]]</f>
        <v>3382600</v>
      </c>
      <c r="G103">
        <f>Siam_Chart[[#This Row],[Value (k)]]</f>
        <v>946967</v>
      </c>
      <c r="H103" cm="1">
        <f t="array" ref="H103:W103">Siam_Chart[[#This Row],[MCap (M)]:[CG]]</f>
        <v>854941416.55999994</v>
      </c>
      <c r="I103">
        <v>4.6399999999999997</v>
      </c>
      <c r="J103">
        <v>0.7</v>
      </c>
      <c r="K103">
        <v>1.0825709999999999</v>
      </c>
      <c r="L103">
        <v>0.03</v>
      </c>
      <c r="M103">
        <v>0.03</v>
      </c>
      <c r="N103">
        <v>10.258782</v>
      </c>
      <c r="O103">
        <v>16.447216000000001</v>
      </c>
      <c r="P103">
        <v>3.8325719999999999</v>
      </c>
      <c r="Q103">
        <v>0.68</v>
      </c>
      <c r="R103" t="str">
        <v/>
      </c>
      <c r="S103" t="str">
        <v/>
      </c>
      <c r="T103">
        <v>668</v>
      </c>
      <c r="U103">
        <v>698</v>
      </c>
      <c r="V103">
        <v>-0.11</v>
      </c>
      <c r="W103">
        <v>3</v>
      </c>
      <c r="X103" s="5">
        <f t="shared" si="5"/>
        <v>0.40000000000000008</v>
      </c>
      <c r="Y103" s="6">
        <f t="shared" si="6"/>
        <v>3053362201.9999995</v>
      </c>
    </row>
    <row r="104" spans="2:25" x14ac:dyDescent="0.25">
      <c r="B104" t="str">
        <f>Siam_Chart[[#This Row],[Name]]</f>
        <v>BIS</v>
      </c>
      <c r="C104">
        <f>Siam_Chart[[#This Row],[No.]]</f>
        <v>103</v>
      </c>
      <c r="D104">
        <f>Siam_Chart[[#This Row],[Last]]</f>
        <v>2.2000000000000002</v>
      </c>
      <c r="E104">
        <f>Siam_Chart[[#This Row],[Chg%]]</f>
        <v>0</v>
      </c>
      <c r="F104">
        <f>Siam_Chart[[#This Row],[Volume]]</f>
        <v>67646</v>
      </c>
      <c r="G104">
        <f>Siam_Chart[[#This Row],[Value (k)]]</f>
        <v>147637.20000000001</v>
      </c>
      <c r="H104" cm="1">
        <f t="array" ref="H104:W104">Siam_Chart[[#This Row],[MCap (M)]:[CG]]</f>
        <v>690800000</v>
      </c>
      <c r="I104">
        <v>20.350000000000001</v>
      </c>
      <c r="J104">
        <v>0.87</v>
      </c>
      <c r="K104">
        <v>0.52488299999999999</v>
      </c>
      <c r="L104">
        <v>0.23</v>
      </c>
      <c r="M104">
        <v>0.1</v>
      </c>
      <c r="N104">
        <v>3.8736929999999998</v>
      </c>
      <c r="O104">
        <v>4.2346640000000004</v>
      </c>
      <c r="P104">
        <v>3.0794830000000002</v>
      </c>
      <c r="Q104">
        <v>5.45</v>
      </c>
      <c r="R104" t="str">
        <v/>
      </c>
      <c r="S104" t="str">
        <v/>
      </c>
      <c r="T104">
        <v>1053</v>
      </c>
      <c r="U104">
        <v>1015</v>
      </c>
      <c r="V104">
        <v>-1.66</v>
      </c>
      <c r="W104">
        <v>3</v>
      </c>
      <c r="X104" s="5">
        <f t="shared" si="5"/>
        <v>2.5287356321839081</v>
      </c>
      <c r="Y104" s="6">
        <f t="shared" si="6"/>
        <v>314000000</v>
      </c>
    </row>
    <row r="105" spans="2:25" x14ac:dyDescent="0.25">
      <c r="B105" t="str">
        <f>Siam_Chart[[#This Row],[Name]]</f>
        <v>BIZ</v>
      </c>
      <c r="C105">
        <f>Siam_Chart[[#This Row],[No.]]</f>
        <v>104</v>
      </c>
      <c r="D105">
        <f>Siam_Chart[[#This Row],[Last]]</f>
        <v>5.95</v>
      </c>
      <c r="E105">
        <f>Siam_Chart[[#This Row],[Chg%]]</f>
        <v>0.85</v>
      </c>
      <c r="F105">
        <f>Siam_Chart[[#This Row],[Volume]]</f>
        <v>199881</v>
      </c>
      <c r="G105">
        <f>Siam_Chart[[#This Row],[Value (k)]]</f>
        <v>1190122</v>
      </c>
      <c r="H105" cm="1">
        <f t="array" ref="H105:W105">Siam_Chart[[#This Row],[MCap (M)]:[CG]]</f>
        <v>3574373184.5500002</v>
      </c>
      <c r="I105">
        <v>8.17</v>
      </c>
      <c r="J105">
        <v>4.13</v>
      </c>
      <c r="K105">
        <v>0.99148499999999995</v>
      </c>
      <c r="L105">
        <v>0.5</v>
      </c>
      <c r="M105">
        <v>0.31</v>
      </c>
      <c r="N105">
        <v>29.653904000000001</v>
      </c>
      <c r="O105">
        <v>55.020854999999997</v>
      </c>
      <c r="P105">
        <v>17.755099000000001</v>
      </c>
      <c r="Q105">
        <v>8.4</v>
      </c>
      <c r="R105" t="str">
        <v/>
      </c>
      <c r="S105" t="str">
        <v/>
      </c>
      <c r="T105">
        <v>169</v>
      </c>
      <c r="U105">
        <v>164</v>
      </c>
      <c r="V105">
        <v>1.1000000000000001</v>
      </c>
      <c r="W105">
        <v>5</v>
      </c>
      <c r="X105" s="5">
        <f t="shared" si="5"/>
        <v>1.4406779661016951</v>
      </c>
      <c r="Y105" s="6">
        <f t="shared" si="6"/>
        <v>600734989</v>
      </c>
    </row>
    <row r="106" spans="2:25" x14ac:dyDescent="0.25">
      <c r="B106" t="str">
        <f>Siam_Chart[[#This Row],[Name]]</f>
        <v>BJC</v>
      </c>
      <c r="C106">
        <f>Siam_Chart[[#This Row],[No.]]</f>
        <v>105</v>
      </c>
      <c r="D106">
        <f>Siam_Chart[[#This Row],[Last]]</f>
        <v>16</v>
      </c>
      <c r="E106">
        <f>Siam_Chart[[#This Row],[Chg%]]</f>
        <v>-0.62</v>
      </c>
      <c r="F106">
        <f>Siam_Chart[[#This Row],[Volume]]</f>
        <v>5705564</v>
      </c>
      <c r="G106">
        <f>Siam_Chart[[#This Row],[Value (k)]]</f>
        <v>91038232</v>
      </c>
      <c r="H106" cm="1">
        <f t="array" ref="H106:W106">Siam_Chart[[#This Row],[MCap (M)]:[CG]]</f>
        <v>64124747184</v>
      </c>
      <c r="I106">
        <v>10.93</v>
      </c>
      <c r="J106">
        <v>0.55000000000000004</v>
      </c>
      <c r="K106">
        <v>1.863497</v>
      </c>
      <c r="L106">
        <v>0.17</v>
      </c>
      <c r="M106">
        <v>0.98</v>
      </c>
      <c r="N106">
        <v>4.2094300000000002</v>
      </c>
      <c r="O106">
        <v>4.9625950000000003</v>
      </c>
      <c r="P106">
        <v>4.9341249999999999</v>
      </c>
      <c r="Q106">
        <v>3.19</v>
      </c>
      <c r="R106" t="str">
        <v/>
      </c>
      <c r="S106" t="str">
        <v/>
      </c>
      <c r="T106">
        <v>1049</v>
      </c>
      <c r="U106">
        <v>1003</v>
      </c>
      <c r="V106">
        <v>3.28</v>
      </c>
      <c r="W106">
        <v>5</v>
      </c>
      <c r="X106" s="5">
        <f t="shared" si="5"/>
        <v>29.09090909090909</v>
      </c>
      <c r="Y106" s="6">
        <f t="shared" si="6"/>
        <v>4007796699</v>
      </c>
    </row>
    <row r="107" spans="2:25" x14ac:dyDescent="0.25">
      <c r="B107" t="str">
        <f>Siam_Chart[[#This Row],[Name]]</f>
        <v>BJCHI</v>
      </c>
      <c r="C107">
        <f>Siam_Chart[[#This Row],[No.]]</f>
        <v>106</v>
      </c>
      <c r="D107">
        <f>Siam_Chart[[#This Row],[Last]]</f>
        <v>3.56</v>
      </c>
      <c r="E107">
        <f>Siam_Chart[[#This Row],[Chg%]]</f>
        <v>-1.1100000000000001</v>
      </c>
      <c r="F107">
        <f>Siam_Chart[[#This Row],[Volume]]</f>
        <v>8910</v>
      </c>
      <c r="G107">
        <f>Siam_Chart[[#This Row],[Value (k)]]</f>
        <v>31854</v>
      </c>
      <c r="H107" cm="1">
        <f t="array" ref="H107:W107">Siam_Chart[[#This Row],[MCap (M)]:[CG]]</f>
        <v>1423724100</v>
      </c>
      <c r="I107">
        <v>278.39999999999998</v>
      </c>
      <c r="J107">
        <v>0.45</v>
      </c>
      <c r="K107">
        <v>8.9649000000000006E-2</v>
      </c>
      <c r="L107">
        <v>1.7100000000000001E-2</v>
      </c>
      <c r="M107">
        <v>0.18</v>
      </c>
      <c r="N107">
        <v>5.5981999999999997E-2</v>
      </c>
      <c r="O107">
        <v>0.16166</v>
      </c>
      <c r="P107">
        <v>13.409698000000001</v>
      </c>
      <c r="Q107">
        <v>1.94</v>
      </c>
      <c r="R107" t="str">
        <v/>
      </c>
      <c r="S107" t="str">
        <v/>
      </c>
      <c r="T107">
        <v>0</v>
      </c>
      <c r="U107">
        <v>0</v>
      </c>
      <c r="V107">
        <v>0</v>
      </c>
      <c r="W107">
        <v>3</v>
      </c>
      <c r="X107" s="5">
        <f t="shared" si="5"/>
        <v>7.9111111111111114</v>
      </c>
      <c r="Y107" s="6">
        <f t="shared" si="6"/>
        <v>399922500</v>
      </c>
    </row>
    <row r="108" spans="2:25" x14ac:dyDescent="0.25">
      <c r="B108" t="str">
        <f>Siam_Chart[[#This Row],[Name]]</f>
        <v>BKA</v>
      </c>
      <c r="C108">
        <f>Siam_Chart[[#This Row],[No.]]</f>
        <v>107</v>
      </c>
      <c r="D108">
        <f>Siam_Chart[[#This Row],[Last]]</f>
        <v>0.67</v>
      </c>
      <c r="E108">
        <f>Siam_Chart[[#This Row],[Chg%]]</f>
        <v>-8.2200000000000006</v>
      </c>
      <c r="F108">
        <f>Siam_Chart[[#This Row],[Volume]]</f>
        <v>1614300</v>
      </c>
      <c r="G108">
        <f>Siam_Chart[[#This Row],[Value (k)]]</f>
        <v>1104380</v>
      </c>
      <c r="H108" cm="1">
        <f t="array" ref="H108:W108">Siam_Chart[[#This Row],[MCap (M)]:[CG]]</f>
        <v>140700000</v>
      </c>
      <c r="I108">
        <v>174300000</v>
      </c>
      <c r="J108">
        <v>1</v>
      </c>
      <c r="K108">
        <v>0.51424099999999995</v>
      </c>
      <c r="L108">
        <v>0.06</v>
      </c>
      <c r="M108">
        <v>-0.19</v>
      </c>
      <c r="N108">
        <v>-23.131488000000001</v>
      </c>
      <c r="O108">
        <v>-36.600267000000002</v>
      </c>
      <c r="P108">
        <v>-12.103</v>
      </c>
      <c r="Q108">
        <v>8.9600000000000009</v>
      </c>
      <c r="R108" t="str">
        <v/>
      </c>
      <c r="S108" t="str">
        <v/>
      </c>
      <c r="T108">
        <v>0</v>
      </c>
      <c r="U108">
        <v>0</v>
      </c>
      <c r="V108">
        <v>0</v>
      </c>
      <c r="W108">
        <v>0</v>
      </c>
      <c r="X108" s="5">
        <f t="shared" si="5"/>
        <v>0.67</v>
      </c>
      <c r="Y108" s="6">
        <f t="shared" si="6"/>
        <v>210000000</v>
      </c>
    </row>
    <row r="109" spans="2:25" x14ac:dyDescent="0.25">
      <c r="B109" t="str">
        <f>Siam_Chart[[#This Row],[Name]]</f>
        <v>BKD</v>
      </c>
      <c r="C109">
        <f>Siam_Chart[[#This Row],[No.]]</f>
        <v>108</v>
      </c>
      <c r="D109">
        <f>Siam_Chart[[#This Row],[Last]]</f>
        <v>1.1399999999999999</v>
      </c>
      <c r="E109">
        <f>Siam_Chart[[#This Row],[Chg%]]</f>
        <v>0</v>
      </c>
      <c r="F109">
        <f>Siam_Chart[[#This Row],[Volume]]</f>
        <v>48710</v>
      </c>
      <c r="G109">
        <f>Siam_Chart[[#This Row],[Value (k)]]</f>
        <v>55570.400000000001</v>
      </c>
      <c r="H109" cm="1">
        <f t="array" ref="H109:W109">Siam_Chart[[#This Row],[MCap (M)]:[CG]]</f>
        <v>1226880120.48</v>
      </c>
      <c r="I109">
        <v>9.84</v>
      </c>
      <c r="J109">
        <v>0.8</v>
      </c>
      <c r="K109">
        <v>0.213922</v>
      </c>
      <c r="L109">
        <v>0.1</v>
      </c>
      <c r="M109">
        <v>0.04</v>
      </c>
      <c r="N109">
        <v>8.3986490000000007</v>
      </c>
      <c r="O109">
        <v>8.1591199999999997</v>
      </c>
      <c r="P109">
        <v>16.386849000000002</v>
      </c>
      <c r="Q109">
        <v>8.77</v>
      </c>
      <c r="R109" t="str">
        <v/>
      </c>
      <c r="S109" t="str">
        <v/>
      </c>
      <c r="T109">
        <v>606</v>
      </c>
      <c r="U109">
        <v>498</v>
      </c>
      <c r="V109">
        <v>0.05</v>
      </c>
      <c r="W109">
        <v>0</v>
      </c>
      <c r="X109" s="5">
        <f t="shared" si="5"/>
        <v>1.4249999999999998</v>
      </c>
      <c r="Y109" s="6">
        <f t="shared" si="6"/>
        <v>1076210632</v>
      </c>
    </row>
    <row r="110" spans="2:25" x14ac:dyDescent="0.25">
      <c r="B110" t="str">
        <f>Siam_Chart[[#This Row],[Name]]</f>
        <v>BKGI</v>
      </c>
      <c r="C110">
        <f>Siam_Chart[[#This Row],[No.]]</f>
        <v>109</v>
      </c>
      <c r="D110">
        <f>Siam_Chart[[#This Row],[Last]]</f>
        <v>2.3199999999999998</v>
      </c>
      <c r="E110">
        <f>Siam_Chart[[#This Row],[Chg%]]</f>
        <v>0</v>
      </c>
      <c r="F110">
        <f>Siam_Chart[[#This Row],[Volume]]</f>
        <v>855359</v>
      </c>
      <c r="G110">
        <f>Siam_Chart[[#This Row],[Value (k)]]</f>
        <v>1975086.17</v>
      </c>
      <c r="H110" cm="1">
        <f t="array" ref="H110:W110">Siam_Chart[[#This Row],[MCap (M)]:[CG]]</f>
        <v>1392000000</v>
      </c>
      <c r="I110">
        <v>14.64</v>
      </c>
      <c r="J110">
        <v>2.39</v>
      </c>
      <c r="K110">
        <v>0.26491799999999999</v>
      </c>
      <c r="L110">
        <v>0.05</v>
      </c>
      <c r="M110">
        <v>0.1</v>
      </c>
      <c r="N110">
        <v>15.761823</v>
      </c>
      <c r="O110">
        <v>17.233694</v>
      </c>
      <c r="P110">
        <v>20.054041999999999</v>
      </c>
      <c r="Q110">
        <v>2.16</v>
      </c>
      <c r="R110" t="str">
        <v/>
      </c>
      <c r="S110" t="str">
        <v/>
      </c>
      <c r="T110">
        <v>736</v>
      </c>
      <c r="U110">
        <v>661</v>
      </c>
      <c r="V110">
        <v>0.8</v>
      </c>
      <c r="W110">
        <v>0</v>
      </c>
      <c r="X110" s="5">
        <f t="shared" si="5"/>
        <v>0.97071129707112958</v>
      </c>
      <c r="Y110" s="6">
        <f t="shared" si="6"/>
        <v>600000000</v>
      </c>
    </row>
    <row r="111" spans="2:25" x14ac:dyDescent="0.25">
      <c r="B111" t="str">
        <f>Siam_Chart[[#This Row],[Name]]</f>
        <v>BKIH</v>
      </c>
      <c r="C111">
        <f>Siam_Chart[[#This Row],[No.]]</f>
        <v>110</v>
      </c>
      <c r="D111">
        <f>Siam_Chart[[#This Row],[Last]]</f>
        <v>390</v>
      </c>
      <c r="E111">
        <f>Siam_Chart[[#This Row],[Chg%]]</f>
        <v>0.26</v>
      </c>
      <c r="F111">
        <f>Siam_Chart[[#This Row],[Volume]]</f>
        <v>5523</v>
      </c>
      <c r="G111">
        <f>Siam_Chart[[#This Row],[Value (k)]]</f>
        <v>2149773</v>
      </c>
      <c r="H111" cm="1">
        <f t="array" ref="H111:W111">Siam_Chart[[#This Row],[MCap (M)]:[CG]]</f>
        <v>40577225520</v>
      </c>
      <c r="I111">
        <v>10.34</v>
      </c>
      <c r="J111">
        <v>1.23</v>
      </c>
      <c r="K111">
        <v>0.99752799999999997</v>
      </c>
      <c r="L111">
        <v>4.5</v>
      </c>
      <c r="M111">
        <v>22.81</v>
      </c>
      <c r="N111">
        <v>7.8112259999999996</v>
      </c>
      <c r="O111">
        <v>13.285057</v>
      </c>
      <c r="P111">
        <v>14.053849</v>
      </c>
      <c r="Q111">
        <v>4.49</v>
      </c>
      <c r="R111" t="str">
        <v/>
      </c>
      <c r="S111" t="str">
        <v/>
      </c>
      <c r="T111">
        <v>432</v>
      </c>
      <c r="U111">
        <v>585</v>
      </c>
      <c r="V111">
        <v>5.32</v>
      </c>
      <c r="W111">
        <v>5</v>
      </c>
      <c r="X111" s="5">
        <f t="shared" si="5"/>
        <v>317.07317073170731</v>
      </c>
      <c r="Y111" s="6">
        <f t="shared" si="6"/>
        <v>104044168</v>
      </c>
    </row>
    <row r="112" spans="2:25" x14ac:dyDescent="0.25">
      <c r="B112" t="str">
        <f>Siam_Chart[[#This Row],[Name]]</f>
        <v>BLA</v>
      </c>
      <c r="C112">
        <f>Siam_Chart[[#This Row],[No.]]</f>
        <v>111</v>
      </c>
      <c r="D112">
        <f>Siam_Chart[[#This Row],[Last]]</f>
        <v>25</v>
      </c>
      <c r="E112">
        <f>Siam_Chart[[#This Row],[Chg%]]</f>
        <v>0</v>
      </c>
      <c r="F112">
        <f>Siam_Chart[[#This Row],[Volume]]</f>
        <v>339215</v>
      </c>
      <c r="G112">
        <f>Siam_Chart[[#This Row],[Value (k)]]</f>
        <v>8501614.4000000004</v>
      </c>
      <c r="H112" cm="1">
        <f t="array" ref="H112:W112">Siam_Chart[[#This Row],[MCap (M)]:[CG]]</f>
        <v>42689150000</v>
      </c>
      <c r="I112">
        <v>5.89</v>
      </c>
      <c r="J112">
        <v>0.76</v>
      </c>
      <c r="K112">
        <v>4.5182500000000001</v>
      </c>
      <c r="L112">
        <v>0.41</v>
      </c>
      <c r="M112">
        <v>2.11</v>
      </c>
      <c r="N112">
        <v>2.7410709999999998</v>
      </c>
      <c r="O112">
        <v>13.714221999999999</v>
      </c>
      <c r="P112">
        <v>30.931235999999998</v>
      </c>
      <c r="Q112">
        <v>3.44</v>
      </c>
      <c r="R112" t="str">
        <v/>
      </c>
      <c r="S112" t="str">
        <v/>
      </c>
      <c r="T112">
        <v>237</v>
      </c>
      <c r="U112">
        <v>670</v>
      </c>
      <c r="V112">
        <v>0.21</v>
      </c>
      <c r="W112">
        <v>5</v>
      </c>
      <c r="X112" s="5">
        <f t="shared" si="5"/>
        <v>32.89473684210526</v>
      </c>
      <c r="Y112" s="6">
        <f t="shared" si="6"/>
        <v>1707566000</v>
      </c>
    </row>
    <row r="113" spans="2:25" x14ac:dyDescent="0.25">
      <c r="B113" t="str">
        <f>Siam_Chart[[#This Row],[Name]]</f>
        <v>BLAND</v>
      </c>
      <c r="C113">
        <f>Siam_Chart[[#This Row],[No.]]</f>
        <v>112</v>
      </c>
      <c r="D113">
        <f>Siam_Chart[[#This Row],[Last]]</f>
        <v>0.57999999999999996</v>
      </c>
      <c r="E113">
        <f>Siam_Chart[[#This Row],[Chg%]]</f>
        <v>0</v>
      </c>
      <c r="F113">
        <f>Siam_Chart[[#This Row],[Volume]]</f>
        <v>12738042</v>
      </c>
      <c r="G113">
        <f>Siam_Chart[[#This Row],[Value (k)]]</f>
        <v>7383666.0800000001</v>
      </c>
      <c r="H113" cm="1">
        <f t="array" ref="H113:W113">Siam_Chart[[#This Row],[MCap (M)]:[CG]]</f>
        <v>10064522589.32</v>
      </c>
      <c r="I113">
        <v>13.29</v>
      </c>
      <c r="J113">
        <v>0.2</v>
      </c>
      <c r="K113">
        <v>0.21579400000000001</v>
      </c>
      <c r="L113">
        <v>1.2500000000000001E-2</v>
      </c>
      <c r="M113">
        <v>0.01</v>
      </c>
      <c r="N113">
        <v>2.9839340000000001</v>
      </c>
      <c r="O113">
        <v>1.5382579999999999</v>
      </c>
      <c r="P113">
        <v>28.136426</v>
      </c>
      <c r="Q113">
        <v>2.16</v>
      </c>
      <c r="R113" t="str">
        <v/>
      </c>
      <c r="S113" t="str">
        <v/>
      </c>
      <c r="T113">
        <v>1074</v>
      </c>
      <c r="U113">
        <v>1010</v>
      </c>
      <c r="V113">
        <v>-0.4</v>
      </c>
      <c r="W113">
        <v>3</v>
      </c>
      <c r="X113" s="5">
        <f t="shared" si="5"/>
        <v>2.8999999999999995</v>
      </c>
      <c r="Y113" s="6">
        <f t="shared" si="6"/>
        <v>17352625154</v>
      </c>
    </row>
    <row r="114" spans="2:25" x14ac:dyDescent="0.25">
      <c r="B114" t="str">
        <f>Siam_Chart[[#This Row],[Name]]</f>
        <v>BLC</v>
      </c>
      <c r="C114">
        <f>Siam_Chart[[#This Row],[No.]]</f>
        <v>113</v>
      </c>
      <c r="D114">
        <f>Siam_Chart[[#This Row],[Last]]</f>
        <v>3.86</v>
      </c>
      <c r="E114">
        <f>Siam_Chart[[#This Row],[Chg%]]</f>
        <v>-0.52</v>
      </c>
      <c r="F114">
        <f>Siam_Chart[[#This Row],[Volume]]</f>
        <v>635050</v>
      </c>
      <c r="G114">
        <f>Siam_Chart[[#This Row],[Value (k)]]</f>
        <v>2440495.64</v>
      </c>
      <c r="H114" cm="1">
        <f t="array" ref="H114:W114">Siam_Chart[[#This Row],[MCap (M)]:[CG]]</f>
        <v>2316000000</v>
      </c>
      <c r="I114">
        <v>16.95</v>
      </c>
      <c r="J114">
        <v>1.39</v>
      </c>
      <c r="K114">
        <v>0.54944400000000004</v>
      </c>
      <c r="L114">
        <v>0.05</v>
      </c>
      <c r="M114">
        <v>0.1</v>
      </c>
      <c r="N114">
        <v>7.329402</v>
      </c>
      <c r="O114">
        <v>8.1100779999999997</v>
      </c>
      <c r="P114">
        <v>7.3554579999999996</v>
      </c>
      <c r="Q114">
        <v>6.48</v>
      </c>
      <c r="R114" t="str">
        <v/>
      </c>
      <c r="S114" t="str">
        <v/>
      </c>
      <c r="T114">
        <v>870</v>
      </c>
      <c r="U114">
        <v>798</v>
      </c>
      <c r="V114">
        <v>1.6</v>
      </c>
      <c r="W114">
        <v>5</v>
      </c>
      <c r="X114" s="5">
        <f t="shared" si="5"/>
        <v>2.7769784172661871</v>
      </c>
      <c r="Y114" s="6">
        <f t="shared" si="6"/>
        <v>600000000</v>
      </c>
    </row>
    <row r="115" spans="2:25" x14ac:dyDescent="0.25">
      <c r="B115" t="str">
        <f>Siam_Chart[[#This Row],[Name]]</f>
        <v>BLESS</v>
      </c>
      <c r="C115">
        <f>Siam_Chart[[#This Row],[No.]]</f>
        <v>114</v>
      </c>
      <c r="D115">
        <f>Siam_Chart[[#This Row],[Last]]</f>
        <v>0.26</v>
      </c>
      <c r="E115">
        <f>Siam_Chart[[#This Row],[Chg%]]</f>
        <v>0</v>
      </c>
      <c r="F115">
        <f>Siam_Chart[[#This Row],[Volume]]</f>
        <v>104200</v>
      </c>
      <c r="G115">
        <f>Siam_Chart[[#This Row],[Value (k)]]</f>
        <v>26192</v>
      </c>
      <c r="H115" cm="1">
        <f t="array" ref="H115:W115">Siam_Chart[[#This Row],[MCap (M)]:[CG]]</f>
        <v>208000000</v>
      </c>
      <c r="I115">
        <v>200000000</v>
      </c>
      <c r="J115">
        <v>0.18</v>
      </c>
      <c r="K115">
        <v>0.84072100000000005</v>
      </c>
      <c r="L115">
        <v>0.05</v>
      </c>
      <c r="M115">
        <v>-0.01</v>
      </c>
      <c r="N115">
        <v>0.60206400000000004</v>
      </c>
      <c r="O115">
        <v>-0.61820799999999998</v>
      </c>
      <c r="P115">
        <v>-4.5959789999999998</v>
      </c>
      <c r="Q115">
        <v>0.17</v>
      </c>
      <c r="R115" t="str">
        <v/>
      </c>
      <c r="S115" t="str">
        <v/>
      </c>
      <c r="T115">
        <v>0</v>
      </c>
      <c r="U115">
        <v>0</v>
      </c>
      <c r="V115">
        <v>0</v>
      </c>
      <c r="W115">
        <v>0</v>
      </c>
      <c r="X115" s="5">
        <f t="shared" si="5"/>
        <v>1.4444444444444446</v>
      </c>
      <c r="Y115" s="6">
        <f t="shared" si="6"/>
        <v>800000000</v>
      </c>
    </row>
    <row r="116" spans="2:25" x14ac:dyDescent="0.25">
      <c r="B116" t="str">
        <f>Siam_Chart[[#This Row],[Name]]</f>
        <v>BLISS</v>
      </c>
      <c r="C116">
        <f>Siam_Chart[[#This Row],[No.]]</f>
        <v>115</v>
      </c>
      <c r="D116">
        <f>Siam_Chart[[#This Row],[Last]]</f>
        <v>2026</v>
      </c>
      <c r="E116">
        <f>Siam_Chart[[#This Row],[Chg%]]</f>
        <v>0</v>
      </c>
      <c r="F116">
        <f>Siam_Chart[[#This Row],[Volume]]</f>
        <v>0</v>
      </c>
      <c r="G116">
        <f>Siam_Chart[[#This Row],[Value (k)]]</f>
        <v>0</v>
      </c>
      <c r="H116" cm="1">
        <f t="array" ref="H116:W116">Siam_Chart[[#This Row],[MCap (M)]:[CG]]</f>
        <v>0</v>
      </c>
      <c r="I116">
        <v>0</v>
      </c>
      <c r="J116">
        <v>0.28072508019943571</v>
      </c>
      <c r="K116">
        <v>0.280725</v>
      </c>
      <c r="L116">
        <v>0.25</v>
      </c>
      <c r="M116">
        <v>-0.24617129972867674</v>
      </c>
      <c r="N116">
        <v>-0.246171</v>
      </c>
      <c r="O116">
        <v>-0.91458200000000001</v>
      </c>
      <c r="P116">
        <v>41.778722999999999</v>
      </c>
      <c r="Q116">
        <v>0</v>
      </c>
      <c r="R116" t="str">
        <v/>
      </c>
      <c r="S116" t="str">
        <v/>
      </c>
      <c r="T116">
        <v>0</v>
      </c>
      <c r="U116">
        <v>0</v>
      </c>
      <c r="V116">
        <v>0</v>
      </c>
      <c r="W116">
        <v>0</v>
      </c>
      <c r="X116" s="5">
        <f t="shared" si="5"/>
        <v>7217.0252781143299</v>
      </c>
      <c r="Y116" s="6">
        <f t="shared" si="6"/>
        <v>0</v>
      </c>
    </row>
    <row r="117" spans="2:25" x14ac:dyDescent="0.25">
      <c r="B117" t="str">
        <f>Siam_Chart[[#This Row],[Name]]</f>
        <v>BM</v>
      </c>
      <c r="C117">
        <f>Siam_Chart[[#This Row],[No.]]</f>
        <v>116</v>
      </c>
      <c r="D117">
        <f>Siam_Chart[[#This Row],[Last]]</f>
        <v>1.32</v>
      </c>
      <c r="E117">
        <f>Siam_Chart[[#This Row],[Chg%]]</f>
        <v>0.76</v>
      </c>
      <c r="F117">
        <f>Siam_Chart[[#This Row],[Volume]]</f>
        <v>2231600</v>
      </c>
      <c r="G117">
        <f>Siam_Chart[[#This Row],[Value (k)]]</f>
        <v>2926621</v>
      </c>
      <c r="H117" cm="1">
        <f t="array" ref="H117:W117">Siam_Chart[[#This Row],[MCap (M)]:[CG]]</f>
        <v>926816136.84000003</v>
      </c>
      <c r="I117">
        <v>11.55</v>
      </c>
      <c r="J117">
        <v>0.94</v>
      </c>
      <c r="K117">
        <v>1.031074</v>
      </c>
      <c r="L117">
        <v>0.05</v>
      </c>
      <c r="M117">
        <v>0.1</v>
      </c>
      <c r="N117">
        <v>5.8693650000000002</v>
      </c>
      <c r="O117">
        <v>8.3192170000000001</v>
      </c>
      <c r="P117">
        <v>6.1373800000000003</v>
      </c>
      <c r="Q117">
        <v>8.01</v>
      </c>
      <c r="R117" t="str">
        <v/>
      </c>
      <c r="S117" t="str">
        <v/>
      </c>
      <c r="T117">
        <v>929</v>
      </c>
      <c r="U117">
        <v>942</v>
      </c>
      <c r="V117">
        <v>1.26</v>
      </c>
      <c r="W117">
        <v>0</v>
      </c>
      <c r="X117" s="5">
        <f t="shared" si="5"/>
        <v>1.4042553191489364</v>
      </c>
      <c r="Y117" s="6">
        <f t="shared" si="6"/>
        <v>702133437</v>
      </c>
    </row>
    <row r="118" spans="2:25" x14ac:dyDescent="0.25">
      <c r="B118" t="str">
        <f>Siam_Chart[[#This Row],[Name]]</f>
        <v>BOL</v>
      </c>
      <c r="C118">
        <f>Siam_Chart[[#This Row],[No.]]</f>
        <v>117</v>
      </c>
      <c r="D118">
        <f>Siam_Chart[[#This Row],[Last]]</f>
        <v>5.0999999999999996</v>
      </c>
      <c r="E118">
        <f>Siam_Chart[[#This Row],[Chg%]]</f>
        <v>-0.97</v>
      </c>
      <c r="F118">
        <f>Siam_Chart[[#This Row],[Volume]]</f>
        <v>192254</v>
      </c>
      <c r="G118">
        <f>Siam_Chart[[#This Row],[Value (k)]]</f>
        <v>980428.1</v>
      </c>
      <c r="H118" cm="1">
        <f t="array" ref="H118:W118">Siam_Chart[[#This Row],[MCap (M)]:[CG]]</f>
        <v>4184578050</v>
      </c>
      <c r="I118">
        <v>13.78</v>
      </c>
      <c r="J118">
        <v>3.74</v>
      </c>
      <c r="K118">
        <v>0.395978</v>
      </c>
      <c r="L118">
        <v>0.16</v>
      </c>
      <c r="M118">
        <v>0.2</v>
      </c>
      <c r="N118">
        <v>22.905723999999999</v>
      </c>
      <c r="O118">
        <v>27.890715</v>
      </c>
      <c r="P118">
        <v>37.628830000000001</v>
      </c>
      <c r="Q118">
        <v>6.37</v>
      </c>
      <c r="R118" t="str">
        <v/>
      </c>
      <c r="S118" t="str">
        <v/>
      </c>
      <c r="T118">
        <v>459</v>
      </c>
      <c r="U118">
        <v>436</v>
      </c>
      <c r="V118">
        <v>2.34</v>
      </c>
      <c r="W118">
        <v>5</v>
      </c>
      <c r="X118" s="5">
        <f t="shared" si="5"/>
        <v>1.3636363636363635</v>
      </c>
      <c r="Y118" s="6">
        <f t="shared" si="6"/>
        <v>820505500</v>
      </c>
    </row>
    <row r="119" spans="2:25" x14ac:dyDescent="0.25">
      <c r="B119" t="str">
        <f>Siam_Chart[[#This Row],[Name]]</f>
        <v>BPP</v>
      </c>
      <c r="C119">
        <f>Siam_Chart[[#This Row],[No.]]</f>
        <v>118</v>
      </c>
      <c r="D119">
        <f>Siam_Chart[[#This Row],[Last]]</f>
        <v>12</v>
      </c>
      <c r="E119">
        <f>Siam_Chart[[#This Row],[Chg%]]</f>
        <v>0</v>
      </c>
      <c r="F119">
        <f>Siam_Chart[[#This Row],[Volume]]</f>
        <v>0</v>
      </c>
      <c r="G119">
        <f>Siam_Chart[[#This Row],[Value (k)]]</f>
        <v>0</v>
      </c>
      <c r="H119" cm="1">
        <f t="array" ref="H119:W119">Siam_Chart[[#This Row],[MCap (M)]:[CG]]</f>
        <v>36573</v>
      </c>
      <c r="I119">
        <v>4.3499999999999996</v>
      </c>
      <c r="J119">
        <v>0.65</v>
      </c>
      <c r="K119">
        <v>0</v>
      </c>
      <c r="L119">
        <v>0.35</v>
      </c>
      <c r="M119">
        <v>2.74</v>
      </c>
      <c r="N119">
        <v>0</v>
      </c>
      <c r="O119">
        <v>0</v>
      </c>
      <c r="P119">
        <v>0</v>
      </c>
      <c r="Q119">
        <v>5.04</v>
      </c>
      <c r="R119" t="str">
        <v/>
      </c>
      <c r="S119" t="str">
        <v/>
      </c>
      <c r="T119">
        <v>0</v>
      </c>
      <c r="U119">
        <v>0</v>
      </c>
      <c r="V119">
        <v>0.21</v>
      </c>
      <c r="W119">
        <v>5</v>
      </c>
      <c r="X119" s="5">
        <f t="shared" si="5"/>
        <v>18.46153846153846</v>
      </c>
      <c r="Y119" s="6">
        <f t="shared" si="6"/>
        <v>3047.75</v>
      </c>
    </row>
    <row r="120" spans="2:25" x14ac:dyDescent="0.25">
      <c r="B120" t="str">
        <f>Siam_Chart[[#This Row],[Name]]</f>
        <v>BPS</v>
      </c>
      <c r="C120">
        <f>Siam_Chart[[#This Row],[No.]]</f>
        <v>119</v>
      </c>
      <c r="D120">
        <f>Siam_Chart[[#This Row],[Last]]</f>
        <v>0.61</v>
      </c>
      <c r="E120">
        <f>Siam_Chart[[#This Row],[Chg%]]</f>
        <v>-1.61</v>
      </c>
      <c r="F120">
        <f>Siam_Chart[[#This Row],[Volume]]</f>
        <v>94724</v>
      </c>
      <c r="G120">
        <f>Siam_Chart[[#This Row],[Value (k)]]</f>
        <v>57521.26</v>
      </c>
      <c r="H120" cm="1">
        <f t="array" ref="H120:W120">Siam_Chart[[#This Row],[MCap (M)]:[CG]]</f>
        <v>244000000</v>
      </c>
      <c r="I120">
        <v>27.86</v>
      </c>
      <c r="J120">
        <v>0.85</v>
      </c>
      <c r="K120">
        <v>0.57049300000000003</v>
      </c>
      <c r="L120">
        <v>1.2500000000000001E-2</v>
      </c>
      <c r="M120">
        <v>0.02</v>
      </c>
      <c r="N120">
        <v>2.9209480000000001</v>
      </c>
      <c r="O120">
        <v>3.0566179999999998</v>
      </c>
      <c r="P120">
        <v>2.374107</v>
      </c>
      <c r="Q120">
        <v>2.0499999999999998</v>
      </c>
      <c r="R120" t="str">
        <v/>
      </c>
      <c r="S120" t="str">
        <v/>
      </c>
      <c r="T120">
        <v>1191</v>
      </c>
      <c r="U120">
        <v>1173</v>
      </c>
      <c r="V120">
        <v>-0.54</v>
      </c>
      <c r="W120">
        <v>4</v>
      </c>
      <c r="X120" s="5">
        <f t="shared" si="5"/>
        <v>0.71764705882352942</v>
      </c>
      <c r="Y120" s="6">
        <f t="shared" si="6"/>
        <v>400000000</v>
      </c>
    </row>
    <row r="121" spans="2:25" x14ac:dyDescent="0.25">
      <c r="B121" t="str">
        <f>Siam_Chart[[#This Row],[Name]]</f>
        <v>BR</v>
      </c>
      <c r="C121">
        <f>Siam_Chart[[#This Row],[No.]]</f>
        <v>120</v>
      </c>
      <c r="D121">
        <f>Siam_Chart[[#This Row],[Last]]</f>
        <v>1.94</v>
      </c>
      <c r="E121">
        <f>Siam_Chart[[#This Row],[Chg%]]</f>
        <v>-0.51</v>
      </c>
      <c r="F121">
        <f>Siam_Chart[[#This Row],[Volume]]</f>
        <v>71901</v>
      </c>
      <c r="G121">
        <f>Siam_Chart[[#This Row],[Value (k)]]</f>
        <v>140117.95000000001</v>
      </c>
      <c r="H121" cm="1">
        <f t="array" ref="H121:W121">Siam_Chart[[#This Row],[MCap (M)]:[CG]]</f>
        <v>1772086322.52</v>
      </c>
      <c r="I121">
        <v>9.7799999999999994</v>
      </c>
      <c r="J121">
        <v>0.35</v>
      </c>
      <c r="K121">
        <v>0.90632299999999999</v>
      </c>
      <c r="L121">
        <v>0.02</v>
      </c>
      <c r="M121">
        <v>0.11</v>
      </c>
      <c r="N121">
        <v>4.6245050000000001</v>
      </c>
      <c r="O121">
        <v>3.666693</v>
      </c>
      <c r="P121">
        <v>2.810127</v>
      </c>
      <c r="Q121">
        <v>1.03</v>
      </c>
      <c r="R121" t="str">
        <v/>
      </c>
      <c r="S121" t="str">
        <v/>
      </c>
      <c r="T121">
        <v>796</v>
      </c>
      <c r="U121">
        <v>697</v>
      </c>
      <c r="V121">
        <v>-0.05</v>
      </c>
      <c r="W121">
        <v>4</v>
      </c>
      <c r="X121" s="5">
        <f t="shared" si="5"/>
        <v>5.5428571428571427</v>
      </c>
      <c r="Y121" s="6">
        <f t="shared" si="6"/>
        <v>913446558</v>
      </c>
    </row>
    <row r="122" spans="2:25" x14ac:dyDescent="0.25">
      <c r="B122" t="str">
        <f>Siam_Chart[[#This Row],[Name]]</f>
        <v>BRI</v>
      </c>
      <c r="C122">
        <f>Siam_Chart[[#This Row],[No.]]</f>
        <v>121</v>
      </c>
      <c r="D122">
        <f>Siam_Chart[[#This Row],[Last]]</f>
        <v>1.25</v>
      </c>
      <c r="E122">
        <f>Siam_Chart[[#This Row],[Chg%]]</f>
        <v>0</v>
      </c>
      <c r="F122">
        <f>Siam_Chart[[#This Row],[Volume]]</f>
        <v>80041</v>
      </c>
      <c r="G122">
        <f>Siam_Chart[[#This Row],[Value (k)]]</f>
        <v>100412.41</v>
      </c>
      <c r="H122" cm="1">
        <f t="array" ref="H122:W122">Siam_Chart[[#This Row],[MCap (M)]:[CG]]</f>
        <v>1816513748.75</v>
      </c>
      <c r="I122">
        <v>1903706408.6900001</v>
      </c>
      <c r="J122">
        <v>0.27</v>
      </c>
      <c r="K122">
        <v>1.790308</v>
      </c>
      <c r="L122">
        <v>2.5000000000000001E-2</v>
      </c>
      <c r="M122">
        <v>-0.04</v>
      </c>
      <c r="N122">
        <v>0.73284199999999999</v>
      </c>
      <c r="O122">
        <v>-0.19195599999999999</v>
      </c>
      <c r="P122">
        <v>-8.6939650000000004</v>
      </c>
      <c r="Q122">
        <v>2.8</v>
      </c>
      <c r="R122" t="str">
        <v/>
      </c>
      <c r="S122" t="str">
        <v/>
      </c>
      <c r="T122">
        <v>1142</v>
      </c>
      <c r="U122">
        <v>1165</v>
      </c>
      <c r="V122">
        <v>-7.63</v>
      </c>
      <c r="W122">
        <v>5</v>
      </c>
      <c r="X122" s="5">
        <f t="shared" si="5"/>
        <v>4.6296296296296298</v>
      </c>
      <c r="Y122" s="6">
        <f t="shared" si="6"/>
        <v>1453210999</v>
      </c>
    </row>
    <row r="123" spans="2:25" x14ac:dyDescent="0.25">
      <c r="B123" t="str">
        <f>Siam_Chart[[#This Row],[Name]]</f>
        <v>BROCK</v>
      </c>
      <c r="C123">
        <f>Siam_Chart[[#This Row],[No.]]</f>
        <v>122</v>
      </c>
      <c r="D123">
        <f>Siam_Chart[[#This Row],[Last]]</f>
        <v>1.19</v>
      </c>
      <c r="E123">
        <f>Siam_Chart[[#This Row],[Chg%]]</f>
        <v>0</v>
      </c>
      <c r="F123">
        <f>Siam_Chart[[#This Row],[Volume]]</f>
        <v>50</v>
      </c>
      <c r="G123">
        <f>Siam_Chart[[#This Row],[Value (k)]]</f>
        <v>44.7</v>
      </c>
      <c r="H123" cm="1">
        <f t="array" ref="H123:W123">Siam_Chart[[#This Row],[MCap (M)]:[CG]]</f>
        <v>1219750215.3900001</v>
      </c>
      <c r="I123">
        <v>1230000217.2</v>
      </c>
      <c r="J123">
        <v>0.99</v>
      </c>
      <c r="K123">
        <v>4.9440999999999999E-2</v>
      </c>
      <c r="L123">
        <v>0.01</v>
      </c>
      <c r="M123">
        <v>-0.01</v>
      </c>
      <c r="N123">
        <v>-0.50299700000000003</v>
      </c>
      <c r="O123">
        <v>-0.81154000000000004</v>
      </c>
      <c r="P123">
        <v>-13.576914</v>
      </c>
      <c r="Q123">
        <v>1</v>
      </c>
      <c r="R123" t="str">
        <v/>
      </c>
      <c r="S123" t="str">
        <v/>
      </c>
      <c r="T123">
        <v>0</v>
      </c>
      <c r="U123">
        <v>0</v>
      </c>
      <c r="V123">
        <v>0</v>
      </c>
      <c r="W123">
        <v>0</v>
      </c>
      <c r="X123" s="5">
        <f t="shared" si="5"/>
        <v>1.202020202020202</v>
      </c>
      <c r="Y123" s="6">
        <f t="shared" si="6"/>
        <v>1025000181.0000001</v>
      </c>
    </row>
    <row r="124" spans="2:25" x14ac:dyDescent="0.25">
      <c r="B124" t="str">
        <f>Siam_Chart[[#This Row],[Name]]</f>
        <v>BRR</v>
      </c>
      <c r="C124">
        <f>Siam_Chart[[#This Row],[No.]]</f>
        <v>123</v>
      </c>
      <c r="D124">
        <f>Siam_Chart[[#This Row],[Last]]</f>
        <v>3.7</v>
      </c>
      <c r="E124">
        <f>Siam_Chart[[#This Row],[Chg%]]</f>
        <v>1.65</v>
      </c>
      <c r="F124">
        <f>Siam_Chart[[#This Row],[Volume]]</f>
        <v>20800</v>
      </c>
      <c r="G124">
        <f>Siam_Chart[[#This Row],[Value (k)]]</f>
        <v>76338</v>
      </c>
      <c r="H124" cm="1">
        <f t="array" ref="H124:W124">Siam_Chart[[#This Row],[MCap (M)]:[CG]]</f>
        <v>3004771502.1999998</v>
      </c>
      <c r="I124">
        <v>37.28</v>
      </c>
      <c r="J124">
        <v>0.78</v>
      </c>
      <c r="K124">
        <v>1.286438</v>
      </c>
      <c r="L124">
        <v>0.16500000000000001</v>
      </c>
      <c r="M124">
        <v>0.28999999999999998</v>
      </c>
      <c r="N124">
        <v>2.6703929999999998</v>
      </c>
      <c r="O124">
        <v>2.07274</v>
      </c>
      <c r="P124">
        <v>7.2488299999999999</v>
      </c>
      <c r="Q124">
        <v>4.46</v>
      </c>
      <c r="R124" t="str">
        <v/>
      </c>
      <c r="S124" t="str">
        <v/>
      </c>
      <c r="T124">
        <v>1248</v>
      </c>
      <c r="U124">
        <v>1218</v>
      </c>
      <c r="V124">
        <v>0.31</v>
      </c>
      <c r="W124">
        <v>5</v>
      </c>
      <c r="X124" s="5">
        <f t="shared" si="5"/>
        <v>4.7435897435897436</v>
      </c>
      <c r="Y124" s="6">
        <f t="shared" si="6"/>
        <v>812100405.99999988</v>
      </c>
    </row>
    <row r="125" spans="2:25" x14ac:dyDescent="0.25">
      <c r="B125" t="str">
        <f>Siam_Chart[[#This Row],[Name]]</f>
        <v>BSBM</v>
      </c>
      <c r="C125">
        <f>Siam_Chart[[#This Row],[No.]]</f>
        <v>124</v>
      </c>
      <c r="D125">
        <f>Siam_Chart[[#This Row],[Last]]</f>
        <v>0.69</v>
      </c>
      <c r="E125">
        <f>Siam_Chart[[#This Row],[Chg%]]</f>
        <v>2.99</v>
      </c>
      <c r="F125">
        <f>Siam_Chart[[#This Row],[Volume]]</f>
        <v>304101</v>
      </c>
      <c r="G125">
        <f>Siam_Chart[[#This Row],[Value (k)]]</f>
        <v>210835.71</v>
      </c>
      <c r="H125" cm="1">
        <f t="array" ref="H125:W125">Siam_Chart[[#This Row],[MCap (M)]:[CG]]</f>
        <v>773610750</v>
      </c>
      <c r="I125">
        <v>717552000</v>
      </c>
      <c r="J125">
        <v>0.49</v>
      </c>
      <c r="K125">
        <v>1.2795000000000001E-2</v>
      </c>
      <c r="L125">
        <v>0.02</v>
      </c>
      <c r="M125">
        <v>-0.01</v>
      </c>
      <c r="N125">
        <v>-3.6780940000000002</v>
      </c>
      <c r="O125">
        <v>-3.8408319999999998</v>
      </c>
      <c r="P125">
        <v>-3.6452770000000001</v>
      </c>
      <c r="Q125">
        <v>0.45</v>
      </c>
      <c r="R125" t="str">
        <v/>
      </c>
      <c r="S125" t="str">
        <v/>
      </c>
      <c r="T125">
        <v>0</v>
      </c>
      <c r="U125">
        <v>0</v>
      </c>
      <c r="V125">
        <v>0</v>
      </c>
      <c r="W125">
        <v>4</v>
      </c>
      <c r="X125" s="5">
        <f t="shared" si="5"/>
        <v>1.4081632653061225</v>
      </c>
      <c r="Y125" s="6">
        <f t="shared" si="6"/>
        <v>1121175000</v>
      </c>
    </row>
    <row r="126" spans="2:25" x14ac:dyDescent="0.25">
      <c r="B126" t="str">
        <f>Siam_Chart[[#This Row],[Name]]</f>
        <v>BSM</v>
      </c>
      <c r="C126">
        <f>Siam_Chart[[#This Row],[No.]]</f>
        <v>125</v>
      </c>
      <c r="D126">
        <f>Siam_Chart[[#This Row],[Last]]</f>
        <v>0.66</v>
      </c>
      <c r="E126">
        <f>Siam_Chart[[#This Row],[Chg%]]</f>
        <v>3.13</v>
      </c>
      <c r="F126">
        <f>Siam_Chart[[#This Row],[Volume]]</f>
        <v>6901</v>
      </c>
      <c r="G126">
        <f>Siam_Chart[[#This Row],[Value (k)]]</f>
        <v>4530.68</v>
      </c>
      <c r="H126" cm="1">
        <f t="array" ref="H126:W126">Siam_Chart[[#This Row],[MCap (M)]:[CG]]</f>
        <v>140613409.19999999</v>
      </c>
      <c r="I126">
        <v>149135434</v>
      </c>
      <c r="J126">
        <v>0.5</v>
      </c>
      <c r="K126">
        <v>2.4833159999999999</v>
      </c>
      <c r="L126">
        <v>-0.06</v>
      </c>
      <c r="M126">
        <v>-0.06</v>
      </c>
      <c r="N126">
        <v>1.336544</v>
      </c>
      <c r="O126">
        <v>-6.6373569999999997</v>
      </c>
      <c r="P126">
        <v>-6.873062</v>
      </c>
      <c r="Q126">
        <v>0.53</v>
      </c>
      <c r="R126" t="str">
        <v/>
      </c>
      <c r="S126" t="str">
        <v/>
      </c>
      <c r="T126">
        <v>0</v>
      </c>
      <c r="U126">
        <v>0</v>
      </c>
      <c r="V126">
        <v>0</v>
      </c>
      <c r="W126">
        <v>0</v>
      </c>
      <c r="X126" s="5">
        <f t="shared" si="5"/>
        <v>1.32</v>
      </c>
      <c r="Y126" s="6">
        <f t="shared" si="6"/>
        <v>213050619.99999997</v>
      </c>
    </row>
    <row r="127" spans="2:25" x14ac:dyDescent="0.25">
      <c r="B127" t="str">
        <f>Siam_Chart[[#This Row],[Name]]</f>
        <v>BTC</v>
      </c>
      <c r="C127">
        <f>Siam_Chart[[#This Row],[No.]]</f>
        <v>126</v>
      </c>
      <c r="D127">
        <f>Siam_Chart[[#This Row],[Last]]</f>
        <v>0.34</v>
      </c>
      <c r="E127">
        <f>Siam_Chart[[#This Row],[Chg%]]</f>
        <v>17.239999999999998</v>
      </c>
      <c r="F127">
        <f>Siam_Chart[[#This Row],[Volume]]</f>
        <v>124136968</v>
      </c>
      <c r="G127">
        <f>Siam_Chart[[#This Row],[Value (k)]]</f>
        <v>39406682.039999999</v>
      </c>
      <c r="H127" cm="1">
        <f t="array" ref="H127:W127">Siam_Chart[[#This Row],[MCap (M)]:[CG]]</f>
        <v>3672279068.2600002</v>
      </c>
      <c r="I127">
        <v>1620123118.3499999</v>
      </c>
      <c r="J127">
        <v>1.43</v>
      </c>
      <c r="K127">
        <v>0.333395</v>
      </c>
      <c r="L127">
        <v>0.01</v>
      </c>
      <c r="M127">
        <v>0.01</v>
      </c>
      <c r="N127">
        <v>-9.6986329999999992</v>
      </c>
      <c r="O127">
        <v>-11.565341</v>
      </c>
      <c r="P127">
        <v>8.9469580000000004</v>
      </c>
      <c r="Q127">
        <v>2.94</v>
      </c>
      <c r="R127" t="str">
        <v/>
      </c>
      <c r="S127" t="str">
        <v/>
      </c>
      <c r="T127">
        <v>0</v>
      </c>
      <c r="U127">
        <v>0</v>
      </c>
      <c r="V127">
        <v>0</v>
      </c>
      <c r="W127">
        <v>4</v>
      </c>
      <c r="X127" s="5">
        <f t="shared" si="5"/>
        <v>0.23776223776223779</v>
      </c>
      <c r="Y127" s="6">
        <f t="shared" si="6"/>
        <v>10800820789</v>
      </c>
    </row>
    <row r="128" spans="2:25" x14ac:dyDescent="0.25">
      <c r="B128" t="str">
        <f>Siam_Chart[[#This Row],[Name]]</f>
        <v>BTG</v>
      </c>
      <c r="C128">
        <f>Siam_Chart[[#This Row],[No.]]</f>
        <v>127</v>
      </c>
      <c r="D128">
        <f>Siam_Chart[[#This Row],[Last]]</f>
        <v>21.5</v>
      </c>
      <c r="E128">
        <f>Siam_Chart[[#This Row],[Chg%]]</f>
        <v>0.47</v>
      </c>
      <c r="F128">
        <f>Siam_Chart[[#This Row],[Volume]]</f>
        <v>2570934</v>
      </c>
      <c r="G128">
        <f>Siam_Chart[[#This Row],[Value (k)]]</f>
        <v>54951163</v>
      </c>
      <c r="H128" cm="1">
        <f t="array" ref="H128:W128">Siam_Chart[[#This Row],[MCap (M)]:[CG]]</f>
        <v>41598200000</v>
      </c>
      <c r="I128">
        <v>10.8</v>
      </c>
      <c r="J128">
        <v>1.34</v>
      </c>
      <c r="K128">
        <v>1.2704979999999999</v>
      </c>
      <c r="L128">
        <v>1.5</v>
      </c>
      <c r="M128">
        <v>0.84</v>
      </c>
      <c r="N128">
        <v>8.1010390000000001</v>
      </c>
      <c r="O128">
        <v>12.402298999999999</v>
      </c>
      <c r="P128">
        <v>2.7757960000000002</v>
      </c>
      <c r="Q128">
        <v>6.98</v>
      </c>
      <c r="R128" t="str">
        <v/>
      </c>
      <c r="S128" t="str">
        <v/>
      </c>
      <c r="T128">
        <v>484</v>
      </c>
      <c r="U128">
        <v>523</v>
      </c>
      <c r="V128">
        <v>-0.14000000000000001</v>
      </c>
      <c r="W128">
        <v>5</v>
      </c>
      <c r="X128" s="5">
        <f t="shared" si="5"/>
        <v>16.044776119402986</v>
      </c>
      <c r="Y128" s="6">
        <f t="shared" si="6"/>
        <v>1934800000</v>
      </c>
    </row>
    <row r="129" spans="2:25" x14ac:dyDescent="0.25">
      <c r="B129" t="str">
        <f>Siam_Chart[[#This Row],[Name]]</f>
        <v>BTNC</v>
      </c>
      <c r="C129">
        <f>Siam_Chart[[#This Row],[No.]]</f>
        <v>128</v>
      </c>
      <c r="D129">
        <f>Siam_Chart[[#This Row],[Last]]</f>
        <v>14.3</v>
      </c>
      <c r="E129">
        <f>Siam_Chart[[#This Row],[Chg%]]</f>
        <v>1.42</v>
      </c>
      <c r="F129">
        <f>Siam_Chart[[#This Row],[Volume]]</f>
        <v>400</v>
      </c>
      <c r="G129">
        <f>Siam_Chart[[#This Row],[Value (k)]]</f>
        <v>5710</v>
      </c>
      <c r="H129" cm="1">
        <f t="array" ref="H129:W129">Siam_Chart[[#This Row],[MCap (M)]:[CG]]</f>
        <v>171600000</v>
      </c>
      <c r="I129">
        <v>5.6</v>
      </c>
      <c r="J129">
        <v>0.35</v>
      </c>
      <c r="K129">
        <v>0.12013799999999999</v>
      </c>
      <c r="L129">
        <v>1.5</v>
      </c>
      <c r="M129">
        <v>-0.28000000000000003</v>
      </c>
      <c r="N129">
        <v>6.912261</v>
      </c>
      <c r="O129">
        <v>6.2900359999999997</v>
      </c>
      <c r="P129">
        <v>-2.6837680000000002</v>
      </c>
      <c r="Q129">
        <v>10.49</v>
      </c>
      <c r="R129" t="str">
        <v/>
      </c>
      <c r="S129" t="str">
        <v/>
      </c>
      <c r="T129">
        <v>524</v>
      </c>
      <c r="U129">
        <v>364</v>
      </c>
      <c r="V129">
        <v>0.22</v>
      </c>
      <c r="W129">
        <v>0</v>
      </c>
      <c r="X129" s="5">
        <f t="shared" si="5"/>
        <v>40.857142857142861</v>
      </c>
      <c r="Y129" s="6">
        <f t="shared" si="6"/>
        <v>12000000</v>
      </c>
    </row>
    <row r="130" spans="2:25" x14ac:dyDescent="0.25">
      <c r="B130" t="str">
        <f>Siam_Chart[[#This Row],[Name]]</f>
        <v>BTS</v>
      </c>
      <c r="C130">
        <f>Siam_Chart[[#This Row],[No.]]</f>
        <v>129</v>
      </c>
      <c r="D130">
        <f>Siam_Chart[[#This Row],[Last]]</f>
        <v>2.08</v>
      </c>
      <c r="E130">
        <f>Siam_Chart[[#This Row],[Chg%]]</f>
        <v>0</v>
      </c>
      <c r="F130">
        <f>Siam_Chart[[#This Row],[Volume]]</f>
        <v>20050945</v>
      </c>
      <c r="G130">
        <f>Siam_Chart[[#This Row],[Value (k)]]</f>
        <v>41691458.159999996</v>
      </c>
      <c r="H130" cm="1">
        <f t="array" ref="H130:W130">Siam_Chart[[#This Row],[MCap (M)]:[CG]]</f>
        <v>33475111529.599998</v>
      </c>
      <c r="I130">
        <v>33796987602</v>
      </c>
      <c r="J130">
        <v>0.57999999999999996</v>
      </c>
      <c r="K130">
        <v>2.2144300000000001</v>
      </c>
      <c r="L130">
        <v>0.16</v>
      </c>
      <c r="M130">
        <v>-0.02</v>
      </c>
      <c r="N130">
        <v>2.2331050000000001</v>
      </c>
      <c r="O130">
        <v>-2.2857080000000001</v>
      </c>
      <c r="P130">
        <v>-6.6178739999999996</v>
      </c>
      <c r="Q130">
        <v>0.57999999999999996</v>
      </c>
      <c r="R130" t="str">
        <v/>
      </c>
      <c r="S130" t="str">
        <v/>
      </c>
      <c r="T130">
        <v>0</v>
      </c>
      <c r="U130">
        <v>0</v>
      </c>
      <c r="V130">
        <v>0</v>
      </c>
      <c r="W130">
        <v>5</v>
      </c>
      <c r="X130" s="5">
        <f t="shared" si="5"/>
        <v>3.5862068965517246</v>
      </c>
      <c r="Y130" s="6">
        <f t="shared" si="6"/>
        <v>16093803619.999998</v>
      </c>
    </row>
    <row r="131" spans="2:25" x14ac:dyDescent="0.25">
      <c r="B131" t="str">
        <f>Siam_Chart[[#This Row],[Name]]</f>
        <v>BTW</v>
      </c>
      <c r="C131">
        <f>Siam_Chart[[#This Row],[No.]]</f>
        <v>130</v>
      </c>
      <c r="D131">
        <f>Siam_Chart[[#This Row],[Last]]</f>
        <v>0.09</v>
      </c>
      <c r="E131">
        <f>Siam_Chart[[#This Row],[Chg%]]</f>
        <v>0</v>
      </c>
      <c r="F131">
        <f>Siam_Chart[[#This Row],[Volume]]</f>
        <v>306200</v>
      </c>
      <c r="G131">
        <f>Siam_Chart[[#This Row],[Value (k)]]</f>
        <v>27556</v>
      </c>
      <c r="H131" cm="1">
        <f t="array" ref="H131:W131">Siam_Chart[[#This Row],[MCap (M)]:[CG]]</f>
        <v>68040000</v>
      </c>
      <c r="I131">
        <v>60480000</v>
      </c>
      <c r="J131">
        <v>2.02</v>
      </c>
      <c r="K131">
        <v>12.690796000000001</v>
      </c>
      <c r="L131">
        <v>0.02</v>
      </c>
      <c r="M131">
        <v>-0.15</v>
      </c>
      <c r="N131">
        <v>-27.998615000000001</v>
      </c>
      <c r="O131">
        <v>-133.769642</v>
      </c>
      <c r="P131">
        <v>-218.67842999999999</v>
      </c>
      <c r="Q131">
        <v>1.79</v>
      </c>
      <c r="R131" t="str">
        <v/>
      </c>
      <c r="S131" t="str">
        <v/>
      </c>
      <c r="T131">
        <v>0</v>
      </c>
      <c r="U131">
        <v>0</v>
      </c>
      <c r="V131">
        <v>0</v>
      </c>
      <c r="W131">
        <v>4</v>
      </c>
      <c r="X131" s="5">
        <f t="shared" si="5"/>
        <v>4.4554455445544552E-2</v>
      </c>
      <c r="Y131" s="6">
        <f t="shared" si="6"/>
        <v>756000000</v>
      </c>
    </row>
    <row r="132" spans="2:25" x14ac:dyDescent="0.25">
      <c r="B132" t="str">
        <f>Siam_Chart[[#This Row],[Name]]</f>
        <v>BUI</v>
      </c>
      <c r="C132">
        <f>Siam_Chart[[#This Row],[No.]]</f>
        <v>131</v>
      </c>
      <c r="D132">
        <f>Siam_Chart[[#This Row],[Last]]</f>
        <v>12.3</v>
      </c>
      <c r="E132">
        <f>Siam_Chart[[#This Row],[Chg%]]</f>
        <v>0</v>
      </c>
      <c r="F132">
        <f>Siam_Chart[[#This Row],[Volume]]</f>
        <v>6601</v>
      </c>
      <c r="G132">
        <f>Siam_Chart[[#This Row],[Value (k)]]</f>
        <v>81182.3</v>
      </c>
      <c r="H132" cm="1">
        <f t="array" ref="H132:W132">Siam_Chart[[#This Row],[MCap (M)]:[CG]]</f>
        <v>697608423.60000002</v>
      </c>
      <c r="I132">
        <v>5.86</v>
      </c>
      <c r="J132">
        <v>0.55000000000000004</v>
      </c>
      <c r="K132">
        <v>0.463895</v>
      </c>
      <c r="L132">
        <v>0.2</v>
      </c>
      <c r="M132">
        <v>1.8</v>
      </c>
      <c r="N132">
        <v>8.4784799999999994</v>
      </c>
      <c r="O132">
        <v>9.9099520000000005</v>
      </c>
      <c r="P132">
        <v>13.508815999999999</v>
      </c>
      <c r="Q132">
        <v>1.48</v>
      </c>
      <c r="R132" t="str">
        <v/>
      </c>
      <c r="S132" t="str">
        <v/>
      </c>
      <c r="T132">
        <v>544</v>
      </c>
      <c r="U132">
        <v>612</v>
      </c>
      <c r="V132">
        <v>0.53</v>
      </c>
      <c r="W132">
        <v>0</v>
      </c>
      <c r="X132" s="5">
        <f t="shared" ref="X132:X195" si="7">IFERROR(D132/J132,0)</f>
        <v>22.363636363636363</v>
      </c>
      <c r="Y132" s="6">
        <f t="shared" ref="Y132:Y195" si="8">IFERROR(H132/D132,0)</f>
        <v>56716132</v>
      </c>
    </row>
    <row r="133" spans="2:25" x14ac:dyDescent="0.25">
      <c r="B133" t="str">
        <f>Siam_Chart[[#This Row],[Name]]</f>
        <v>BVG</v>
      </c>
      <c r="C133">
        <f>Siam_Chart[[#This Row],[No.]]</f>
        <v>132</v>
      </c>
      <c r="D133">
        <f>Siam_Chart[[#This Row],[Last]]</f>
        <v>1.6</v>
      </c>
      <c r="E133">
        <f>Siam_Chart[[#This Row],[Chg%]]</f>
        <v>-0.62</v>
      </c>
      <c r="F133">
        <f>Siam_Chart[[#This Row],[Volume]]</f>
        <v>278800</v>
      </c>
      <c r="G133">
        <f>Siam_Chart[[#This Row],[Value (k)]]</f>
        <v>447488</v>
      </c>
      <c r="H133" cm="1">
        <f t="array" ref="H133:W133">Siam_Chart[[#This Row],[MCap (M)]:[CG]]</f>
        <v>720000000</v>
      </c>
      <c r="I133">
        <v>13.46</v>
      </c>
      <c r="J133">
        <v>0.93</v>
      </c>
      <c r="K133">
        <v>0.2303</v>
      </c>
      <c r="L133">
        <v>0.03</v>
      </c>
      <c r="M133">
        <v>0.05</v>
      </c>
      <c r="N133">
        <v>7.2630509999999999</v>
      </c>
      <c r="O133">
        <v>6.9944280000000001</v>
      </c>
      <c r="P133">
        <v>8.1244619999999994</v>
      </c>
      <c r="Q133">
        <v>5.0599999999999996</v>
      </c>
      <c r="R133" t="str">
        <v/>
      </c>
      <c r="S133" t="str">
        <v/>
      </c>
      <c r="T133">
        <v>747</v>
      </c>
      <c r="U133">
        <v>623</v>
      </c>
      <c r="V133">
        <v>1.63</v>
      </c>
      <c r="W133">
        <v>4</v>
      </c>
      <c r="X133" s="5">
        <f t="shared" si="7"/>
        <v>1.7204301075268817</v>
      </c>
      <c r="Y133" s="6">
        <f t="shared" si="8"/>
        <v>450000000</v>
      </c>
    </row>
    <row r="134" spans="2:25" x14ac:dyDescent="0.25">
      <c r="B134" t="str">
        <f>Siam_Chart[[#This Row],[Name]]</f>
        <v>BWG</v>
      </c>
      <c r="C134">
        <f>Siam_Chart[[#This Row],[No.]]</f>
        <v>133</v>
      </c>
      <c r="D134">
        <f>Siam_Chart[[#This Row],[Last]]</f>
        <v>0.23</v>
      </c>
      <c r="E134">
        <f>Siam_Chart[[#This Row],[Chg%]]</f>
        <v>-4.17</v>
      </c>
      <c r="F134">
        <f>Siam_Chart[[#This Row],[Volume]]</f>
        <v>79634084</v>
      </c>
      <c r="G134">
        <f>Siam_Chart[[#This Row],[Value (k)]]</f>
        <v>18413357.859999999</v>
      </c>
      <c r="H134" cm="1">
        <f t="array" ref="H134:W134">Siam_Chart[[#This Row],[MCap (M)]:[CG]]</f>
        <v>1467677893.5899999</v>
      </c>
      <c r="I134">
        <v>3.16</v>
      </c>
      <c r="J134">
        <v>0.31</v>
      </c>
      <c r="K134">
        <v>0.29283100000000001</v>
      </c>
      <c r="L134">
        <v>7.4999999999999997E-3</v>
      </c>
      <c r="M134">
        <v>0.01</v>
      </c>
      <c r="N134">
        <v>10.264443</v>
      </c>
      <c r="O134">
        <v>10.384128</v>
      </c>
      <c r="P134">
        <v>7.6256110000000001</v>
      </c>
      <c r="Q134">
        <v>3.26</v>
      </c>
      <c r="R134" t="str">
        <v/>
      </c>
      <c r="S134" t="str">
        <v/>
      </c>
      <c r="T134">
        <v>274</v>
      </c>
      <c r="U134">
        <v>178</v>
      </c>
      <c r="V134">
        <v>0.05</v>
      </c>
      <c r="W134">
        <v>5</v>
      </c>
      <c r="X134" s="5">
        <f t="shared" si="7"/>
        <v>0.74193548387096775</v>
      </c>
      <c r="Y134" s="6">
        <f t="shared" si="8"/>
        <v>6381208232.999999</v>
      </c>
    </row>
    <row r="135" spans="2:25" x14ac:dyDescent="0.25">
      <c r="B135" t="str">
        <f>Siam_Chart[[#This Row],[Name]]</f>
        <v>BYD</v>
      </c>
      <c r="C135">
        <f>Siam_Chart[[#This Row],[No.]]</f>
        <v>134</v>
      </c>
      <c r="D135">
        <f>Siam_Chart[[#This Row],[Last]]</f>
        <v>0.44</v>
      </c>
      <c r="E135">
        <f>Siam_Chart[[#This Row],[Chg%]]</f>
        <v>0</v>
      </c>
      <c r="F135">
        <f>Siam_Chart[[#This Row],[Volume]]</f>
        <v>390801</v>
      </c>
      <c r="G135">
        <f>Siam_Chart[[#This Row],[Value (k)]]</f>
        <v>168887.44</v>
      </c>
      <c r="H135" cm="1">
        <f t="array" ref="H135:W135">Siam_Chart[[#This Row],[MCap (M)]:[CG]]</f>
        <v>2292676687.8400002</v>
      </c>
      <c r="I135">
        <v>2240570399.48</v>
      </c>
      <c r="J135">
        <v>0.47</v>
      </c>
      <c r="K135">
        <v>0.118393</v>
      </c>
      <c r="L135">
        <v>0</v>
      </c>
      <c r="M135">
        <v>-35.977327618535185</v>
      </c>
      <c r="N135">
        <v>-35.977328</v>
      </c>
      <c r="O135">
        <v>-41.041635999999997</v>
      </c>
      <c r="P135">
        <v>6.0138030000000002</v>
      </c>
      <c r="Q135">
        <v>0.46</v>
      </c>
      <c r="R135" t="str">
        <v/>
      </c>
      <c r="S135" t="str">
        <v/>
      </c>
      <c r="T135">
        <v>0</v>
      </c>
      <c r="U135">
        <v>0</v>
      </c>
      <c r="V135">
        <v>0</v>
      </c>
      <c r="W135">
        <v>4</v>
      </c>
      <c r="X135" s="5">
        <f t="shared" si="7"/>
        <v>0.93617021276595747</v>
      </c>
      <c r="Y135" s="6">
        <f t="shared" si="8"/>
        <v>5210628836</v>
      </c>
    </row>
    <row r="136" spans="2:25" x14ac:dyDescent="0.25">
      <c r="B136" t="str">
        <f>Siam_Chart[[#This Row],[Name]]</f>
        <v>CAZ</v>
      </c>
      <c r="C136">
        <f>Siam_Chart[[#This Row],[No.]]</f>
        <v>135</v>
      </c>
      <c r="D136">
        <f>Siam_Chart[[#This Row],[Last]]</f>
        <v>2.36</v>
      </c>
      <c r="E136">
        <f>Siam_Chart[[#This Row],[Chg%]]</f>
        <v>0</v>
      </c>
      <c r="F136">
        <f>Siam_Chart[[#This Row],[Volume]]</f>
        <v>520800</v>
      </c>
      <c r="G136">
        <f>Siam_Chart[[#This Row],[Value (k)]]</f>
        <v>1245874</v>
      </c>
      <c r="H136" cm="1">
        <f t="array" ref="H136:W136">Siam_Chart[[#This Row],[MCap (M)]:[CG]]</f>
        <v>717159046.72000003</v>
      </c>
      <c r="I136">
        <v>705003808.63999999</v>
      </c>
      <c r="J136">
        <v>1.22</v>
      </c>
      <c r="K136">
        <v>3.3540740000000002</v>
      </c>
      <c r="L136">
        <v>0.2114</v>
      </c>
      <c r="M136">
        <v>0.28000000000000003</v>
      </c>
      <c r="N136">
        <v>27.416142000000001</v>
      </c>
      <c r="O136">
        <v>-42.436928000000002</v>
      </c>
      <c r="P136">
        <v>4.5872679999999999</v>
      </c>
      <c r="Q136">
        <v>1.2</v>
      </c>
      <c r="R136" t="str">
        <v/>
      </c>
      <c r="S136" t="str">
        <v/>
      </c>
      <c r="T136">
        <v>0</v>
      </c>
      <c r="U136">
        <v>0</v>
      </c>
      <c r="V136">
        <v>0</v>
      </c>
      <c r="W136">
        <v>3</v>
      </c>
      <c r="X136" s="5">
        <f t="shared" si="7"/>
        <v>1.9344262295081966</v>
      </c>
      <c r="Y136" s="6">
        <f t="shared" si="8"/>
        <v>303880952</v>
      </c>
    </row>
    <row r="137" spans="2:25" x14ac:dyDescent="0.25">
      <c r="B137" t="str">
        <f>Siam_Chart[[#This Row],[Name]]</f>
        <v>CBG</v>
      </c>
      <c r="C137">
        <f>Siam_Chart[[#This Row],[No.]]</f>
        <v>136</v>
      </c>
      <c r="D137">
        <f>Siam_Chart[[#This Row],[Last]]</f>
        <v>56</v>
      </c>
      <c r="E137">
        <f>Siam_Chart[[#This Row],[Chg%]]</f>
        <v>-2.1800000000000002</v>
      </c>
      <c r="F137">
        <f>Siam_Chart[[#This Row],[Volume]]</f>
        <v>6169752</v>
      </c>
      <c r="G137">
        <f>Siam_Chart[[#This Row],[Value (k)]]</f>
        <v>346678383.75</v>
      </c>
      <c r="H137" cm="1">
        <f t="array" ref="H137:W137">Siam_Chart[[#This Row],[MCap (M)]:[CG]]</f>
        <v>56000000000</v>
      </c>
      <c r="I137">
        <v>26.59</v>
      </c>
      <c r="J137">
        <v>3.76</v>
      </c>
      <c r="K137">
        <v>0.36482100000000001</v>
      </c>
      <c r="L137">
        <v>1</v>
      </c>
      <c r="M137">
        <v>1.35</v>
      </c>
      <c r="N137">
        <v>14.772341000000001</v>
      </c>
      <c r="O137">
        <v>14.534865</v>
      </c>
      <c r="P137">
        <v>11.692266</v>
      </c>
      <c r="Q137">
        <v>2.3199999999999998</v>
      </c>
      <c r="R137" t="str">
        <v/>
      </c>
      <c r="S137" t="str">
        <v/>
      </c>
      <c r="T137">
        <v>724</v>
      </c>
      <c r="U137">
        <v>653</v>
      </c>
      <c r="V137">
        <v>-13.21</v>
      </c>
      <c r="W137">
        <v>5</v>
      </c>
      <c r="X137" s="5">
        <f t="shared" si="7"/>
        <v>14.893617021276597</v>
      </c>
      <c r="Y137" s="6">
        <f t="shared" si="8"/>
        <v>1000000000</v>
      </c>
    </row>
    <row r="138" spans="2:25" x14ac:dyDescent="0.25">
      <c r="B138" t="str">
        <f>Siam_Chart[[#This Row],[Name]]</f>
        <v>CCET</v>
      </c>
      <c r="C138">
        <f>Siam_Chart[[#This Row],[No.]]</f>
        <v>137</v>
      </c>
      <c r="D138">
        <f>Siam_Chart[[#This Row],[Last]]</f>
        <v>9.1</v>
      </c>
      <c r="E138">
        <f>Siam_Chart[[#This Row],[Chg%]]</f>
        <v>2.25</v>
      </c>
      <c r="F138">
        <f>Siam_Chart[[#This Row],[Volume]]</f>
        <v>68224625</v>
      </c>
      <c r="G138">
        <f>Siam_Chart[[#This Row],[Value (k)]]</f>
        <v>621623112.89999998</v>
      </c>
      <c r="H138" cm="1">
        <f t="array" ref="H138:W138">Siam_Chart[[#This Row],[MCap (M)]:[CG]]</f>
        <v>95095025762.100006</v>
      </c>
      <c r="I138">
        <v>43.8</v>
      </c>
      <c r="J138">
        <v>3.55</v>
      </c>
      <c r="K138">
        <v>2.52251</v>
      </c>
      <c r="L138">
        <v>0.09</v>
      </c>
      <c r="M138">
        <v>0.12</v>
      </c>
      <c r="N138">
        <v>4.1240370000000004</v>
      </c>
      <c r="O138">
        <v>8.3502840000000003</v>
      </c>
      <c r="P138">
        <v>1.8724609999999999</v>
      </c>
      <c r="Q138">
        <v>1.76</v>
      </c>
      <c r="R138" t="str">
        <v/>
      </c>
      <c r="S138" t="str">
        <v/>
      </c>
      <c r="T138">
        <v>1046</v>
      </c>
      <c r="U138">
        <v>1155</v>
      </c>
      <c r="V138">
        <v>0.51</v>
      </c>
      <c r="W138">
        <v>0</v>
      </c>
      <c r="X138" s="5">
        <f t="shared" si="7"/>
        <v>2.563380281690141</v>
      </c>
      <c r="Y138" s="6">
        <f t="shared" si="8"/>
        <v>10450002831.000002</v>
      </c>
    </row>
    <row r="139" spans="2:25" x14ac:dyDescent="0.25">
      <c r="B139" t="str">
        <f>Siam_Chart[[#This Row],[Name]]</f>
        <v>CCP</v>
      </c>
      <c r="C139">
        <f>Siam_Chart[[#This Row],[No.]]</f>
        <v>138</v>
      </c>
      <c r="D139">
        <f>Siam_Chart[[#This Row],[Last]]</f>
        <v>0.28999999999999998</v>
      </c>
      <c r="E139">
        <f>Siam_Chart[[#This Row],[Chg%]]</f>
        <v>-3.33</v>
      </c>
      <c r="F139">
        <f>Siam_Chart[[#This Row],[Volume]]</f>
        <v>1832800</v>
      </c>
      <c r="G139">
        <f>Siam_Chart[[#This Row],[Value (k)]]</f>
        <v>531532</v>
      </c>
      <c r="H139" cm="1">
        <f t="array" ref="H139:W139">Siam_Chart[[#This Row],[MCap (M)]:[CG]]</f>
        <v>802728752.49000001</v>
      </c>
      <c r="I139">
        <v>8.4600000000000009</v>
      </c>
      <c r="J139">
        <v>0.51</v>
      </c>
      <c r="K139">
        <v>0.83608400000000005</v>
      </c>
      <c r="L139">
        <v>0.01</v>
      </c>
      <c r="M139">
        <v>0.02</v>
      </c>
      <c r="N139">
        <v>5.0084780000000002</v>
      </c>
      <c r="O139">
        <v>6.1066060000000002</v>
      </c>
      <c r="P139">
        <v>4.9706989999999998</v>
      </c>
      <c r="Q139">
        <v>3.45</v>
      </c>
      <c r="R139" t="str">
        <v/>
      </c>
      <c r="S139" t="str">
        <v/>
      </c>
      <c r="T139">
        <v>777</v>
      </c>
      <c r="U139">
        <v>752</v>
      </c>
      <c r="V139">
        <v>0.13</v>
      </c>
      <c r="W139">
        <v>0</v>
      </c>
      <c r="X139" s="5">
        <f t="shared" si="7"/>
        <v>0.56862745098039214</v>
      </c>
      <c r="Y139" s="6">
        <f t="shared" si="8"/>
        <v>2768030181</v>
      </c>
    </row>
    <row r="140" spans="2:25" x14ac:dyDescent="0.25">
      <c r="B140" t="str">
        <f>Siam_Chart[[#This Row],[Name]]</f>
        <v>CEN</v>
      </c>
      <c r="C140">
        <f>Siam_Chart[[#This Row],[No.]]</f>
        <v>139</v>
      </c>
      <c r="D140">
        <f>Siam_Chart[[#This Row],[Last]]</f>
        <v>0.56999999999999995</v>
      </c>
      <c r="E140">
        <f>Siam_Chart[[#This Row],[Chg%]]</f>
        <v>0</v>
      </c>
      <c r="F140">
        <f>Siam_Chart[[#This Row],[Volume]]</f>
        <v>125400</v>
      </c>
      <c r="G140">
        <f>Siam_Chart[[#This Row],[Value (k)]]</f>
        <v>71028</v>
      </c>
      <c r="H140" cm="1">
        <f t="array" ref="H140:W140">Siam_Chart[[#This Row],[MCap (M)]:[CG]]</f>
        <v>424742688.26999998</v>
      </c>
      <c r="I140">
        <v>439645940.49000001</v>
      </c>
      <c r="J140">
        <v>0.37</v>
      </c>
      <c r="K140">
        <v>0.197188</v>
      </c>
      <c r="L140">
        <v>0.12</v>
      </c>
      <c r="M140">
        <v>-0.12</v>
      </c>
      <c r="N140">
        <v>-9.4155560000000005</v>
      </c>
      <c r="O140">
        <v>-12.730193</v>
      </c>
      <c r="P140">
        <v>-29.890606999999999</v>
      </c>
      <c r="Q140">
        <v>0.38</v>
      </c>
      <c r="R140" t="str">
        <v/>
      </c>
      <c r="S140" t="str">
        <v/>
      </c>
      <c r="T140">
        <v>0</v>
      </c>
      <c r="U140">
        <v>0</v>
      </c>
      <c r="V140">
        <v>0</v>
      </c>
      <c r="W140">
        <v>3</v>
      </c>
      <c r="X140" s="5">
        <f t="shared" si="7"/>
        <v>1.5405405405405403</v>
      </c>
      <c r="Y140" s="6">
        <f t="shared" si="8"/>
        <v>745162611</v>
      </c>
    </row>
    <row r="141" spans="2:25" x14ac:dyDescent="0.25">
      <c r="B141" t="str">
        <f>Siam_Chart[[#This Row],[Name]]</f>
        <v>CENTEL</v>
      </c>
      <c r="C141">
        <f>Siam_Chart[[#This Row],[No.]]</f>
        <v>140</v>
      </c>
      <c r="D141">
        <f>Siam_Chart[[#This Row],[Last]]</f>
        <v>42.5</v>
      </c>
      <c r="E141">
        <f>Siam_Chart[[#This Row],[Chg%]]</f>
        <v>0</v>
      </c>
      <c r="F141">
        <f>Siam_Chart[[#This Row],[Volume]]</f>
        <v>1081728</v>
      </c>
      <c r="G141">
        <f>Siam_Chart[[#This Row],[Value (k)]]</f>
        <v>46037487</v>
      </c>
      <c r="H141" cm="1">
        <f t="array" ref="H141:W141">Siam_Chart[[#This Row],[MCap (M)]:[CG]]</f>
        <v>57375000000</v>
      </c>
      <c r="I141">
        <v>16.66</v>
      </c>
      <c r="J141">
        <v>2.37</v>
      </c>
      <c r="K141">
        <v>1.6586160000000001</v>
      </c>
      <c r="L141">
        <v>0.67</v>
      </c>
      <c r="M141">
        <v>1.71</v>
      </c>
      <c r="N141">
        <v>7.9085999999999999</v>
      </c>
      <c r="O141">
        <v>15.06556</v>
      </c>
      <c r="P141">
        <v>17.844097000000001</v>
      </c>
      <c r="Q141">
        <v>1.58</v>
      </c>
      <c r="R141" t="str">
        <v/>
      </c>
      <c r="S141" t="str">
        <v/>
      </c>
      <c r="T141">
        <v>621</v>
      </c>
      <c r="U141">
        <v>726</v>
      </c>
      <c r="V141">
        <v>0.44</v>
      </c>
      <c r="W141">
        <v>5</v>
      </c>
      <c r="X141" s="5">
        <f t="shared" si="7"/>
        <v>17.932489451476794</v>
      </c>
      <c r="Y141" s="6">
        <f t="shared" si="8"/>
        <v>1350000000</v>
      </c>
    </row>
    <row r="142" spans="2:25" x14ac:dyDescent="0.25">
      <c r="B142" t="str">
        <f>Siam_Chart[[#This Row],[Name]]</f>
        <v>CEYE</v>
      </c>
      <c r="C142">
        <f>Siam_Chart[[#This Row],[No.]]</f>
        <v>141</v>
      </c>
      <c r="D142">
        <f>Siam_Chart[[#This Row],[Last]]</f>
        <v>1.24</v>
      </c>
      <c r="E142">
        <f>Siam_Chart[[#This Row],[Chg%]]</f>
        <v>0</v>
      </c>
      <c r="F142">
        <f>Siam_Chart[[#This Row],[Volume]]</f>
        <v>2000</v>
      </c>
      <c r="G142">
        <f>Siam_Chart[[#This Row],[Value (k)]]</f>
        <v>2423</v>
      </c>
      <c r="H142" cm="1">
        <f t="array" ref="H142:W142">Siam_Chart[[#This Row],[MCap (M)]:[CG]]</f>
        <v>359550496.72000003</v>
      </c>
      <c r="I142">
        <v>92.9</v>
      </c>
      <c r="J142">
        <v>0.56000000000000005</v>
      </c>
      <c r="K142">
        <v>0.13639899999999999</v>
      </c>
      <c r="L142">
        <v>7.4999999999999997E-2</v>
      </c>
      <c r="M142">
        <v>0.06</v>
      </c>
      <c r="N142">
        <v>1.391942</v>
      </c>
      <c r="O142">
        <v>0.60090299999999996</v>
      </c>
      <c r="P142">
        <v>8.7566849999999992</v>
      </c>
      <c r="Q142">
        <v>6.05</v>
      </c>
      <c r="R142" t="str">
        <v/>
      </c>
      <c r="S142" t="str">
        <v/>
      </c>
      <c r="T142">
        <v>1370</v>
      </c>
      <c r="U142">
        <v>1352</v>
      </c>
      <c r="V142">
        <v>-45.42</v>
      </c>
      <c r="W142">
        <v>0</v>
      </c>
      <c r="X142" s="5">
        <f t="shared" si="7"/>
        <v>2.214285714285714</v>
      </c>
      <c r="Y142" s="6">
        <f t="shared" si="8"/>
        <v>289960078</v>
      </c>
    </row>
    <row r="143" spans="2:25" x14ac:dyDescent="0.25">
      <c r="B143" t="str">
        <f>Siam_Chart[[#This Row],[Name]]</f>
        <v>CFARM</v>
      </c>
      <c r="C143">
        <f>Siam_Chart[[#This Row],[No.]]</f>
        <v>142</v>
      </c>
      <c r="D143">
        <f>Siam_Chart[[#This Row],[Last]]</f>
        <v>0.96</v>
      </c>
      <c r="E143">
        <f>Siam_Chart[[#This Row],[Chg%]]</f>
        <v>1.05</v>
      </c>
      <c r="F143">
        <f>Siam_Chart[[#This Row],[Volume]]</f>
        <v>3715430</v>
      </c>
      <c r="G143">
        <f>Siam_Chart[[#This Row],[Value (k)]]</f>
        <v>3529407.4</v>
      </c>
      <c r="H143" cm="1">
        <f t="array" ref="H143:W143">Siam_Chart[[#This Row],[MCap (M)]:[CG]]</f>
        <v>556800000</v>
      </c>
      <c r="I143">
        <v>26.08</v>
      </c>
      <c r="J143">
        <v>0.84</v>
      </c>
      <c r="K143">
        <v>0.23360300000000001</v>
      </c>
      <c r="L143">
        <v>0.02</v>
      </c>
      <c r="M143">
        <v>0.01</v>
      </c>
      <c r="N143">
        <v>2.588498</v>
      </c>
      <c r="O143">
        <v>3.2337980000000002</v>
      </c>
      <c r="P143">
        <v>7.041169</v>
      </c>
      <c r="Q143">
        <v>2.08</v>
      </c>
      <c r="R143" t="str">
        <v/>
      </c>
      <c r="S143" t="str">
        <v/>
      </c>
      <c r="T143">
        <v>1153</v>
      </c>
      <c r="U143">
        <v>1162</v>
      </c>
      <c r="V143">
        <v>-0.75</v>
      </c>
      <c r="W143">
        <v>4</v>
      </c>
      <c r="X143" s="5">
        <f t="shared" si="7"/>
        <v>1.1428571428571428</v>
      </c>
      <c r="Y143" s="6">
        <f t="shared" si="8"/>
        <v>580000000</v>
      </c>
    </row>
    <row r="144" spans="2:25" x14ac:dyDescent="0.25">
      <c r="B144" t="str">
        <f>Siam_Chart[[#This Row],[Name]]</f>
        <v>CFRESH</v>
      </c>
      <c r="C144">
        <f>Siam_Chart[[#This Row],[No.]]</f>
        <v>143</v>
      </c>
      <c r="D144">
        <f>Siam_Chart[[#This Row],[Last]]</f>
        <v>1.85</v>
      </c>
      <c r="E144">
        <f>Siam_Chart[[#This Row],[Chg%]]</f>
        <v>-1.07</v>
      </c>
      <c r="F144">
        <f>Siam_Chart[[#This Row],[Volume]]</f>
        <v>7452657</v>
      </c>
      <c r="G144">
        <f>Siam_Chart[[#This Row],[Value (k)]]</f>
        <v>14114390.84</v>
      </c>
      <c r="H144" cm="1">
        <f t="array" ref="H144:W144">Siam_Chart[[#This Row],[MCap (M)]:[CG]]</f>
        <v>1715133520</v>
      </c>
      <c r="I144">
        <v>11.06</v>
      </c>
      <c r="J144">
        <v>0.7</v>
      </c>
      <c r="K144">
        <v>0.99693399999999999</v>
      </c>
      <c r="L144">
        <v>0.12</v>
      </c>
      <c r="M144">
        <v>0.12</v>
      </c>
      <c r="N144">
        <v>8.0722550000000002</v>
      </c>
      <c r="O144">
        <v>6.4915200000000004</v>
      </c>
      <c r="P144">
        <v>4.2402759999999997</v>
      </c>
      <c r="Q144">
        <v>0.53</v>
      </c>
      <c r="R144" t="str">
        <v/>
      </c>
      <c r="S144" t="str">
        <v/>
      </c>
      <c r="T144">
        <v>1071</v>
      </c>
      <c r="U144">
        <v>792</v>
      </c>
      <c r="V144">
        <v>-0.15</v>
      </c>
      <c r="W144">
        <v>5</v>
      </c>
      <c r="X144" s="5">
        <f t="shared" si="7"/>
        <v>2.6428571428571432</v>
      </c>
      <c r="Y144" s="6">
        <f t="shared" si="8"/>
        <v>927099200</v>
      </c>
    </row>
    <row r="145" spans="2:25" x14ac:dyDescent="0.25">
      <c r="B145" t="str">
        <f>Siam_Chart[[#This Row],[Name]]</f>
        <v>CGD</v>
      </c>
      <c r="C145">
        <f>Siam_Chart[[#This Row],[No.]]</f>
        <v>144</v>
      </c>
      <c r="D145">
        <f>Siam_Chart[[#This Row],[Last]]</f>
        <v>0.1</v>
      </c>
      <c r="E145">
        <f>Siam_Chart[[#This Row],[Chg%]]</f>
        <v>11.11</v>
      </c>
      <c r="F145">
        <f>Siam_Chart[[#This Row],[Volume]]</f>
        <v>416800</v>
      </c>
      <c r="G145">
        <f>Siam_Chart[[#This Row],[Value (k)]]</f>
        <v>38175</v>
      </c>
      <c r="H145" cm="1">
        <f t="array" ref="H145:W145">Siam_Chart[[#This Row],[MCap (M)]:[CG]]</f>
        <v>826612905</v>
      </c>
      <c r="I145">
        <v>826612905</v>
      </c>
      <c r="J145">
        <v>0.27</v>
      </c>
      <c r="K145">
        <v>3.356255</v>
      </c>
      <c r="L145">
        <v>-0.04</v>
      </c>
      <c r="M145">
        <v>-0.04</v>
      </c>
      <c r="N145">
        <v>-1.1992</v>
      </c>
      <c r="O145">
        <v>-21.928687</v>
      </c>
      <c r="P145">
        <v>-77.845044999999999</v>
      </c>
      <c r="Q145">
        <v>0.27</v>
      </c>
      <c r="R145" t="str">
        <v/>
      </c>
      <c r="S145" t="str">
        <v/>
      </c>
      <c r="T145">
        <v>0</v>
      </c>
      <c r="U145">
        <v>0</v>
      </c>
      <c r="V145">
        <v>0</v>
      </c>
      <c r="W145">
        <v>0</v>
      </c>
      <c r="X145" s="5">
        <f t="shared" si="7"/>
        <v>0.37037037037037035</v>
      </c>
      <c r="Y145" s="6">
        <f t="shared" si="8"/>
        <v>8266129050</v>
      </c>
    </row>
    <row r="146" spans="2:25" x14ac:dyDescent="0.25">
      <c r="B146" t="str">
        <f>Siam_Chart[[#This Row],[Name]]</f>
        <v>CGH</v>
      </c>
      <c r="C146">
        <f>Siam_Chart[[#This Row],[No.]]</f>
        <v>145</v>
      </c>
      <c r="D146">
        <f>Siam_Chart[[#This Row],[Last]]</f>
        <v>0.59</v>
      </c>
      <c r="E146">
        <f>Siam_Chart[[#This Row],[Chg%]]</f>
        <v>7.27</v>
      </c>
      <c r="F146">
        <f>Siam_Chart[[#This Row],[Volume]]</f>
        <v>8551552</v>
      </c>
      <c r="G146">
        <f>Siam_Chart[[#This Row],[Value (k)]]</f>
        <v>4905589.6399999997</v>
      </c>
      <c r="H146" cm="1">
        <f t="array" ref="H146:W146">Siam_Chart[[#This Row],[MCap (M)]:[CG]]</f>
        <v>2449945009.1199999</v>
      </c>
      <c r="I146">
        <v>2283847042.4000001</v>
      </c>
      <c r="J146">
        <v>0.41</v>
      </c>
      <c r="K146">
        <v>0.55721900000000002</v>
      </c>
      <c r="L146">
        <v>0.01</v>
      </c>
      <c r="M146">
        <v>0.01</v>
      </c>
      <c r="N146">
        <v>-1.03304</v>
      </c>
      <c r="O146">
        <v>-0.142757</v>
      </c>
      <c r="P146">
        <v>186.84591599999999</v>
      </c>
      <c r="Q146">
        <v>0.38</v>
      </c>
      <c r="R146" t="str">
        <v/>
      </c>
      <c r="S146" t="str">
        <v/>
      </c>
      <c r="T146">
        <v>0</v>
      </c>
      <c r="U146">
        <v>0</v>
      </c>
      <c r="V146">
        <v>0</v>
      </c>
      <c r="W146">
        <v>5</v>
      </c>
      <c r="X146" s="5">
        <f t="shared" si="7"/>
        <v>1.4390243902439024</v>
      </c>
      <c r="Y146" s="6">
        <f t="shared" si="8"/>
        <v>4152449168</v>
      </c>
    </row>
    <row r="147" spans="2:25" x14ac:dyDescent="0.25">
      <c r="B147" t="str">
        <f>Siam_Chart[[#This Row],[Name]]</f>
        <v>CH</v>
      </c>
      <c r="C147">
        <f>Siam_Chart[[#This Row],[No.]]</f>
        <v>146</v>
      </c>
      <c r="D147">
        <f>Siam_Chart[[#This Row],[Last]]</f>
        <v>1.39</v>
      </c>
      <c r="E147">
        <f>Siam_Chart[[#This Row],[Chg%]]</f>
        <v>0</v>
      </c>
      <c r="F147">
        <f>Siam_Chart[[#This Row],[Volume]]</f>
        <v>19939</v>
      </c>
      <c r="G147">
        <f>Siam_Chart[[#This Row],[Value (k)]]</f>
        <v>27881.99</v>
      </c>
      <c r="H147" cm="1">
        <f t="array" ref="H147:W147">Siam_Chart[[#This Row],[MCap (M)]:[CG]]</f>
        <v>1112000000</v>
      </c>
      <c r="I147">
        <v>1144000000</v>
      </c>
      <c r="J147">
        <v>0.91</v>
      </c>
      <c r="K147">
        <v>0.69643299999999997</v>
      </c>
      <c r="L147">
        <v>0.03</v>
      </c>
      <c r="M147">
        <v>-0.04</v>
      </c>
      <c r="N147">
        <v>-3.4921899999999999</v>
      </c>
      <c r="O147">
        <v>-5.7308500000000002</v>
      </c>
      <c r="P147">
        <v>-3.1094469999999998</v>
      </c>
      <c r="Q147">
        <v>2.16</v>
      </c>
      <c r="R147" t="str">
        <v/>
      </c>
      <c r="S147" t="str">
        <v/>
      </c>
      <c r="T147">
        <v>0</v>
      </c>
      <c r="U147">
        <v>0</v>
      </c>
      <c r="V147">
        <v>0</v>
      </c>
      <c r="W147">
        <v>4</v>
      </c>
      <c r="X147" s="5">
        <f t="shared" si="7"/>
        <v>1.5274725274725274</v>
      </c>
      <c r="Y147" s="6">
        <f t="shared" si="8"/>
        <v>800000000</v>
      </c>
    </row>
    <row r="148" spans="2:25" x14ac:dyDescent="0.25">
      <c r="B148" t="str">
        <f>Siam_Chart[[#This Row],[Name]]</f>
        <v>CHAO</v>
      </c>
      <c r="C148">
        <f>Siam_Chart[[#This Row],[No.]]</f>
        <v>147</v>
      </c>
      <c r="D148">
        <f>Siam_Chart[[#This Row],[Last]]</f>
        <v>4</v>
      </c>
      <c r="E148">
        <f>Siam_Chart[[#This Row],[Chg%]]</f>
        <v>0</v>
      </c>
      <c r="F148">
        <f>Siam_Chart[[#This Row],[Volume]]</f>
        <v>38311</v>
      </c>
      <c r="G148">
        <f>Siam_Chart[[#This Row],[Value (k)]]</f>
        <v>152190.22</v>
      </c>
      <c r="H148" cm="1">
        <f t="array" ref="H148:W148">Siam_Chart[[#This Row],[MCap (M)]:[CG]]</f>
        <v>1200000000</v>
      </c>
      <c r="I148">
        <v>17.34</v>
      </c>
      <c r="J148">
        <v>1.19</v>
      </c>
      <c r="K148">
        <v>0.31931500000000002</v>
      </c>
      <c r="L148">
        <v>0.17</v>
      </c>
      <c r="M148">
        <v>0.04</v>
      </c>
      <c r="N148">
        <v>6.446504</v>
      </c>
      <c r="O148">
        <v>6.8202150000000001</v>
      </c>
      <c r="P148">
        <v>1.723557</v>
      </c>
      <c r="Q148">
        <v>4.32</v>
      </c>
      <c r="R148" t="str">
        <v/>
      </c>
      <c r="S148" t="str">
        <v/>
      </c>
      <c r="T148">
        <v>938</v>
      </c>
      <c r="U148">
        <v>862</v>
      </c>
      <c r="V148">
        <v>-0.56999999999999995</v>
      </c>
      <c r="W148">
        <v>3</v>
      </c>
      <c r="X148" s="5">
        <f t="shared" si="7"/>
        <v>3.3613445378151261</v>
      </c>
      <c r="Y148" s="6">
        <f t="shared" si="8"/>
        <v>300000000</v>
      </c>
    </row>
    <row r="149" spans="2:25" x14ac:dyDescent="0.25">
      <c r="B149" t="str">
        <f>Siam_Chart[[#This Row],[Name]]</f>
        <v>CHARAN</v>
      </c>
      <c r="C149">
        <f>Siam_Chart[[#This Row],[No.]]</f>
        <v>148</v>
      </c>
      <c r="D149">
        <f>Siam_Chart[[#This Row],[Last]]</f>
        <v>20.6</v>
      </c>
      <c r="E149">
        <f>Siam_Chart[[#This Row],[Chg%]]</f>
        <v>0.49</v>
      </c>
      <c r="F149">
        <f>Siam_Chart[[#This Row],[Volume]]</f>
        <v>3200</v>
      </c>
      <c r="G149">
        <f>Siam_Chart[[#This Row],[Value (k)]]</f>
        <v>65910</v>
      </c>
      <c r="H149" cm="1">
        <f t="array" ref="H149:W149">Siam_Chart[[#This Row],[MCap (M)]:[CG]]</f>
        <v>247200000</v>
      </c>
      <c r="I149">
        <v>3.46</v>
      </c>
      <c r="J149">
        <v>0.39</v>
      </c>
      <c r="K149">
        <v>0.39673199999999997</v>
      </c>
      <c r="L149">
        <v>0.9</v>
      </c>
      <c r="M149">
        <v>3.69</v>
      </c>
      <c r="N149">
        <v>8.0273559999999993</v>
      </c>
      <c r="O149">
        <v>11.780298</v>
      </c>
      <c r="P149">
        <v>23.739177000000002</v>
      </c>
      <c r="Q149">
        <v>4.37</v>
      </c>
      <c r="R149" t="str">
        <v/>
      </c>
      <c r="S149" t="str">
        <v/>
      </c>
      <c r="T149">
        <v>420</v>
      </c>
      <c r="U149">
        <v>469</v>
      </c>
      <c r="V149">
        <v>-0.02</v>
      </c>
      <c r="W149">
        <v>3</v>
      </c>
      <c r="X149" s="5">
        <f t="shared" si="7"/>
        <v>52.820512820512825</v>
      </c>
      <c r="Y149" s="6">
        <f t="shared" si="8"/>
        <v>12000000</v>
      </c>
    </row>
    <row r="150" spans="2:25" x14ac:dyDescent="0.25">
      <c r="B150" t="str">
        <f>Siam_Chart[[#This Row],[Name]]</f>
        <v>CHASE</v>
      </c>
      <c r="C150">
        <f>Siam_Chart[[#This Row],[No.]]</f>
        <v>149</v>
      </c>
      <c r="D150">
        <f>Siam_Chart[[#This Row],[Last]]</f>
        <v>0.48</v>
      </c>
      <c r="E150">
        <f>Siam_Chart[[#This Row],[Chg%]]</f>
        <v>2.13</v>
      </c>
      <c r="F150">
        <f>Siam_Chart[[#This Row],[Volume]]</f>
        <v>579600</v>
      </c>
      <c r="G150">
        <f>Siam_Chart[[#This Row],[Value (k)]]</f>
        <v>271292</v>
      </c>
      <c r="H150" cm="1">
        <f t="array" ref="H150:W150">Siam_Chart[[#This Row],[MCap (M)]:[CG]]</f>
        <v>953416176</v>
      </c>
      <c r="I150">
        <v>953416176</v>
      </c>
      <c r="J150">
        <v>0.28000000000000003</v>
      </c>
      <c r="K150">
        <v>0.11214399999999999</v>
      </c>
      <c r="L150">
        <v>1.0410000000000001E-2</v>
      </c>
      <c r="M150">
        <v>0.55334800417433805</v>
      </c>
      <c r="N150">
        <v>0.55334799999999995</v>
      </c>
      <c r="O150">
        <v>-5.6994999999999997E-2</v>
      </c>
      <c r="P150">
        <v>0.16688500000000001</v>
      </c>
      <c r="Q150">
        <v>0.28000000000000003</v>
      </c>
      <c r="R150" t="str">
        <v/>
      </c>
      <c r="S150" t="str">
        <v/>
      </c>
      <c r="T150">
        <v>0</v>
      </c>
      <c r="U150">
        <v>0</v>
      </c>
      <c r="V150">
        <v>0</v>
      </c>
      <c r="W150">
        <v>5</v>
      </c>
      <c r="X150" s="5">
        <f t="shared" si="7"/>
        <v>1.714285714285714</v>
      </c>
      <c r="Y150" s="6">
        <f t="shared" si="8"/>
        <v>1986283700</v>
      </c>
    </row>
    <row r="151" spans="2:25" x14ac:dyDescent="0.25">
      <c r="B151" t="str">
        <f>Siam_Chart[[#This Row],[Name]]</f>
        <v>CHAYO</v>
      </c>
      <c r="C151">
        <f>Siam_Chart[[#This Row],[No.]]</f>
        <v>150</v>
      </c>
      <c r="D151">
        <f>Siam_Chart[[#This Row],[Last]]</f>
        <v>1.36</v>
      </c>
      <c r="E151">
        <f>Siam_Chart[[#This Row],[Chg%]]</f>
        <v>-1.45</v>
      </c>
      <c r="F151">
        <f>Siam_Chart[[#This Row],[Volume]]</f>
        <v>1051466</v>
      </c>
      <c r="G151">
        <f>Siam_Chart[[#This Row],[Value (k)]]</f>
        <v>1433777.06</v>
      </c>
      <c r="H151" cm="1">
        <f t="array" ref="H151:W151">Siam_Chart[[#This Row],[MCap (M)]:[CG]]</f>
        <v>1585233437.9200001</v>
      </c>
      <c r="I151">
        <v>1631857950.8</v>
      </c>
      <c r="J151">
        <v>0.49</v>
      </c>
      <c r="K151">
        <v>1.077305</v>
      </c>
      <c r="L151">
        <v>1.389E-3</v>
      </c>
      <c r="M151">
        <v>0.17</v>
      </c>
      <c r="N151">
        <v>-2.727833</v>
      </c>
      <c r="O151">
        <v>-14.904111</v>
      </c>
      <c r="P151">
        <v>24.594812000000001</v>
      </c>
      <c r="Q151">
        <v>0.51</v>
      </c>
      <c r="R151" t="str">
        <v/>
      </c>
      <c r="S151" t="str">
        <v/>
      </c>
      <c r="T151">
        <v>0</v>
      </c>
      <c r="U151">
        <v>0</v>
      </c>
      <c r="V151">
        <v>0</v>
      </c>
      <c r="W151">
        <v>3</v>
      </c>
      <c r="X151" s="5">
        <f t="shared" si="7"/>
        <v>2.7755102040816331</v>
      </c>
      <c r="Y151" s="6">
        <f t="shared" si="8"/>
        <v>1165612822</v>
      </c>
    </row>
    <row r="152" spans="2:25" x14ac:dyDescent="0.25">
      <c r="B152" t="str">
        <f>Siam_Chart[[#This Row],[Name]]</f>
        <v>CHEWA</v>
      </c>
      <c r="C152">
        <f>Siam_Chart[[#This Row],[No.]]</f>
        <v>151</v>
      </c>
      <c r="D152">
        <f>Siam_Chart[[#This Row],[Last]]</f>
        <v>0.14000000000000001</v>
      </c>
      <c r="E152">
        <f>Siam_Chart[[#This Row],[Chg%]]</f>
        <v>-6.67</v>
      </c>
      <c r="F152">
        <f>Siam_Chart[[#This Row],[Volume]]</f>
        <v>95900</v>
      </c>
      <c r="G152">
        <f>Siam_Chart[[#This Row],[Value (k)]]</f>
        <v>13496</v>
      </c>
      <c r="H152" cm="1">
        <f t="array" ref="H152:W152">Siam_Chart[[#This Row],[MCap (M)]:[CG]]</f>
        <v>178504043.62</v>
      </c>
      <c r="I152">
        <v>191254332.44999999</v>
      </c>
      <c r="J152">
        <v>0.17</v>
      </c>
      <c r="K152">
        <v>2.9266299999999998</v>
      </c>
      <c r="L152">
        <v>1.83E-2</v>
      </c>
      <c r="M152">
        <v>-0.08</v>
      </c>
      <c r="N152">
        <v>-7.2204810000000004</v>
      </c>
      <c r="O152">
        <v>-35.382027999999998</v>
      </c>
      <c r="P152">
        <v>-24.886924</v>
      </c>
      <c r="Q152">
        <v>0.18</v>
      </c>
      <c r="R152" t="str">
        <v/>
      </c>
      <c r="S152" t="str">
        <v/>
      </c>
      <c r="T152">
        <v>0</v>
      </c>
      <c r="U152">
        <v>0</v>
      </c>
      <c r="V152">
        <v>0</v>
      </c>
      <c r="W152">
        <v>5</v>
      </c>
      <c r="X152" s="5">
        <f t="shared" si="7"/>
        <v>0.82352941176470595</v>
      </c>
      <c r="Y152" s="6">
        <f t="shared" si="8"/>
        <v>1275028883</v>
      </c>
    </row>
    <row r="153" spans="2:25" x14ac:dyDescent="0.25">
      <c r="B153" t="str">
        <f>Siam_Chart[[#This Row],[Name]]</f>
        <v>CHG</v>
      </c>
      <c r="C153">
        <f>Siam_Chart[[#This Row],[No.]]</f>
        <v>152</v>
      </c>
      <c r="D153">
        <f>Siam_Chart[[#This Row],[Last]]</f>
        <v>1.55</v>
      </c>
      <c r="E153">
        <f>Siam_Chart[[#This Row],[Chg%]]</f>
        <v>-1.27</v>
      </c>
      <c r="F153">
        <f>Siam_Chart[[#This Row],[Volume]]</f>
        <v>29704671</v>
      </c>
      <c r="G153">
        <f>Siam_Chart[[#This Row],[Value (k)]]</f>
        <v>46154234.119999997</v>
      </c>
      <c r="H153" cm="1">
        <f t="array" ref="H153:W153">Siam_Chart[[#This Row],[MCap (M)]:[CG]]</f>
        <v>17050000000</v>
      </c>
      <c r="I153">
        <v>17.53</v>
      </c>
      <c r="J153">
        <v>2.2000000000000002</v>
      </c>
      <c r="K153">
        <v>0.240707</v>
      </c>
      <c r="L153">
        <v>0.02</v>
      </c>
      <c r="M153">
        <v>0.04</v>
      </c>
      <c r="N153">
        <v>12.674571</v>
      </c>
      <c r="O153">
        <v>12.674816999999999</v>
      </c>
      <c r="P153">
        <v>11.698674</v>
      </c>
      <c r="Q153">
        <v>4.5199999999999996</v>
      </c>
      <c r="R153" t="str">
        <v/>
      </c>
      <c r="S153" t="str">
        <v/>
      </c>
      <c r="T153">
        <v>745</v>
      </c>
      <c r="U153">
        <v>649</v>
      </c>
      <c r="V153">
        <v>-0.7</v>
      </c>
      <c r="W153">
        <v>5</v>
      </c>
      <c r="X153" s="5">
        <f t="shared" si="7"/>
        <v>0.70454545454545447</v>
      </c>
      <c r="Y153" s="6">
        <f t="shared" si="8"/>
        <v>11000000000</v>
      </c>
    </row>
    <row r="154" spans="2:25" x14ac:dyDescent="0.25">
      <c r="B154" t="str">
        <f>Siam_Chart[[#This Row],[Name]]</f>
        <v>CHIC</v>
      </c>
      <c r="C154">
        <f>Siam_Chart[[#This Row],[No.]]</f>
        <v>153</v>
      </c>
      <c r="D154">
        <f>Siam_Chart[[#This Row],[Last]]</f>
        <v>0.28999999999999998</v>
      </c>
      <c r="E154">
        <f>Siam_Chart[[#This Row],[Chg%]]</f>
        <v>-3.33</v>
      </c>
      <c r="F154">
        <f>Siam_Chart[[#This Row],[Volume]]</f>
        <v>27610</v>
      </c>
      <c r="G154">
        <f>Siam_Chart[[#This Row],[Value (k)]]</f>
        <v>7807.3</v>
      </c>
      <c r="H154" cm="1">
        <f t="array" ref="H154:W154">Siam_Chart[[#This Row],[MCap (M)]:[CG]]</f>
        <v>394400000</v>
      </c>
      <c r="I154">
        <v>20.14</v>
      </c>
      <c r="J154">
        <v>0.48</v>
      </c>
      <c r="K154">
        <v>1.16797</v>
      </c>
      <c r="L154">
        <v>2.5000000000000001E-3</v>
      </c>
      <c r="M154">
        <v>2.7504670631434025</v>
      </c>
      <c r="N154">
        <v>2.750467</v>
      </c>
      <c r="O154">
        <v>2.4255010000000001</v>
      </c>
      <c r="P154">
        <v>1.1252740000000001</v>
      </c>
      <c r="Q154">
        <v>0.48</v>
      </c>
      <c r="R154" t="str">
        <v/>
      </c>
      <c r="S154" t="str">
        <v/>
      </c>
      <c r="T154">
        <v>1168</v>
      </c>
      <c r="U154">
        <v>1139</v>
      </c>
      <c r="V154">
        <v>-0.22</v>
      </c>
      <c r="W154">
        <v>3</v>
      </c>
      <c r="X154" s="5">
        <f t="shared" si="7"/>
        <v>0.60416666666666663</v>
      </c>
      <c r="Y154" s="6">
        <f t="shared" si="8"/>
        <v>1360000000</v>
      </c>
    </row>
    <row r="155" spans="2:25" x14ac:dyDescent="0.25">
      <c r="B155" t="str">
        <f>Siam_Chart[[#This Row],[Name]]</f>
        <v>CHO</v>
      </c>
      <c r="C155">
        <f>Siam_Chart[[#This Row],[No.]]</f>
        <v>154</v>
      </c>
      <c r="D155">
        <f>Siam_Chart[[#This Row],[Last]]</f>
        <v>2026</v>
      </c>
      <c r="E155">
        <f>Siam_Chart[[#This Row],[Chg%]]</f>
        <v>-71.428571428571416</v>
      </c>
      <c r="F155">
        <f>Siam_Chart[[#This Row],[Volume]]</f>
        <v>127536194</v>
      </c>
      <c r="G155">
        <f>Siam_Chart[[#This Row],[Value (k)]]</f>
        <v>5220.31837</v>
      </c>
      <c r="H155" cm="1">
        <f t="array" ref="H155:W155">Siam_Chart[[#This Row],[MCap (M)]:[CG]]</f>
        <v>15</v>
      </c>
      <c r="I155">
        <v>0</v>
      </c>
      <c r="J155">
        <v>0</v>
      </c>
      <c r="K155">
        <v>0</v>
      </c>
      <c r="L155">
        <v>-0.18</v>
      </c>
      <c r="M155">
        <v>-0.18</v>
      </c>
      <c r="N155">
        <v>-35.829908000000003</v>
      </c>
      <c r="O155">
        <v>-278.38236741119749</v>
      </c>
      <c r="P155">
        <v>-278.38236699999999</v>
      </c>
      <c r="Q155">
        <v>0</v>
      </c>
      <c r="R155" t="str">
        <v/>
      </c>
      <c r="S155" t="str">
        <v/>
      </c>
      <c r="T155">
        <v>0</v>
      </c>
      <c r="U155">
        <v>0</v>
      </c>
      <c r="V155">
        <v>0</v>
      </c>
      <c r="W155">
        <v>0</v>
      </c>
      <c r="X155" s="5">
        <f t="shared" si="7"/>
        <v>0</v>
      </c>
      <c r="Y155" s="6">
        <f t="shared" si="8"/>
        <v>7.4037512339585393E-3</v>
      </c>
    </row>
    <row r="156" spans="2:25" x14ac:dyDescent="0.25">
      <c r="B156" t="str">
        <f>Siam_Chart[[#This Row],[Name]]</f>
        <v>CHOTI</v>
      </c>
      <c r="C156">
        <f>Siam_Chart[[#This Row],[No.]]</f>
        <v>155</v>
      </c>
      <c r="D156">
        <f>Siam_Chart[[#This Row],[Last]]</f>
        <v>72.75</v>
      </c>
      <c r="E156">
        <f>Siam_Chart[[#This Row],[Chg%]]</f>
        <v>-1.69</v>
      </c>
      <c r="F156">
        <f>Siam_Chart[[#This Row],[Volume]]</f>
        <v>2416</v>
      </c>
      <c r="G156">
        <f>Siam_Chart[[#This Row],[Value (k)]]</f>
        <v>176755.25</v>
      </c>
      <c r="H156" cm="1">
        <f t="array" ref="H156:W156">Siam_Chart[[#This Row],[MCap (M)]:[CG]]</f>
        <v>545625000</v>
      </c>
      <c r="I156">
        <v>511875000</v>
      </c>
      <c r="J156">
        <v>0.8</v>
      </c>
      <c r="K156">
        <v>2.7166589999999999</v>
      </c>
      <c r="L156">
        <v>8.5</v>
      </c>
      <c r="M156">
        <v>34.39</v>
      </c>
      <c r="N156">
        <v>-4.0471490000000001</v>
      </c>
      <c r="O156">
        <v>-17.035246999999998</v>
      </c>
      <c r="P156">
        <v>17.607937</v>
      </c>
      <c r="Q156">
        <v>0.75</v>
      </c>
      <c r="R156" t="str">
        <v/>
      </c>
      <c r="S156" t="str">
        <v/>
      </c>
      <c r="T156">
        <v>0</v>
      </c>
      <c r="U156">
        <v>0</v>
      </c>
      <c r="V156">
        <v>0</v>
      </c>
      <c r="W156">
        <v>3</v>
      </c>
      <c r="X156" s="5">
        <f t="shared" si="7"/>
        <v>90.9375</v>
      </c>
      <c r="Y156" s="6">
        <f t="shared" si="8"/>
        <v>7500000</v>
      </c>
    </row>
    <row r="157" spans="2:25" x14ac:dyDescent="0.25">
      <c r="B157" t="str">
        <f>Siam_Chart[[#This Row],[Name]]</f>
        <v>CHOW</v>
      </c>
      <c r="C157">
        <f>Siam_Chart[[#This Row],[No.]]</f>
        <v>156</v>
      </c>
      <c r="D157">
        <f>Siam_Chart[[#This Row],[Last]]</f>
        <v>1.32</v>
      </c>
      <c r="E157">
        <f>Siam_Chart[[#This Row],[Chg%]]</f>
        <v>0.76</v>
      </c>
      <c r="F157">
        <f>Siam_Chart[[#This Row],[Volume]]</f>
        <v>5300</v>
      </c>
      <c r="G157">
        <f>Siam_Chart[[#This Row],[Value (k)]]</f>
        <v>7026</v>
      </c>
      <c r="H157" cm="1">
        <f t="array" ref="H157:W157">Siam_Chart[[#This Row],[MCap (M)]:[CG]]</f>
        <v>1056000000</v>
      </c>
      <c r="I157">
        <v>18.37</v>
      </c>
      <c r="J157">
        <v>0.49</v>
      </c>
      <c r="K157">
        <v>0.21463699999999999</v>
      </c>
      <c r="L157">
        <v>-0.01</v>
      </c>
      <c r="M157">
        <v>-0.01</v>
      </c>
      <c r="N157">
        <v>2.290972</v>
      </c>
      <c r="O157">
        <v>2.7074760000000002</v>
      </c>
      <c r="P157">
        <v>-1.836338</v>
      </c>
      <c r="Q157">
        <v>0.51</v>
      </c>
      <c r="R157" t="str">
        <v/>
      </c>
      <c r="S157" t="str">
        <v/>
      </c>
      <c r="T157">
        <v>1129</v>
      </c>
      <c r="U157">
        <v>1135</v>
      </c>
      <c r="V157">
        <v>-0.06</v>
      </c>
      <c r="W157">
        <v>5</v>
      </c>
      <c r="X157" s="5">
        <f t="shared" si="7"/>
        <v>2.6938775510204085</v>
      </c>
      <c r="Y157" s="6">
        <f t="shared" si="8"/>
        <v>800000000</v>
      </c>
    </row>
    <row r="158" spans="2:25" x14ac:dyDescent="0.25">
      <c r="B158" t="str">
        <f>Siam_Chart[[#This Row],[Name]]</f>
        <v>CI</v>
      </c>
      <c r="C158">
        <f>Siam_Chart[[#This Row],[No.]]</f>
        <v>157</v>
      </c>
      <c r="D158">
        <f>Siam_Chart[[#This Row],[Last]]</f>
        <v>0.34</v>
      </c>
      <c r="E158">
        <f>Siam_Chart[[#This Row],[Chg%]]</f>
        <v>-2.86</v>
      </c>
      <c r="F158">
        <f>Siam_Chart[[#This Row],[Volume]]</f>
        <v>224410</v>
      </c>
      <c r="G158">
        <f>Siam_Chart[[#This Row],[Value (k)]]</f>
        <v>78894.5</v>
      </c>
      <c r="H158" cm="1">
        <f t="array" ref="H158:W158">Siam_Chart[[#This Row],[MCap (M)]:[CG]]</f>
        <v>362731292.95999998</v>
      </c>
      <c r="I158">
        <v>362731292.95999998</v>
      </c>
      <c r="J158">
        <v>0.39</v>
      </c>
      <c r="K158">
        <v>4.6103100000000001</v>
      </c>
      <c r="L158">
        <v>-0.14000000000000001</v>
      </c>
      <c r="M158">
        <v>-0.14000000000000001</v>
      </c>
      <c r="N158">
        <v>0.13817499999999999</v>
      </c>
      <c r="O158">
        <v>-28.296386999999999</v>
      </c>
      <c r="P158">
        <v>-22.301634</v>
      </c>
      <c r="Q158">
        <v>0.39</v>
      </c>
      <c r="R158" t="str">
        <v/>
      </c>
      <c r="S158" t="str">
        <v/>
      </c>
      <c r="T158">
        <v>0</v>
      </c>
      <c r="U158">
        <v>0</v>
      </c>
      <c r="V158">
        <v>0</v>
      </c>
      <c r="W158">
        <v>3</v>
      </c>
      <c r="X158" s="5">
        <f t="shared" si="7"/>
        <v>0.87179487179487181</v>
      </c>
      <c r="Y158" s="6">
        <f t="shared" si="8"/>
        <v>1066856743.9999999</v>
      </c>
    </row>
    <row r="159" spans="2:25" x14ac:dyDescent="0.25">
      <c r="B159" t="str">
        <f>Siam_Chart[[#This Row],[Name]]</f>
        <v>CIG</v>
      </c>
      <c r="C159">
        <f>Siam_Chart[[#This Row],[No.]]</f>
        <v>158</v>
      </c>
      <c r="D159">
        <f>Siam_Chart[[#This Row],[Last]]</f>
        <v>0.03</v>
      </c>
      <c r="E159">
        <f>Siam_Chart[[#This Row],[Chg%]]</f>
        <v>0</v>
      </c>
      <c r="F159">
        <f>Siam_Chart[[#This Row],[Volume]]</f>
        <v>2426400</v>
      </c>
      <c r="G159">
        <f>Siam_Chart[[#This Row],[Value (k)]]</f>
        <v>49291</v>
      </c>
      <c r="H159" cm="1">
        <f t="array" ref="H159:W159">Siam_Chart[[#This Row],[MCap (M)]:[CG]]</f>
        <v>112097330.97</v>
      </c>
      <c r="I159">
        <v>112097330.97</v>
      </c>
      <c r="J159">
        <v>0.4</v>
      </c>
      <c r="K159">
        <v>2.1752379999999998</v>
      </c>
      <c r="L159">
        <v>0</v>
      </c>
      <c r="M159">
        <v>-6.763113792337565</v>
      </c>
      <c r="N159">
        <v>-6.7631139999999998</v>
      </c>
      <c r="O159">
        <v>-29.428729000000001</v>
      </c>
      <c r="P159">
        <v>-2.9957020000000001</v>
      </c>
      <c r="Q159">
        <v>0.4</v>
      </c>
      <c r="R159" t="str">
        <v/>
      </c>
      <c r="S159" t="str">
        <v/>
      </c>
      <c r="T159">
        <v>0</v>
      </c>
      <c r="U159">
        <v>0</v>
      </c>
      <c r="V159">
        <v>0</v>
      </c>
      <c r="W159">
        <v>4</v>
      </c>
      <c r="X159" s="5">
        <f t="shared" si="7"/>
        <v>7.4999999999999997E-2</v>
      </c>
      <c r="Y159" s="6">
        <f t="shared" si="8"/>
        <v>3736577699</v>
      </c>
    </row>
    <row r="160" spans="2:25" x14ac:dyDescent="0.25">
      <c r="B160" t="str">
        <f>Siam_Chart[[#This Row],[Name]]</f>
        <v>CIMBT</v>
      </c>
      <c r="C160">
        <f>Siam_Chart[[#This Row],[No.]]</f>
        <v>159</v>
      </c>
      <c r="D160">
        <f>Siam_Chart[[#This Row],[Last]]</f>
        <v>2026</v>
      </c>
      <c r="E160">
        <f>Siam_Chart[[#This Row],[Chg%]]</f>
        <v>0</v>
      </c>
      <c r="F160">
        <f>Siam_Chart[[#This Row],[Volume]]</f>
        <v>0</v>
      </c>
      <c r="G160">
        <f>Siam_Chart[[#This Row],[Value (k)]]</f>
        <v>0</v>
      </c>
      <c r="H160" cm="1">
        <f t="array" ref="H160:W160">Siam_Chart[[#This Row],[MCap (M)]:[CG]]</f>
        <v>13232</v>
      </c>
      <c r="I160">
        <v>0</v>
      </c>
      <c r="J160">
        <v>9.574167684402628</v>
      </c>
      <c r="K160">
        <v>9.8496769999999998</v>
      </c>
      <c r="L160">
        <v>5.8999999999999997E-2</v>
      </c>
      <c r="M160">
        <v>0.04</v>
      </c>
      <c r="N160">
        <v>1.8368370000000001</v>
      </c>
      <c r="O160">
        <v>5.3781239999999997</v>
      </c>
      <c r="P160">
        <v>22.200295000000001</v>
      </c>
      <c r="Q160">
        <v>0</v>
      </c>
      <c r="R160" t="str">
        <v/>
      </c>
      <c r="S160" t="str">
        <v/>
      </c>
      <c r="T160">
        <v>619</v>
      </c>
      <c r="U160">
        <v>778</v>
      </c>
      <c r="V160">
        <v>0.74</v>
      </c>
      <c r="W160">
        <v>5</v>
      </c>
      <c r="X160" s="5">
        <f t="shared" si="7"/>
        <v>211.61108378126454</v>
      </c>
      <c r="Y160" s="6">
        <f t="shared" si="8"/>
        <v>6.5310957551826263</v>
      </c>
    </row>
    <row r="161" spans="2:25" x14ac:dyDescent="0.25">
      <c r="B161" t="str">
        <f>Siam_Chart[[#This Row],[Name]]</f>
        <v>CITY</v>
      </c>
      <c r="C161">
        <f>Siam_Chart[[#This Row],[No.]]</f>
        <v>160</v>
      </c>
      <c r="D161">
        <f>Siam_Chart[[#This Row],[Last]]</f>
        <v>1.36</v>
      </c>
      <c r="E161">
        <f>Siam_Chart[[#This Row],[Chg%]]</f>
        <v>3.03</v>
      </c>
      <c r="F161">
        <f>Siam_Chart[[#This Row],[Volume]]</f>
        <v>3610</v>
      </c>
      <c r="G161">
        <f>Siam_Chart[[#This Row],[Value (k)]]</f>
        <v>4775.8</v>
      </c>
      <c r="H161" cm="1">
        <f t="array" ref="H161:W161">Siam_Chart[[#This Row],[MCap (M)]:[CG]]</f>
        <v>408000000</v>
      </c>
      <c r="I161">
        <v>393000000</v>
      </c>
      <c r="J161">
        <v>0.33</v>
      </c>
      <c r="K161">
        <v>1.5358999999999999E-2</v>
      </c>
      <c r="L161">
        <v>-0.03</v>
      </c>
      <c r="M161">
        <v>-0.03</v>
      </c>
      <c r="N161">
        <v>-1.5592090000000001</v>
      </c>
      <c r="O161">
        <v>-1.677149</v>
      </c>
      <c r="P161">
        <v>-14.448646</v>
      </c>
      <c r="Q161">
        <v>0.32</v>
      </c>
      <c r="R161" t="str">
        <v/>
      </c>
      <c r="S161" t="str">
        <v/>
      </c>
      <c r="T161">
        <v>0</v>
      </c>
      <c r="U161">
        <v>0</v>
      </c>
      <c r="V161">
        <v>0</v>
      </c>
      <c r="W161">
        <v>3</v>
      </c>
      <c r="X161" s="5">
        <f t="shared" si="7"/>
        <v>4.1212121212121211</v>
      </c>
      <c r="Y161" s="6">
        <f t="shared" si="8"/>
        <v>300000000</v>
      </c>
    </row>
    <row r="162" spans="2:25" x14ac:dyDescent="0.25">
      <c r="B162" t="str">
        <f>Siam_Chart[[#This Row],[Name]]</f>
        <v>CIVIL</v>
      </c>
      <c r="C162">
        <f>Siam_Chart[[#This Row],[No.]]</f>
        <v>161</v>
      </c>
      <c r="D162">
        <f>Siam_Chart[[#This Row],[Last]]</f>
        <v>1.02</v>
      </c>
      <c r="E162">
        <f>Siam_Chart[[#This Row],[Chg%]]</f>
        <v>0.99</v>
      </c>
      <c r="F162">
        <f>Siam_Chart[[#This Row],[Volume]]</f>
        <v>154400</v>
      </c>
      <c r="G162">
        <f>Siam_Chart[[#This Row],[Value (k)]]</f>
        <v>156639</v>
      </c>
      <c r="H162" cm="1">
        <f t="array" ref="H162:W162">Siam_Chart[[#This Row],[MCap (M)]:[CG]]</f>
        <v>714000000</v>
      </c>
      <c r="I162">
        <v>658000000</v>
      </c>
      <c r="J162">
        <v>0.39</v>
      </c>
      <c r="K162">
        <v>3.9361410000000001</v>
      </c>
      <c r="L162">
        <v>0.02</v>
      </c>
      <c r="M162">
        <v>-7.0000000000000007E-2</v>
      </c>
      <c r="N162">
        <v>-1.1644589999999999</v>
      </c>
      <c r="O162">
        <v>-5.4841049999999996</v>
      </c>
      <c r="P162">
        <v>-2.092781</v>
      </c>
      <c r="Q162">
        <v>0.36</v>
      </c>
      <c r="R162" t="str">
        <v/>
      </c>
      <c r="S162" t="str">
        <v/>
      </c>
      <c r="T162">
        <v>0</v>
      </c>
      <c r="U162">
        <v>0</v>
      </c>
      <c r="V162">
        <v>0</v>
      </c>
      <c r="W162">
        <v>5</v>
      </c>
      <c r="X162" s="5">
        <f t="shared" si="7"/>
        <v>2.6153846153846154</v>
      </c>
      <c r="Y162" s="6">
        <f t="shared" si="8"/>
        <v>700000000</v>
      </c>
    </row>
    <row r="163" spans="2:25" x14ac:dyDescent="0.25">
      <c r="B163" t="str">
        <f>Siam_Chart[[#This Row],[Name]]</f>
        <v>CK</v>
      </c>
      <c r="C163">
        <f>Siam_Chart[[#This Row],[No.]]</f>
        <v>162</v>
      </c>
      <c r="D163">
        <f>Siam_Chart[[#This Row],[Last]]</f>
        <v>19.100000000000001</v>
      </c>
      <c r="E163">
        <f>Siam_Chart[[#This Row],[Chg%]]</f>
        <v>-1.55</v>
      </c>
      <c r="F163">
        <f>Siam_Chart[[#This Row],[Volume]]</f>
        <v>4917235</v>
      </c>
      <c r="G163">
        <f>Siam_Chart[[#This Row],[Value (k)]]</f>
        <v>94595534.099999994</v>
      </c>
      <c r="H163" cm="1">
        <f t="array" ref="H163:W163">Siam_Chart[[#This Row],[MCap (M)]:[CG]]</f>
        <v>32353430255.200001</v>
      </c>
      <c r="I163">
        <v>9.69</v>
      </c>
      <c r="J163">
        <v>1.08</v>
      </c>
      <c r="K163">
        <v>2.7231350000000001</v>
      </c>
      <c r="L163">
        <v>0.2</v>
      </c>
      <c r="M163">
        <v>0.67</v>
      </c>
      <c r="N163">
        <v>4.5788549999999999</v>
      </c>
      <c r="O163">
        <v>11.818042</v>
      </c>
      <c r="P163">
        <v>4.7089160000000003</v>
      </c>
      <c r="Q163">
        <v>2.36</v>
      </c>
      <c r="R163" t="str">
        <v/>
      </c>
      <c r="S163" t="str">
        <v/>
      </c>
      <c r="T163">
        <v>394</v>
      </c>
      <c r="U163">
        <v>645</v>
      </c>
      <c r="V163">
        <v>0.2</v>
      </c>
      <c r="W163">
        <v>5</v>
      </c>
      <c r="X163" s="5">
        <f t="shared" si="7"/>
        <v>17.685185185185187</v>
      </c>
      <c r="Y163" s="6">
        <f t="shared" si="8"/>
        <v>1693896872</v>
      </c>
    </row>
    <row r="164" spans="2:25" x14ac:dyDescent="0.25">
      <c r="B164" t="str">
        <f>Siam_Chart[[#This Row],[Name]]</f>
        <v>CKP</v>
      </c>
      <c r="C164">
        <f>Siam_Chart[[#This Row],[No.]]</f>
        <v>163</v>
      </c>
      <c r="D164">
        <f>Siam_Chart[[#This Row],[Last]]</f>
        <v>2.58</v>
      </c>
      <c r="E164">
        <f>Siam_Chart[[#This Row],[Chg%]]</f>
        <v>-0.77</v>
      </c>
      <c r="F164">
        <f>Siam_Chart[[#This Row],[Volume]]</f>
        <v>5748739</v>
      </c>
      <c r="G164">
        <f>Siam_Chart[[#This Row],[Value (k)]]</f>
        <v>14731733.84</v>
      </c>
      <c r="H164" cm="1">
        <f t="array" ref="H164:W164">Siam_Chart[[#This Row],[MCap (M)]:[CG]]</f>
        <v>20973807440.82</v>
      </c>
      <c r="I164">
        <v>8.81</v>
      </c>
      <c r="J164">
        <v>0.7</v>
      </c>
      <c r="K164">
        <v>0.81972</v>
      </c>
      <c r="L164">
        <v>8.7999999999999995E-2</v>
      </c>
      <c r="M164">
        <v>0.03</v>
      </c>
      <c r="N164">
        <v>5.8901510000000004</v>
      </c>
      <c r="O164">
        <v>8.1670610000000003</v>
      </c>
      <c r="P164">
        <v>10.095497</v>
      </c>
      <c r="Q164">
        <v>3.41</v>
      </c>
      <c r="R164" t="str">
        <v/>
      </c>
      <c r="S164" t="str">
        <v/>
      </c>
      <c r="T164">
        <v>516</v>
      </c>
      <c r="U164">
        <v>540</v>
      </c>
      <c r="V164">
        <v>0.48</v>
      </c>
      <c r="W164">
        <v>5</v>
      </c>
      <c r="X164" s="5">
        <f t="shared" si="7"/>
        <v>3.6857142857142859</v>
      </c>
      <c r="Y164" s="6">
        <f t="shared" si="8"/>
        <v>8129382729</v>
      </c>
    </row>
    <row r="165" spans="2:25" x14ac:dyDescent="0.25">
      <c r="B165" t="str">
        <f>Siam_Chart[[#This Row],[Name]]</f>
        <v>CM</v>
      </c>
      <c r="C165">
        <f>Siam_Chart[[#This Row],[No.]]</f>
        <v>164</v>
      </c>
      <c r="D165">
        <f>Siam_Chart[[#This Row],[Last]]</f>
        <v>1.54</v>
      </c>
      <c r="E165">
        <f>Siam_Chart[[#This Row],[Chg%]]</f>
        <v>-1.28</v>
      </c>
      <c r="F165">
        <f>Siam_Chart[[#This Row],[Volume]]</f>
        <v>106900</v>
      </c>
      <c r="G165">
        <f>Siam_Chart[[#This Row],[Value (k)]]</f>
        <v>166781</v>
      </c>
      <c r="H165" cm="1">
        <f t="array" ref="H165:W165">Siam_Chart[[#This Row],[MCap (M)]:[CG]]</f>
        <v>586964416.5</v>
      </c>
      <c r="I165">
        <v>571718587.5</v>
      </c>
      <c r="J165">
        <v>0.46</v>
      </c>
      <c r="K165">
        <v>0.140705</v>
      </c>
      <c r="L165">
        <v>3.1E-2</v>
      </c>
      <c r="M165">
        <v>-0.13</v>
      </c>
      <c r="N165">
        <v>-3.0845799999999999</v>
      </c>
      <c r="O165">
        <v>-3.7650749999999999</v>
      </c>
      <c r="P165">
        <v>-8.6874490000000009</v>
      </c>
      <c r="Q165">
        <v>2.0099999999999998</v>
      </c>
      <c r="R165" t="str">
        <v/>
      </c>
      <c r="S165" t="str">
        <v/>
      </c>
      <c r="T165">
        <v>0</v>
      </c>
      <c r="U165">
        <v>0</v>
      </c>
      <c r="V165">
        <v>0</v>
      </c>
      <c r="W165">
        <v>4</v>
      </c>
      <c r="X165" s="5">
        <f t="shared" si="7"/>
        <v>3.3478260869565215</v>
      </c>
      <c r="Y165" s="6">
        <f t="shared" si="8"/>
        <v>381145725</v>
      </c>
    </row>
    <row r="166" spans="2:25" x14ac:dyDescent="0.25">
      <c r="B166" t="str">
        <f>Siam_Chart[[#This Row],[Name]]</f>
        <v>CMAN</v>
      </c>
      <c r="C166">
        <f>Siam_Chart[[#This Row],[No.]]</f>
        <v>165</v>
      </c>
      <c r="D166">
        <f>Siam_Chart[[#This Row],[Last]]</f>
        <v>2.8</v>
      </c>
      <c r="E166">
        <f>Siam_Chart[[#This Row],[Chg%]]</f>
        <v>-0.71</v>
      </c>
      <c r="F166">
        <f>Siam_Chart[[#This Row],[Volume]]</f>
        <v>368701</v>
      </c>
      <c r="G166">
        <f>Siam_Chart[[#This Row],[Value (k)]]</f>
        <v>1041512.82</v>
      </c>
      <c r="H166" cm="1">
        <f t="array" ref="H166:W166">Siam_Chart[[#This Row],[MCap (M)]:[CG]]</f>
        <v>2688000000</v>
      </c>
      <c r="I166">
        <v>7.08</v>
      </c>
      <c r="J166">
        <v>0.94</v>
      </c>
      <c r="K166">
        <v>1.161392</v>
      </c>
      <c r="L166">
        <v>0.15</v>
      </c>
      <c r="M166">
        <v>0.27</v>
      </c>
      <c r="N166">
        <v>8.924277</v>
      </c>
      <c r="O166">
        <v>13.866842</v>
      </c>
      <c r="P166">
        <v>13.313535999999999</v>
      </c>
      <c r="Q166">
        <v>5.36</v>
      </c>
      <c r="R166" t="str">
        <v/>
      </c>
      <c r="S166" t="str">
        <v/>
      </c>
      <c r="T166">
        <v>293</v>
      </c>
      <c r="U166">
        <v>326</v>
      </c>
      <c r="V166">
        <v>0.17</v>
      </c>
      <c r="W166">
        <v>4</v>
      </c>
      <c r="X166" s="5">
        <f t="shared" si="7"/>
        <v>2.978723404255319</v>
      </c>
      <c r="Y166" s="6">
        <f t="shared" si="8"/>
        <v>960000000.00000012</v>
      </c>
    </row>
    <row r="167" spans="2:25" x14ac:dyDescent="0.25">
      <c r="B167" t="str">
        <f>Siam_Chart[[#This Row],[Name]]</f>
        <v>CMC</v>
      </c>
      <c r="C167">
        <f>Siam_Chart[[#This Row],[No.]]</f>
        <v>166</v>
      </c>
      <c r="D167">
        <f>Siam_Chart[[#This Row],[Last]]</f>
        <v>0.43</v>
      </c>
      <c r="E167">
        <f>Siam_Chart[[#This Row],[Chg%]]</f>
        <v>2.38</v>
      </c>
      <c r="F167">
        <f>Siam_Chart[[#This Row],[Volume]]</f>
        <v>99020</v>
      </c>
      <c r="G167">
        <f>Siam_Chart[[#This Row],[Value (k)]]</f>
        <v>42097.66</v>
      </c>
      <c r="H167" cm="1">
        <f t="array" ref="H167:W167">Siam_Chart[[#This Row],[MCap (M)]:[CG]]</f>
        <v>473951662.67000002</v>
      </c>
      <c r="I167">
        <v>4.4800000000000004</v>
      </c>
      <c r="J167">
        <v>0.23</v>
      </c>
      <c r="K167">
        <v>2.2081810000000002</v>
      </c>
      <c r="L167">
        <v>3.7200000000000002E-3</v>
      </c>
      <c r="M167">
        <v>-0.11</v>
      </c>
      <c r="N167">
        <v>9.4321900000000003</v>
      </c>
      <c r="O167">
        <v>5.3044700000000002</v>
      </c>
      <c r="P167">
        <v>-16.844386</v>
      </c>
      <c r="Q167">
        <v>0.22</v>
      </c>
      <c r="R167" t="str">
        <v/>
      </c>
      <c r="S167" t="str">
        <v/>
      </c>
      <c r="T167">
        <v>673</v>
      </c>
      <c r="U167">
        <v>311</v>
      </c>
      <c r="V167">
        <v>-0.12</v>
      </c>
      <c r="W167">
        <v>5</v>
      </c>
      <c r="X167" s="5">
        <f t="shared" si="7"/>
        <v>1.8695652173913042</v>
      </c>
      <c r="Y167" s="6">
        <f t="shared" si="8"/>
        <v>1102213169</v>
      </c>
    </row>
    <row r="168" spans="2:25" x14ac:dyDescent="0.25">
      <c r="B168" t="str">
        <f>Siam_Chart[[#This Row],[Name]]</f>
        <v>CMO</v>
      </c>
      <c r="C168">
        <f>Siam_Chart[[#This Row],[No.]]</f>
        <v>167</v>
      </c>
      <c r="D168">
        <f>Siam_Chart[[#This Row],[Last]]</f>
        <v>0.69</v>
      </c>
      <c r="E168">
        <f>Siam_Chart[[#This Row],[Chg%]]</f>
        <v>1.47</v>
      </c>
      <c r="F168">
        <f>Siam_Chart[[#This Row],[Volume]]</f>
        <v>775810</v>
      </c>
      <c r="G168">
        <f>Siam_Chart[[#This Row],[Value (k)]]</f>
        <v>543480.9</v>
      </c>
      <c r="H168" cm="1">
        <f t="array" ref="H168:W168">Siam_Chart[[#This Row],[MCap (M)]:[CG]]</f>
        <v>294060649.25999999</v>
      </c>
      <c r="I168">
        <v>318.58999999999997</v>
      </c>
      <c r="J168">
        <v>0.96</v>
      </c>
      <c r="K168">
        <v>1.679149</v>
      </c>
      <c r="L168">
        <v>-0.01</v>
      </c>
      <c r="M168">
        <v>-0.01</v>
      </c>
      <c r="N168">
        <v>4.7081770000000001</v>
      </c>
      <c r="O168">
        <v>0.30124099999999998</v>
      </c>
      <c r="P168">
        <v>0.109099</v>
      </c>
      <c r="Q168">
        <v>0.92</v>
      </c>
      <c r="R168" t="str">
        <v/>
      </c>
      <c r="S168" t="str">
        <v/>
      </c>
      <c r="T168">
        <v>1156</v>
      </c>
      <c r="U168">
        <v>1054</v>
      </c>
      <c r="V168">
        <v>0.53</v>
      </c>
      <c r="W168">
        <v>4</v>
      </c>
      <c r="X168" s="5">
        <f t="shared" si="7"/>
        <v>0.71875</v>
      </c>
      <c r="Y168" s="6">
        <f t="shared" si="8"/>
        <v>426174854</v>
      </c>
    </row>
    <row r="169" spans="2:25" x14ac:dyDescent="0.25">
      <c r="B169" t="str">
        <f>Siam_Chart[[#This Row],[Name]]</f>
        <v>CMR</v>
      </c>
      <c r="C169">
        <f>Siam_Chart[[#This Row],[No.]]</f>
        <v>168</v>
      </c>
      <c r="D169">
        <f>Siam_Chart[[#This Row],[Last]]</f>
        <v>1.29</v>
      </c>
      <c r="E169">
        <f>Siam_Chart[[#This Row],[Chg%]]</f>
        <v>-0.77</v>
      </c>
      <c r="F169">
        <f>Siam_Chart[[#This Row],[Volume]]</f>
        <v>1185900</v>
      </c>
      <c r="G169">
        <f>Siam_Chart[[#This Row],[Value (k)]]</f>
        <v>1562395</v>
      </c>
      <c r="H169" cm="1">
        <f t="array" ref="H169:W169">Siam_Chart[[#This Row],[MCap (M)]:[CG]]</f>
        <v>5251751250</v>
      </c>
      <c r="I169">
        <v>2.1800000000000002</v>
      </c>
      <c r="J169">
        <v>1.1599999999999999</v>
      </c>
      <c r="K169">
        <v>0.67941300000000004</v>
      </c>
      <c r="L169">
        <v>0.1043</v>
      </c>
      <c r="M169">
        <v>0.01</v>
      </c>
      <c r="N169">
        <v>27.999704999999999</v>
      </c>
      <c r="O169">
        <v>60.653295999999997</v>
      </c>
      <c r="P169">
        <v>2.9014700000000002</v>
      </c>
      <c r="Q169">
        <v>16.920000000000002</v>
      </c>
      <c r="R169" t="str">
        <v/>
      </c>
      <c r="S169" t="str">
        <v/>
      </c>
      <c r="T169">
        <v>16</v>
      </c>
      <c r="U169">
        <v>13</v>
      </c>
      <c r="V169">
        <v>0</v>
      </c>
      <c r="W169">
        <v>0</v>
      </c>
      <c r="X169" s="5">
        <f t="shared" si="7"/>
        <v>1.1120689655172415</v>
      </c>
      <c r="Y169" s="6">
        <f t="shared" si="8"/>
        <v>4071125000</v>
      </c>
    </row>
    <row r="170" spans="2:25" x14ac:dyDescent="0.25">
      <c r="B170" t="str">
        <f>Siam_Chart[[#This Row],[Name]]</f>
        <v>CNT</v>
      </c>
      <c r="C170">
        <f>Siam_Chart[[#This Row],[No.]]</f>
        <v>169</v>
      </c>
      <c r="D170">
        <f>Siam_Chart[[#This Row],[Last]]</f>
        <v>3.36</v>
      </c>
      <c r="E170">
        <f>Siam_Chart[[#This Row],[Chg%]]</f>
        <v>0.6</v>
      </c>
      <c r="F170">
        <f>Siam_Chart[[#This Row],[Volume]]</f>
        <v>6891107</v>
      </c>
      <c r="G170">
        <f>Siam_Chart[[#This Row],[Value (k)]]</f>
        <v>23090533.460000001</v>
      </c>
      <c r="H170" cm="1">
        <f t="array" ref="H170:W170">Siam_Chart[[#This Row],[MCap (M)]:[CG]]</f>
        <v>3453757923.8400002</v>
      </c>
      <c r="I170">
        <v>15.74</v>
      </c>
      <c r="J170">
        <v>1.82</v>
      </c>
      <c r="K170">
        <v>3.5923250000000002</v>
      </c>
      <c r="L170">
        <v>0.05</v>
      </c>
      <c r="M170">
        <v>0.18</v>
      </c>
      <c r="N170">
        <v>3.1826140000000001</v>
      </c>
      <c r="O170">
        <v>12.200419999999999</v>
      </c>
      <c r="P170">
        <v>2.847451</v>
      </c>
      <c r="Q170">
        <v>1.49</v>
      </c>
      <c r="R170" t="str">
        <v/>
      </c>
      <c r="S170" t="str">
        <v/>
      </c>
      <c r="T170">
        <v>1156</v>
      </c>
      <c r="U170">
        <v>1229</v>
      </c>
      <c r="V170">
        <v>1.34</v>
      </c>
      <c r="W170">
        <v>5</v>
      </c>
      <c r="X170" s="5">
        <f t="shared" si="7"/>
        <v>1.846153846153846</v>
      </c>
      <c r="Y170" s="6">
        <f t="shared" si="8"/>
        <v>1027904144.0000001</v>
      </c>
    </row>
    <row r="171" spans="2:25" x14ac:dyDescent="0.25">
      <c r="B171" t="str">
        <f>Siam_Chart[[#This Row],[Name]]</f>
        <v>COCOCO</v>
      </c>
      <c r="C171">
        <f>Siam_Chart[[#This Row],[No.]]</f>
        <v>170</v>
      </c>
      <c r="D171">
        <f>Siam_Chart[[#This Row],[Last]]</f>
        <v>5.9</v>
      </c>
      <c r="E171">
        <f>Siam_Chart[[#This Row],[Chg%]]</f>
        <v>-0.84</v>
      </c>
      <c r="F171">
        <f>Siam_Chart[[#This Row],[Volume]]</f>
        <v>560701</v>
      </c>
      <c r="G171">
        <f>Siam_Chart[[#This Row],[Value (k)]]</f>
        <v>3313520.9</v>
      </c>
      <c r="H171" cm="1">
        <f t="array" ref="H171:W171">Siam_Chart[[#This Row],[MCap (M)]:[CG]]</f>
        <v>8673000000</v>
      </c>
      <c r="I171">
        <v>28.28</v>
      </c>
      <c r="J171">
        <v>2.48</v>
      </c>
      <c r="K171">
        <v>1.6132899999999999</v>
      </c>
      <c r="L171">
        <v>0.12</v>
      </c>
      <c r="M171">
        <v>0.14000000000000001</v>
      </c>
      <c r="N171">
        <v>5.3056390000000002</v>
      </c>
      <c r="O171">
        <v>8.9292239999999996</v>
      </c>
      <c r="P171">
        <v>6.3610439999999997</v>
      </c>
      <c r="Q171">
        <v>2.0299999999999998</v>
      </c>
      <c r="R171" t="str">
        <v/>
      </c>
      <c r="S171" t="str">
        <v/>
      </c>
      <c r="T171">
        <v>934</v>
      </c>
      <c r="U171">
        <v>1022</v>
      </c>
      <c r="V171">
        <v>16.14</v>
      </c>
      <c r="W171">
        <v>4</v>
      </c>
      <c r="X171" s="5">
        <f t="shared" si="7"/>
        <v>2.3790322580645165</v>
      </c>
      <c r="Y171" s="6">
        <f t="shared" si="8"/>
        <v>1470000000</v>
      </c>
    </row>
    <row r="172" spans="2:25" x14ac:dyDescent="0.25">
      <c r="B172" t="str">
        <f>Siam_Chart[[#This Row],[Name]]</f>
        <v>COLOR</v>
      </c>
      <c r="C172">
        <f>Siam_Chart[[#This Row],[No.]]</f>
        <v>171</v>
      </c>
      <c r="D172">
        <f>Siam_Chart[[#This Row],[Last]]</f>
        <v>2026</v>
      </c>
      <c r="E172">
        <f>Siam_Chart[[#This Row],[Chg%]]</f>
        <v>0.99</v>
      </c>
      <c r="F172">
        <f>Siam_Chart[[#This Row],[Volume]]</f>
        <v>0</v>
      </c>
      <c r="G172">
        <f>Siam_Chart[[#This Row],[Value (k)]]</f>
        <v>644701</v>
      </c>
      <c r="H172" cm="1">
        <f t="array" ref="H172:W172">Siam_Chart[[#This Row],[MCap (M)]:[CG]]</f>
        <v>638413.99</v>
      </c>
      <c r="I172">
        <v>583075431.17999995</v>
      </c>
      <c r="J172">
        <v>0.84742371429721752</v>
      </c>
      <c r="K172">
        <v>0.84742371429721752</v>
      </c>
      <c r="L172">
        <v>0.03</v>
      </c>
      <c r="M172">
        <v>2.5940277948037469</v>
      </c>
      <c r="N172">
        <v>3.0351479584332766</v>
      </c>
      <c r="O172">
        <v>2.7863734557831075</v>
      </c>
      <c r="P172">
        <v>23.25</v>
      </c>
      <c r="Q172">
        <v>0.71</v>
      </c>
      <c r="R172" t="str">
        <v/>
      </c>
      <c r="S172" t="str">
        <v/>
      </c>
      <c r="T172">
        <v>1238</v>
      </c>
      <c r="U172">
        <v>1255</v>
      </c>
      <c r="V172">
        <v>-2.2200000000000002</v>
      </c>
      <c r="W172">
        <v>5</v>
      </c>
      <c r="X172" s="5">
        <f t="shared" si="7"/>
        <v>2390.7756719791532</v>
      </c>
      <c r="Y172" s="6">
        <f t="shared" si="8"/>
        <v>315.11055774925961</v>
      </c>
    </row>
    <row r="173" spans="2:25" x14ac:dyDescent="0.25">
      <c r="B173" t="str">
        <f>Siam_Chart[[#This Row],[Name]]</f>
        <v>COM7</v>
      </c>
      <c r="C173">
        <f>Siam_Chart[[#This Row],[No.]]</f>
        <v>172</v>
      </c>
      <c r="D173">
        <f>Siam_Chart[[#This Row],[Last]]</f>
        <v>29</v>
      </c>
      <c r="E173">
        <f>Siam_Chart[[#This Row],[Chg%]]</f>
        <v>0</v>
      </c>
      <c r="F173">
        <f>Siam_Chart[[#This Row],[Volume]]</f>
        <v>4950849</v>
      </c>
      <c r="G173">
        <f>Siam_Chart[[#This Row],[Value (k)]]</f>
        <v>143811583.25</v>
      </c>
      <c r="H173" cm="1">
        <f t="array" ref="H173:W173">Siam_Chart[[#This Row],[MCap (M)]:[CG]]</f>
        <v>69243264185</v>
      </c>
      <c r="I173">
        <v>14.83</v>
      </c>
      <c r="J173">
        <v>6.32</v>
      </c>
      <c r="K173">
        <v>2.4646170000000001</v>
      </c>
      <c r="L173">
        <v>1.1000000000000001</v>
      </c>
      <c r="M173">
        <v>1.07</v>
      </c>
      <c r="N173">
        <v>18.244489999999999</v>
      </c>
      <c r="O173">
        <v>47.158889000000002</v>
      </c>
      <c r="P173">
        <v>5.3649940000000003</v>
      </c>
      <c r="Q173">
        <v>3.79</v>
      </c>
      <c r="R173" t="str">
        <v/>
      </c>
      <c r="S173" t="str">
        <v/>
      </c>
      <c r="T173">
        <v>505</v>
      </c>
      <c r="U173">
        <v>519</v>
      </c>
      <c r="V173">
        <v>1.36</v>
      </c>
      <c r="W173">
        <v>5</v>
      </c>
      <c r="X173" s="5">
        <f t="shared" si="7"/>
        <v>4.5886075949367084</v>
      </c>
      <c r="Y173" s="6">
        <f t="shared" si="8"/>
        <v>2387698765</v>
      </c>
    </row>
    <row r="174" spans="2:25" x14ac:dyDescent="0.25">
      <c r="B174" t="str">
        <f>Siam_Chart[[#This Row],[Name]]</f>
        <v>COMAN</v>
      </c>
      <c r="C174">
        <f>Siam_Chart[[#This Row],[No.]]</f>
        <v>173</v>
      </c>
      <c r="D174">
        <f>Siam_Chart[[#This Row],[Last]]</f>
        <v>0.51</v>
      </c>
      <c r="E174">
        <f>Siam_Chart[[#This Row],[Chg%]]</f>
        <v>0</v>
      </c>
      <c r="F174">
        <f>Siam_Chart[[#This Row],[Volume]]</f>
        <v>2800</v>
      </c>
      <c r="G174">
        <f>Siam_Chart[[#This Row],[Value (k)]]</f>
        <v>1418</v>
      </c>
      <c r="H174" cm="1">
        <f t="array" ref="H174:W174">Siam_Chart[[#This Row],[MCap (M)]:[CG]]</f>
        <v>85377907.620000005</v>
      </c>
      <c r="I174">
        <v>83703831</v>
      </c>
      <c r="J174">
        <v>0.69</v>
      </c>
      <c r="K174">
        <v>0.14274400000000001</v>
      </c>
      <c r="L174">
        <v>8.77E-2</v>
      </c>
      <c r="M174">
        <v>-0.06</v>
      </c>
      <c r="N174">
        <v>-66.415747999999994</v>
      </c>
      <c r="O174">
        <v>-72.066751999999994</v>
      </c>
      <c r="P174">
        <v>-10.847472</v>
      </c>
      <c r="Q174">
        <v>0.67</v>
      </c>
      <c r="R174" t="str">
        <v/>
      </c>
      <c r="S174" t="str">
        <v/>
      </c>
      <c r="T174">
        <v>0</v>
      </c>
      <c r="U174">
        <v>0</v>
      </c>
      <c r="V174">
        <v>0</v>
      </c>
      <c r="W174">
        <v>4</v>
      </c>
      <c r="X174" s="5">
        <f t="shared" si="7"/>
        <v>0.73913043478260876</v>
      </c>
      <c r="Y174" s="6">
        <f t="shared" si="8"/>
        <v>167407662</v>
      </c>
    </row>
    <row r="175" spans="2:25" x14ac:dyDescent="0.25">
      <c r="B175" t="str">
        <f>Siam_Chart[[#This Row],[Name]]</f>
        <v>CPALL</v>
      </c>
      <c r="C175">
        <f>Siam_Chart[[#This Row],[No.]]</f>
        <v>174</v>
      </c>
      <c r="D175">
        <f>Siam_Chart[[#This Row],[Last]]</f>
        <v>46.25</v>
      </c>
      <c r="E175">
        <f>Siam_Chart[[#This Row],[Chg%]]</f>
        <v>-1.6</v>
      </c>
      <c r="F175">
        <f>Siam_Chart[[#This Row],[Volume]]</f>
        <v>19328040</v>
      </c>
      <c r="G175">
        <f>Siam_Chart[[#This Row],[Value (k)]]</f>
        <v>898940224</v>
      </c>
      <c r="H175" cm="1">
        <f t="array" ref="H175:W175">Siam_Chart[[#This Row],[MCap (M)]:[CG]]</f>
        <v>415468437345</v>
      </c>
      <c r="I175">
        <v>13.52</v>
      </c>
      <c r="J175">
        <v>2.92</v>
      </c>
      <c r="K175">
        <v>1.875658</v>
      </c>
      <c r="L175">
        <v>1.65</v>
      </c>
      <c r="M175">
        <v>1.84</v>
      </c>
      <c r="N175">
        <v>5.9251800000000001</v>
      </c>
      <c r="O175">
        <v>22.729908999999999</v>
      </c>
      <c r="P175">
        <v>3.4511810000000001</v>
      </c>
      <c r="Q175">
        <v>3.57</v>
      </c>
      <c r="R175" t="str">
        <v/>
      </c>
      <c r="S175" t="str">
        <v/>
      </c>
      <c r="T175">
        <v>516</v>
      </c>
      <c r="U175">
        <v>819</v>
      </c>
      <c r="V175">
        <v>0.65</v>
      </c>
      <c r="W175">
        <v>5</v>
      </c>
      <c r="X175" s="5">
        <f t="shared" si="7"/>
        <v>15.839041095890412</v>
      </c>
      <c r="Y175" s="6">
        <f t="shared" si="8"/>
        <v>8983101348</v>
      </c>
    </row>
    <row r="176" spans="2:25" x14ac:dyDescent="0.25">
      <c r="B176" t="str">
        <f>Siam_Chart[[#This Row],[Name]]</f>
        <v>CPANEL</v>
      </c>
      <c r="C176">
        <f>Siam_Chart[[#This Row],[No.]]</f>
        <v>175</v>
      </c>
      <c r="D176">
        <f>Siam_Chart[[#This Row],[Last]]</f>
        <v>1.1499999999999999</v>
      </c>
      <c r="E176">
        <f>Siam_Chart[[#This Row],[Chg%]]</f>
        <v>0</v>
      </c>
      <c r="F176">
        <f>Siam_Chart[[#This Row],[Volume]]</f>
        <v>1700</v>
      </c>
      <c r="G176">
        <f>Siam_Chart[[#This Row],[Value (k)]]</f>
        <v>1939</v>
      </c>
      <c r="H176" cm="1">
        <f t="array" ref="H176:W176">Siam_Chart[[#This Row],[MCap (M)]:[CG]]</f>
        <v>187655358.94999999</v>
      </c>
      <c r="I176">
        <v>194182501.87</v>
      </c>
      <c r="J176">
        <v>0.45</v>
      </c>
      <c r="K176">
        <v>1.6325590000000001</v>
      </c>
      <c r="L176">
        <v>0.16</v>
      </c>
      <c r="M176">
        <v>-0.2</v>
      </c>
      <c r="N176">
        <v>-3.4097870000000001</v>
      </c>
      <c r="O176">
        <v>-9.8798940000000002</v>
      </c>
      <c r="P176">
        <v>-68.063787000000005</v>
      </c>
      <c r="Q176">
        <v>0.46</v>
      </c>
      <c r="R176" t="str">
        <v/>
      </c>
      <c r="S176" t="str">
        <v/>
      </c>
      <c r="T176">
        <v>0</v>
      </c>
      <c r="U176">
        <v>0</v>
      </c>
      <c r="V176">
        <v>0</v>
      </c>
      <c r="W176">
        <v>0</v>
      </c>
      <c r="X176" s="5">
        <f t="shared" si="7"/>
        <v>2.5555555555555554</v>
      </c>
      <c r="Y176" s="6">
        <f t="shared" si="8"/>
        <v>163178573</v>
      </c>
    </row>
    <row r="177" spans="2:25" x14ac:dyDescent="0.25">
      <c r="B177" t="str">
        <f>Siam_Chart[[#This Row],[Name]]</f>
        <v>CPAXT</v>
      </c>
      <c r="C177">
        <f>Siam_Chart[[#This Row],[No.]]</f>
        <v>176</v>
      </c>
      <c r="D177">
        <f>Siam_Chart[[#This Row],[Last]]</f>
        <v>14.8</v>
      </c>
      <c r="E177">
        <f>Siam_Chart[[#This Row],[Chg%]]</f>
        <v>0</v>
      </c>
      <c r="F177">
        <f>Siam_Chart[[#This Row],[Volume]]</f>
        <v>3997586</v>
      </c>
      <c r="G177">
        <f>Siam_Chart[[#This Row],[Value (k)]]</f>
        <v>59170599.200000003</v>
      </c>
      <c r="H177" cm="1">
        <f t="array" ref="H177:W177">Siam_Chart[[#This Row],[MCap (M)]:[CG]]</f>
        <v>154329394640</v>
      </c>
      <c r="I177">
        <v>16.97</v>
      </c>
      <c r="J177">
        <v>0.52</v>
      </c>
      <c r="K177">
        <v>0.89965099999999998</v>
      </c>
      <c r="L177">
        <v>0.18</v>
      </c>
      <c r="M177">
        <v>0.45</v>
      </c>
      <c r="N177">
        <v>3.0184799999999998</v>
      </c>
      <c r="O177">
        <v>3.0487359999999999</v>
      </c>
      <c r="P177">
        <v>1.711125</v>
      </c>
      <c r="Q177">
        <v>4.8</v>
      </c>
      <c r="R177" t="str">
        <v/>
      </c>
      <c r="S177" t="str">
        <v/>
      </c>
      <c r="T177">
        <v>1086</v>
      </c>
      <c r="U177">
        <v>1065</v>
      </c>
      <c r="V177">
        <v>3.12</v>
      </c>
      <c r="W177">
        <v>5</v>
      </c>
      <c r="X177" s="5">
        <f t="shared" si="7"/>
        <v>28.461538461538463</v>
      </c>
      <c r="Y177" s="6">
        <f t="shared" si="8"/>
        <v>10427661800</v>
      </c>
    </row>
    <row r="178" spans="2:25" x14ac:dyDescent="0.25">
      <c r="B178" t="str">
        <f>Siam_Chart[[#This Row],[Name]]</f>
        <v>CPF</v>
      </c>
      <c r="C178">
        <f>Siam_Chart[[#This Row],[No.]]</f>
        <v>177</v>
      </c>
      <c r="D178">
        <f>Siam_Chart[[#This Row],[Last]]</f>
        <v>23.9</v>
      </c>
      <c r="E178">
        <f>Siam_Chart[[#This Row],[Chg%]]</f>
        <v>0.42</v>
      </c>
      <c r="F178">
        <f>Siam_Chart[[#This Row],[Volume]]</f>
        <v>29473017</v>
      </c>
      <c r="G178">
        <f>Siam_Chart[[#This Row],[Value (k)]]</f>
        <v>703057551</v>
      </c>
      <c r="H178" cm="1">
        <f t="array" ref="H178:W178">Siam_Chart[[#This Row],[MCap (M)]:[CG]]</f>
        <v>197009152761.5</v>
      </c>
      <c r="I178">
        <v>12.81</v>
      </c>
      <c r="J178">
        <v>0.78</v>
      </c>
      <c r="K178">
        <v>2.3312879999999998</v>
      </c>
      <c r="L178">
        <v>0.25</v>
      </c>
      <c r="M178">
        <v>1.1100000000000001</v>
      </c>
      <c r="N178">
        <v>5.1769189999999998</v>
      </c>
      <c r="O178">
        <v>6.164663</v>
      </c>
      <c r="P178">
        <v>3.4537300000000002</v>
      </c>
      <c r="Q178">
        <v>5.27</v>
      </c>
      <c r="R178" t="str">
        <v/>
      </c>
      <c r="S178" t="str">
        <v/>
      </c>
      <c r="T178">
        <v>496</v>
      </c>
      <c r="U178">
        <v>521</v>
      </c>
      <c r="V178">
        <v>-0.06</v>
      </c>
      <c r="W178">
        <v>5</v>
      </c>
      <c r="X178" s="5">
        <f t="shared" si="7"/>
        <v>30.641025641025639</v>
      </c>
      <c r="Y178" s="6">
        <f t="shared" si="8"/>
        <v>8243060785.000001</v>
      </c>
    </row>
    <row r="179" spans="2:25" x14ac:dyDescent="0.25">
      <c r="B179" t="str">
        <f>Siam_Chart[[#This Row],[Name]]</f>
        <v>CPH</v>
      </c>
      <c r="C179">
        <f>Siam_Chart[[#This Row],[No.]]</f>
        <v>178</v>
      </c>
      <c r="D179">
        <f>Siam_Chart[[#This Row],[Last]]</f>
        <v>12.1</v>
      </c>
      <c r="E179">
        <f>Siam_Chart[[#This Row],[Chg%]]</f>
        <v>-3.2</v>
      </c>
      <c r="F179">
        <f>Siam_Chart[[#This Row],[Volume]]</f>
        <v>357800</v>
      </c>
      <c r="G179">
        <f>Siam_Chart[[#This Row],[Value (k)]]</f>
        <v>4326840</v>
      </c>
      <c r="H179" cm="1">
        <f t="array" ref="H179:W179">Siam_Chart[[#This Row],[MCap (M)]:[CG]]</f>
        <v>484000000</v>
      </c>
      <c r="I179">
        <v>4.53</v>
      </c>
      <c r="J179">
        <v>0.41</v>
      </c>
      <c r="K179">
        <v>0.53571100000000005</v>
      </c>
      <c r="L179">
        <v>0.75</v>
      </c>
      <c r="M179">
        <v>1.79</v>
      </c>
      <c r="N179">
        <v>8.6185620000000007</v>
      </c>
      <c r="O179">
        <v>9.3418279999999996</v>
      </c>
      <c r="P179">
        <v>8.7079570000000004</v>
      </c>
      <c r="Q179">
        <v>6.2</v>
      </c>
      <c r="R179" t="str">
        <v/>
      </c>
      <c r="S179" t="str">
        <v/>
      </c>
      <c r="T179">
        <v>617</v>
      </c>
      <c r="U179">
        <v>534</v>
      </c>
      <c r="V179">
        <v>0.02</v>
      </c>
      <c r="W179">
        <v>0</v>
      </c>
      <c r="X179" s="5">
        <f t="shared" si="7"/>
        <v>29.512195121951219</v>
      </c>
      <c r="Y179" s="6">
        <f t="shared" si="8"/>
        <v>40000000</v>
      </c>
    </row>
    <row r="180" spans="2:25" x14ac:dyDescent="0.25">
      <c r="B180" t="str">
        <f>Siam_Chart[[#This Row],[Name]]</f>
        <v>CPI</v>
      </c>
      <c r="C180">
        <f>Siam_Chart[[#This Row],[No.]]</f>
        <v>179</v>
      </c>
      <c r="D180">
        <f>Siam_Chart[[#This Row],[Last]]</f>
        <v>3.52</v>
      </c>
      <c r="E180">
        <f>Siam_Chart[[#This Row],[Chg%]]</f>
        <v>1.1499999999999999</v>
      </c>
      <c r="F180">
        <f>Siam_Chart[[#This Row],[Volume]]</f>
        <v>87684</v>
      </c>
      <c r="G180">
        <f>Siam_Chart[[#This Row],[Value (k)]]</f>
        <v>306820.09999999998</v>
      </c>
      <c r="H180" cm="1">
        <f t="array" ref="H180:W180">Siam_Chart[[#This Row],[MCap (M)]:[CG]]</f>
        <v>2227289328</v>
      </c>
      <c r="I180">
        <v>8.64</v>
      </c>
      <c r="J180">
        <v>0.64</v>
      </c>
      <c r="K180">
        <v>0.41888999999999998</v>
      </c>
      <c r="L180">
        <v>0.27</v>
      </c>
      <c r="M180">
        <v>0.22</v>
      </c>
      <c r="N180">
        <v>7.3347759999999997</v>
      </c>
      <c r="O180">
        <v>7.8760349999999999</v>
      </c>
      <c r="P180">
        <v>4.8834850000000003</v>
      </c>
      <c r="Q180">
        <v>7.67</v>
      </c>
      <c r="R180" t="str">
        <v/>
      </c>
      <c r="S180" t="str">
        <v/>
      </c>
      <c r="T180">
        <v>531</v>
      </c>
      <c r="U180">
        <v>446</v>
      </c>
      <c r="V180">
        <v>0.34</v>
      </c>
      <c r="W180">
        <v>4</v>
      </c>
      <c r="X180" s="5">
        <f t="shared" si="7"/>
        <v>5.5</v>
      </c>
      <c r="Y180" s="6">
        <f t="shared" si="8"/>
        <v>632752650</v>
      </c>
    </row>
    <row r="181" spans="2:25" x14ac:dyDescent="0.25">
      <c r="B181" t="str">
        <f>Siam_Chart[[#This Row],[Name]]</f>
        <v>CPL</v>
      </c>
      <c r="C181">
        <f>Siam_Chart[[#This Row],[No.]]</f>
        <v>180</v>
      </c>
      <c r="D181">
        <f>Siam_Chart[[#This Row],[Last]]</f>
        <v>0.68</v>
      </c>
      <c r="E181">
        <f>Siam_Chart[[#This Row],[Chg%]]</f>
        <v>-2.86</v>
      </c>
      <c r="F181">
        <f>Siam_Chart[[#This Row],[Volume]]</f>
        <v>291210</v>
      </c>
      <c r="G181">
        <f>Siam_Chart[[#This Row],[Value (k)]]</f>
        <v>200029.9</v>
      </c>
      <c r="H181" cm="1">
        <f t="array" ref="H181:W181">Siam_Chart[[#This Row],[MCap (M)]:[CG]]</f>
        <v>299094113.12</v>
      </c>
      <c r="I181">
        <v>312289441.63999999</v>
      </c>
      <c r="J181">
        <v>0.51</v>
      </c>
      <c r="K181">
        <v>2.2447149999999998</v>
      </c>
      <c r="L181">
        <v>0.05</v>
      </c>
      <c r="M181">
        <v>0.01</v>
      </c>
      <c r="N181">
        <v>-0.37487300000000001</v>
      </c>
      <c r="O181">
        <v>-13.575163</v>
      </c>
      <c r="P181">
        <v>0.39756599999999997</v>
      </c>
      <c r="Q181">
        <v>0.53</v>
      </c>
      <c r="R181" t="str">
        <v/>
      </c>
      <c r="S181" t="str">
        <v/>
      </c>
      <c r="T181">
        <v>0</v>
      </c>
      <c r="U181">
        <v>0</v>
      </c>
      <c r="V181">
        <v>0</v>
      </c>
      <c r="W181">
        <v>5</v>
      </c>
      <c r="X181" s="5">
        <f t="shared" si="7"/>
        <v>1.3333333333333335</v>
      </c>
      <c r="Y181" s="6">
        <f t="shared" si="8"/>
        <v>439844284</v>
      </c>
    </row>
    <row r="182" spans="2:25" x14ac:dyDescent="0.25">
      <c r="B182" t="str">
        <f>Siam_Chart[[#This Row],[Name]]</f>
        <v>CPN</v>
      </c>
      <c r="C182">
        <f>Siam_Chart[[#This Row],[No.]]</f>
        <v>181</v>
      </c>
      <c r="D182">
        <f>Siam_Chart[[#This Row],[Last]]</f>
        <v>66</v>
      </c>
      <c r="E182">
        <f>Siam_Chart[[#This Row],[Chg%]]</f>
        <v>0</v>
      </c>
      <c r="F182">
        <f>Siam_Chart[[#This Row],[Volume]]</f>
        <v>6056733</v>
      </c>
      <c r="G182">
        <f>Siam_Chart[[#This Row],[Value (k)]]</f>
        <v>399760012.75</v>
      </c>
      <c r="H182" cm="1">
        <f t="array" ref="H182:W182">Siam_Chart[[#This Row],[MCap (M)]:[CG]]</f>
        <v>296208000000</v>
      </c>
      <c r="I182">
        <v>14.79</v>
      </c>
      <c r="J182">
        <v>2.72</v>
      </c>
      <c r="K182">
        <v>1.5907340000000001</v>
      </c>
      <c r="L182">
        <v>2.4</v>
      </c>
      <c r="M182">
        <v>2.17</v>
      </c>
      <c r="N182">
        <v>9.341564</v>
      </c>
      <c r="O182">
        <v>19.228885999999999</v>
      </c>
      <c r="P182">
        <v>36.841391000000002</v>
      </c>
      <c r="Q182">
        <v>3.64</v>
      </c>
      <c r="R182" t="str">
        <v/>
      </c>
      <c r="S182" t="str">
        <v/>
      </c>
      <c r="T182">
        <v>545</v>
      </c>
      <c r="U182">
        <v>642</v>
      </c>
      <c r="V182">
        <v>0.52</v>
      </c>
      <c r="W182">
        <v>5</v>
      </c>
      <c r="X182" s="5">
        <f t="shared" si="7"/>
        <v>24.264705882352938</v>
      </c>
      <c r="Y182" s="6">
        <f t="shared" si="8"/>
        <v>4488000000</v>
      </c>
    </row>
    <row r="183" spans="2:25" x14ac:dyDescent="0.25">
      <c r="B183" t="str">
        <f>Siam_Chart[[#This Row],[Name]]</f>
        <v>CPR</v>
      </c>
      <c r="C183">
        <f>Siam_Chart[[#This Row],[No.]]</f>
        <v>182</v>
      </c>
      <c r="D183">
        <f>Siam_Chart[[#This Row],[Last]]</f>
        <v>2.62</v>
      </c>
      <c r="E183">
        <f>Siam_Chart[[#This Row],[Chg%]]</f>
        <v>-0.76</v>
      </c>
      <c r="F183">
        <f>Siam_Chart[[#This Row],[Volume]]</f>
        <v>35606</v>
      </c>
      <c r="G183">
        <f>Siam_Chart[[#This Row],[Value (k)]]</f>
        <v>94416.06</v>
      </c>
      <c r="H183" cm="1">
        <f t="array" ref="H183:W183">Siam_Chart[[#This Row],[MCap (M)]:[CG]]</f>
        <v>521380000</v>
      </c>
      <c r="I183">
        <v>42.31</v>
      </c>
      <c r="J183">
        <v>1.03</v>
      </c>
      <c r="K183">
        <v>0.11913799999999999</v>
      </c>
      <c r="L183">
        <v>3.5000000000000003E-2</v>
      </c>
      <c r="M183">
        <v>0.01</v>
      </c>
      <c r="N183">
        <v>2.6270539999999998</v>
      </c>
      <c r="O183">
        <v>2.4454880000000001</v>
      </c>
      <c r="P183">
        <v>1.754564</v>
      </c>
      <c r="Q183">
        <v>1.34</v>
      </c>
      <c r="R183" t="str">
        <v/>
      </c>
      <c r="S183" t="str">
        <v/>
      </c>
      <c r="T183">
        <v>1220</v>
      </c>
      <c r="U183">
        <v>1180</v>
      </c>
      <c r="V183">
        <v>-1.42</v>
      </c>
      <c r="W183">
        <v>0</v>
      </c>
      <c r="X183" s="5">
        <f t="shared" si="7"/>
        <v>2.5436893203883497</v>
      </c>
      <c r="Y183" s="6">
        <f t="shared" si="8"/>
        <v>199000000</v>
      </c>
    </row>
    <row r="184" spans="2:25" x14ac:dyDescent="0.25">
      <c r="B184" t="str">
        <f>Siam_Chart[[#This Row],[Name]]</f>
        <v>CPT</v>
      </c>
      <c r="C184">
        <f>Siam_Chart[[#This Row],[No.]]</f>
        <v>183</v>
      </c>
      <c r="D184">
        <f>Siam_Chart[[#This Row],[Last]]</f>
        <v>0.99</v>
      </c>
      <c r="E184">
        <f>Siam_Chart[[#This Row],[Chg%]]</f>
        <v>-1</v>
      </c>
      <c r="F184">
        <f>Siam_Chart[[#This Row],[Volume]]</f>
        <v>42002</v>
      </c>
      <c r="G184">
        <f>Siam_Chart[[#This Row],[Value (k)]]</f>
        <v>41583</v>
      </c>
      <c r="H184" cm="1">
        <f t="array" ref="H184:W184">Siam_Chart[[#This Row],[MCap (M)]:[CG]]</f>
        <v>891000000</v>
      </c>
      <c r="I184">
        <v>10.9</v>
      </c>
      <c r="J184">
        <v>0.84</v>
      </c>
      <c r="K184">
        <v>0.49188100000000001</v>
      </c>
      <c r="L184">
        <v>2.5000000000000001E-2</v>
      </c>
      <c r="M184">
        <v>0.04</v>
      </c>
      <c r="N184">
        <v>7.4532990000000003</v>
      </c>
      <c r="O184">
        <v>7.9778919999999998</v>
      </c>
      <c r="P184">
        <v>7.7228089999999998</v>
      </c>
      <c r="Q184">
        <v>2.5299999999999998</v>
      </c>
      <c r="R184" t="str">
        <v/>
      </c>
      <c r="S184" t="str">
        <v/>
      </c>
      <c r="T184">
        <v>659</v>
      </c>
      <c r="U184">
        <v>572</v>
      </c>
      <c r="V184">
        <v>-0.14000000000000001</v>
      </c>
      <c r="W184">
        <v>0</v>
      </c>
      <c r="X184" s="5">
        <f t="shared" si="7"/>
        <v>1.1785714285714286</v>
      </c>
      <c r="Y184" s="6">
        <f t="shared" si="8"/>
        <v>900000000</v>
      </c>
    </row>
    <row r="185" spans="2:25" x14ac:dyDescent="0.25">
      <c r="B185" t="str">
        <f>Siam_Chart[[#This Row],[Name]]</f>
        <v>CPW</v>
      </c>
      <c r="C185">
        <f>Siam_Chart[[#This Row],[No.]]</f>
        <v>184</v>
      </c>
      <c r="D185">
        <f>Siam_Chart[[#This Row],[Last]]</f>
        <v>2.52</v>
      </c>
      <c r="E185">
        <f>Siam_Chart[[#This Row],[Chg%]]</f>
        <v>0</v>
      </c>
      <c r="F185">
        <f>Siam_Chart[[#This Row],[Volume]]</f>
        <v>67200</v>
      </c>
      <c r="G185">
        <f>Siam_Chart[[#This Row],[Value (k)]]</f>
        <v>169514</v>
      </c>
      <c r="H185" cm="1">
        <f t="array" ref="H185:W185">Siam_Chart[[#This Row],[MCap (M)]:[CG]]</f>
        <v>1512000000</v>
      </c>
      <c r="I185">
        <v>9.0299999999999994</v>
      </c>
      <c r="J185">
        <v>1.73</v>
      </c>
      <c r="K185">
        <v>2.0723780000000001</v>
      </c>
      <c r="L185">
        <v>0.08</v>
      </c>
      <c r="M185">
        <v>0.14000000000000001</v>
      </c>
      <c r="N185">
        <v>9.4156910000000007</v>
      </c>
      <c r="O185">
        <v>19.722867000000001</v>
      </c>
      <c r="P185">
        <v>1.4889479999999999</v>
      </c>
      <c r="Q185">
        <v>7.54</v>
      </c>
      <c r="R185" t="str">
        <v/>
      </c>
      <c r="S185" t="str">
        <v/>
      </c>
      <c r="T185">
        <v>302</v>
      </c>
      <c r="U185">
        <v>400</v>
      </c>
      <c r="V185">
        <v>0.72</v>
      </c>
      <c r="W185">
        <v>5</v>
      </c>
      <c r="X185" s="5">
        <f t="shared" si="7"/>
        <v>1.4566473988439306</v>
      </c>
      <c r="Y185" s="6">
        <f t="shared" si="8"/>
        <v>600000000</v>
      </c>
    </row>
    <row r="186" spans="2:25" x14ac:dyDescent="0.25">
      <c r="B186" t="str">
        <f>Siam_Chart[[#This Row],[Name]]</f>
        <v>CRANE</v>
      </c>
      <c r="C186">
        <f>Siam_Chart[[#This Row],[No.]]</f>
        <v>185</v>
      </c>
      <c r="D186">
        <f>Siam_Chart[[#This Row],[Last]]</f>
        <v>0.32</v>
      </c>
      <c r="E186">
        <f>Siam_Chart[[#This Row],[Chg%]]</f>
        <v>-3.03</v>
      </c>
      <c r="F186">
        <f>Siam_Chart[[#This Row],[Volume]]</f>
        <v>948468</v>
      </c>
      <c r="G186">
        <f>Siam_Chart[[#This Row],[Value (k)]]</f>
        <v>307333.52</v>
      </c>
      <c r="H186" cm="1">
        <f t="array" ref="H186:W186">Siam_Chart[[#This Row],[MCap (M)]:[CG]]</f>
        <v>242620169.91999999</v>
      </c>
      <c r="I186">
        <v>250202050.22999999</v>
      </c>
      <c r="J186">
        <v>0.37</v>
      </c>
      <c r="K186">
        <v>1.2389079999999999</v>
      </c>
      <c r="L186">
        <v>-0.05</v>
      </c>
      <c r="M186">
        <v>-0.05</v>
      </c>
      <c r="N186">
        <v>-3.800395</v>
      </c>
      <c r="O186">
        <v>-14.586204</v>
      </c>
      <c r="P186">
        <v>-38.522345000000001</v>
      </c>
      <c r="Q186">
        <v>0.38</v>
      </c>
      <c r="R186" t="str">
        <v/>
      </c>
      <c r="S186" t="str">
        <v/>
      </c>
      <c r="T186">
        <v>0</v>
      </c>
      <c r="U186">
        <v>0</v>
      </c>
      <c r="V186">
        <v>0</v>
      </c>
      <c r="W186">
        <v>0</v>
      </c>
      <c r="X186" s="5">
        <f t="shared" si="7"/>
        <v>0.86486486486486491</v>
      </c>
      <c r="Y186" s="6">
        <f t="shared" si="8"/>
        <v>758188031</v>
      </c>
    </row>
    <row r="187" spans="2:25" x14ac:dyDescent="0.25">
      <c r="B187" t="str">
        <f>Siam_Chart[[#This Row],[Name]]</f>
        <v>CRC</v>
      </c>
      <c r="C187">
        <f>Siam_Chart[[#This Row],[No.]]</f>
        <v>186</v>
      </c>
      <c r="D187">
        <f>Siam_Chart[[#This Row],[Last]]</f>
        <v>28</v>
      </c>
      <c r="E187">
        <f>Siam_Chart[[#This Row],[Chg%]]</f>
        <v>-4.2699999999999996</v>
      </c>
      <c r="F187">
        <f>Siam_Chart[[#This Row],[Volume]]</f>
        <v>14509894</v>
      </c>
      <c r="G187">
        <f>Siam_Chart[[#This Row],[Value (k)]]</f>
        <v>409320317.5</v>
      </c>
      <c r="H187" cm="1">
        <f t="array" ref="H187:W187">Siam_Chart[[#This Row],[MCap (M)]:[CG]]</f>
        <v>168868000000</v>
      </c>
      <c r="I187">
        <v>19.27</v>
      </c>
      <c r="J187">
        <v>2.54</v>
      </c>
      <c r="K187">
        <v>2.4835180000000001</v>
      </c>
      <c r="L187">
        <v>1.1100000000000001</v>
      </c>
      <c r="M187">
        <v>0.8</v>
      </c>
      <c r="N187">
        <v>5.9701969999999998</v>
      </c>
      <c r="O187">
        <v>13.127304000000001</v>
      </c>
      <c r="P187">
        <v>3.961964</v>
      </c>
      <c r="Q187">
        <v>6.46</v>
      </c>
      <c r="R187" t="str">
        <v/>
      </c>
      <c r="S187" t="str">
        <v/>
      </c>
      <c r="T187">
        <v>781</v>
      </c>
      <c r="U187">
        <v>945</v>
      </c>
      <c r="V187">
        <v>0.01</v>
      </c>
      <c r="W187">
        <v>5</v>
      </c>
      <c r="X187" s="5">
        <f t="shared" si="7"/>
        <v>11.023622047244094</v>
      </c>
      <c r="Y187" s="6">
        <f t="shared" si="8"/>
        <v>6031000000</v>
      </c>
    </row>
    <row r="188" spans="2:25" x14ac:dyDescent="0.25">
      <c r="B188" t="str">
        <f>Siam_Chart[[#This Row],[Name]]</f>
        <v>CRD</v>
      </c>
      <c r="C188">
        <f>Siam_Chart[[#This Row],[No.]]</f>
        <v>187</v>
      </c>
      <c r="D188">
        <f>Siam_Chart[[#This Row],[Last]]</f>
        <v>0.49</v>
      </c>
      <c r="E188">
        <f>Siam_Chart[[#This Row],[Chg%]]</f>
        <v>2.08</v>
      </c>
      <c r="F188">
        <f>Siam_Chart[[#This Row],[Volume]]</f>
        <v>52000</v>
      </c>
      <c r="G188">
        <f>Siam_Chart[[#This Row],[Value (k)]]</f>
        <v>25231</v>
      </c>
      <c r="H188" cm="1">
        <f t="array" ref="H188:W188">Siam_Chart[[#This Row],[MCap (M)]:[CG]]</f>
        <v>245000000</v>
      </c>
      <c r="I188">
        <v>4.16</v>
      </c>
      <c r="J188">
        <v>0.49</v>
      </c>
      <c r="K188">
        <v>0.92414099999999999</v>
      </c>
      <c r="L188">
        <v>0.04</v>
      </c>
      <c r="M188">
        <v>0.04</v>
      </c>
      <c r="N188">
        <v>8.3982340000000004</v>
      </c>
      <c r="O188">
        <v>12.595101</v>
      </c>
      <c r="P188">
        <v>4.9504219999999997</v>
      </c>
      <c r="Q188">
        <v>0.47</v>
      </c>
      <c r="R188" t="str">
        <v/>
      </c>
      <c r="S188" t="str">
        <v/>
      </c>
      <c r="T188">
        <v>192</v>
      </c>
      <c r="U188">
        <v>238</v>
      </c>
      <c r="V188">
        <v>0.09</v>
      </c>
      <c r="W188">
        <v>4</v>
      </c>
      <c r="X188" s="5">
        <f t="shared" si="7"/>
        <v>1</v>
      </c>
      <c r="Y188" s="6">
        <f t="shared" si="8"/>
        <v>500000000</v>
      </c>
    </row>
    <row r="189" spans="2:25" x14ac:dyDescent="0.25">
      <c r="B189" t="str">
        <f>Siam_Chart[[#This Row],[Name]]</f>
        <v>CREDIT</v>
      </c>
      <c r="C189">
        <f>Siam_Chart[[#This Row],[No.]]</f>
        <v>188</v>
      </c>
      <c r="D189">
        <f>Siam_Chart[[#This Row],[Last]]</f>
        <v>23.5</v>
      </c>
      <c r="E189">
        <f>Siam_Chart[[#This Row],[Chg%]]</f>
        <v>-1.67</v>
      </c>
      <c r="F189">
        <f>Siam_Chart[[#This Row],[Volume]]</f>
        <v>637398</v>
      </c>
      <c r="G189">
        <f>Siam_Chart[[#This Row],[Value (k)]]</f>
        <v>15035179</v>
      </c>
      <c r="H189" cm="1">
        <f t="array" ref="H189:W189">Siam_Chart[[#This Row],[MCap (M)]:[CG]]</f>
        <v>29018721717</v>
      </c>
      <c r="I189">
        <v>6.68</v>
      </c>
      <c r="J189">
        <v>1.06</v>
      </c>
      <c r="K189">
        <v>7.3933239999999998</v>
      </c>
      <c r="L189">
        <v>0.98</v>
      </c>
      <c r="M189">
        <v>1.74</v>
      </c>
      <c r="N189">
        <v>4.41242</v>
      </c>
      <c r="O189">
        <v>16.907420999999999</v>
      </c>
      <c r="P189">
        <v>20.891499</v>
      </c>
      <c r="Q189">
        <v>4.17</v>
      </c>
      <c r="R189" t="str">
        <v/>
      </c>
      <c r="S189" t="str">
        <v/>
      </c>
      <c r="T189">
        <v>218</v>
      </c>
      <c r="U189">
        <v>706</v>
      </c>
      <c r="V189">
        <v>1.08</v>
      </c>
      <c r="W189">
        <v>5</v>
      </c>
      <c r="X189" s="5">
        <f t="shared" si="7"/>
        <v>22.169811320754715</v>
      </c>
      <c r="Y189" s="6">
        <f t="shared" si="8"/>
        <v>1234839222</v>
      </c>
    </row>
    <row r="190" spans="2:25" x14ac:dyDescent="0.25">
      <c r="B190" t="str">
        <f>Siam_Chart[[#This Row],[Name]]</f>
        <v>CSC</v>
      </c>
      <c r="C190">
        <f>Siam_Chart[[#This Row],[No.]]</f>
        <v>189</v>
      </c>
      <c r="D190">
        <f>Siam_Chart[[#This Row],[Last]]</f>
        <v>46.75</v>
      </c>
      <c r="E190">
        <f>Siam_Chart[[#This Row],[Chg%]]</f>
        <v>-0.53</v>
      </c>
      <c r="F190">
        <f>Siam_Chart[[#This Row],[Volume]]</f>
        <v>100</v>
      </c>
      <c r="G190">
        <f>Siam_Chart[[#This Row],[Value (k)]]</f>
        <v>4675</v>
      </c>
      <c r="H190" cm="1">
        <f t="array" ref="H190:W190">Siam_Chart[[#This Row],[MCap (M)]:[CG]]</f>
        <v>2431036231.25</v>
      </c>
      <c r="I190">
        <v>8.51</v>
      </c>
      <c r="J190">
        <v>0.56000000000000005</v>
      </c>
      <c r="K190">
        <v>0.24346400000000001</v>
      </c>
      <c r="L190">
        <v>2.25</v>
      </c>
      <c r="M190">
        <v>4.17</v>
      </c>
      <c r="N190">
        <v>6.7110329999999996</v>
      </c>
      <c r="O190">
        <v>6.757822</v>
      </c>
      <c r="P190">
        <v>11.095743000000001</v>
      </c>
      <c r="Q190">
        <v>4.8099999999999996</v>
      </c>
      <c r="R190" t="str">
        <v/>
      </c>
      <c r="S190" t="str">
        <v/>
      </c>
      <c r="T190">
        <v>580</v>
      </c>
      <c r="U190">
        <v>479</v>
      </c>
      <c r="V190">
        <v>0.74</v>
      </c>
      <c r="W190">
        <v>4</v>
      </c>
      <c r="X190" s="5">
        <f t="shared" si="7"/>
        <v>83.482142857142847</v>
      </c>
      <c r="Y190" s="6">
        <f t="shared" si="8"/>
        <v>52000775</v>
      </c>
    </row>
    <row r="191" spans="2:25" x14ac:dyDescent="0.25">
      <c r="B191" t="str">
        <f>Siam_Chart[[#This Row],[Name]]</f>
        <v>CSP</v>
      </c>
      <c r="C191">
        <f>Siam_Chart[[#This Row],[No.]]</f>
        <v>190</v>
      </c>
      <c r="D191">
        <f>Siam_Chart[[#This Row],[Last]]</f>
        <v>0.82</v>
      </c>
      <c r="E191">
        <f>Siam_Chart[[#This Row],[Chg%]]</f>
        <v>3.8</v>
      </c>
      <c r="F191">
        <f>Siam_Chart[[#This Row],[Volume]]</f>
        <v>6829430</v>
      </c>
      <c r="G191">
        <f>Siam_Chart[[#This Row],[Value (k)]]</f>
        <v>5864633.4500000002</v>
      </c>
      <c r="H191" cm="1">
        <f t="array" ref="H191:W191">Siam_Chart[[#This Row],[MCap (M)]:[CG]]</f>
        <v>406858437.31999999</v>
      </c>
      <c r="I191">
        <v>10.53</v>
      </c>
      <c r="J191">
        <v>0.69</v>
      </c>
      <c r="K191">
        <v>2.3193350000000001</v>
      </c>
      <c r="L191">
        <v>0.2</v>
      </c>
      <c r="M191">
        <v>0.12</v>
      </c>
      <c r="N191">
        <v>4.4170069999999999</v>
      </c>
      <c r="O191">
        <v>6.7378499999999999</v>
      </c>
      <c r="P191">
        <v>4.972645</v>
      </c>
      <c r="Q191">
        <v>0.45</v>
      </c>
      <c r="R191" t="str">
        <v/>
      </c>
      <c r="S191" t="str">
        <v/>
      </c>
      <c r="T191">
        <v>0</v>
      </c>
      <c r="U191">
        <v>0</v>
      </c>
      <c r="V191">
        <v>0</v>
      </c>
      <c r="W191">
        <v>3</v>
      </c>
      <c r="X191" s="5">
        <f t="shared" si="7"/>
        <v>1.1884057971014492</v>
      </c>
      <c r="Y191" s="6">
        <f t="shared" si="8"/>
        <v>496168826</v>
      </c>
    </row>
    <row r="192" spans="2:25" x14ac:dyDescent="0.25">
      <c r="B192" t="str">
        <f>Siam_Chart[[#This Row],[Name]]</f>
        <v>CSR</v>
      </c>
      <c r="C192">
        <f>Siam_Chart[[#This Row],[No.]]</f>
        <v>191</v>
      </c>
      <c r="D192">
        <f>Siam_Chart[[#This Row],[Last]]</f>
        <v>72.75</v>
      </c>
      <c r="E192">
        <f>Siam_Chart[[#This Row],[Chg%]]</f>
        <v>1.75</v>
      </c>
      <c r="F192">
        <f>Siam_Chart[[#This Row],[Volume]]</f>
        <v>100</v>
      </c>
      <c r="G192">
        <f>Siam_Chart[[#This Row],[Value (k)]]</f>
        <v>7275</v>
      </c>
      <c r="H192" cm="1">
        <f t="array" ref="H192:W192">Siam_Chart[[#This Row],[MCap (M)]:[CG]]</f>
        <v>1455500000</v>
      </c>
      <c r="I192">
        <v>19.28</v>
      </c>
      <c r="J192">
        <v>1.17</v>
      </c>
      <c r="K192">
        <v>0.121132</v>
      </c>
      <c r="L192">
        <v>2.0299999999999998</v>
      </c>
      <c r="M192">
        <v>1.77</v>
      </c>
      <c r="N192">
        <v>6.7746829999999996</v>
      </c>
      <c r="O192">
        <v>6.1344900000000004</v>
      </c>
      <c r="P192">
        <v>33.029474</v>
      </c>
      <c r="Q192">
        <v>2.86</v>
      </c>
      <c r="R192" t="str">
        <v/>
      </c>
      <c r="S192" t="str">
        <v/>
      </c>
      <c r="T192">
        <v>995</v>
      </c>
      <c r="U192">
        <v>852</v>
      </c>
      <c r="V192">
        <v>0.66</v>
      </c>
      <c r="W192">
        <v>0</v>
      </c>
      <c r="X192" s="5">
        <f t="shared" si="7"/>
        <v>62.179487179487182</v>
      </c>
      <c r="Y192" s="6">
        <f t="shared" si="8"/>
        <v>20006872.852233678</v>
      </c>
    </row>
    <row r="193" spans="2:25" x14ac:dyDescent="0.25">
      <c r="B193" t="str">
        <f>Siam_Chart[[#This Row],[Name]]</f>
        <v>CSS</v>
      </c>
      <c r="C193">
        <f>Siam_Chart[[#This Row],[No.]]</f>
        <v>192</v>
      </c>
      <c r="D193">
        <f>Siam_Chart[[#This Row],[Last]]</f>
        <v>1.03</v>
      </c>
      <c r="E193">
        <f>Siam_Chart[[#This Row],[Chg%]]</f>
        <v>-1.9</v>
      </c>
      <c r="F193">
        <f>Siam_Chart[[#This Row],[Volume]]</f>
        <v>544909</v>
      </c>
      <c r="G193">
        <f>Siam_Chart[[#This Row],[Value (k)]]</f>
        <v>568522.44999999995</v>
      </c>
      <c r="H193" cm="1">
        <f t="array" ref="H193:W193">Siam_Chart[[#This Row],[MCap (M)]:[CG]]</f>
        <v>1211011261.6700001</v>
      </c>
      <c r="I193">
        <v>12.7</v>
      </c>
      <c r="J193">
        <v>0.68</v>
      </c>
      <c r="K193">
        <v>1.189163</v>
      </c>
      <c r="L193">
        <v>0.03</v>
      </c>
      <c r="M193">
        <v>7.0000000000000007E-2</v>
      </c>
      <c r="N193">
        <v>3.3173490000000001</v>
      </c>
      <c r="O193">
        <v>5.4658530000000001</v>
      </c>
      <c r="P193">
        <v>2.9143539999999999</v>
      </c>
      <c r="Q193">
        <v>3.88</v>
      </c>
      <c r="R193" t="str">
        <v/>
      </c>
      <c r="S193" t="str">
        <v/>
      </c>
      <c r="T193">
        <v>858</v>
      </c>
      <c r="U193">
        <v>908</v>
      </c>
      <c r="V193">
        <v>0.57999999999999996</v>
      </c>
      <c r="W193">
        <v>3</v>
      </c>
      <c r="X193" s="5">
        <f t="shared" si="7"/>
        <v>1.5147058823529411</v>
      </c>
      <c r="Y193" s="6">
        <f t="shared" si="8"/>
        <v>1175739089</v>
      </c>
    </row>
    <row r="194" spans="2:25" x14ac:dyDescent="0.25">
      <c r="B194" t="str">
        <f>Siam_Chart[[#This Row],[Name]]</f>
        <v>CTW</v>
      </c>
      <c r="C194">
        <f>Siam_Chart[[#This Row],[No.]]</f>
        <v>193</v>
      </c>
      <c r="D194">
        <f>Siam_Chart[[#This Row],[Last]]</f>
        <v>6.55</v>
      </c>
      <c r="E194">
        <f>Siam_Chart[[#This Row],[Chg%]]</f>
        <v>-1.5</v>
      </c>
      <c r="F194">
        <f>Siam_Chart[[#This Row],[Volume]]</f>
        <v>23400</v>
      </c>
      <c r="G194">
        <f>Siam_Chart[[#This Row],[Value (k)]]</f>
        <v>155605</v>
      </c>
      <c r="H194" cm="1">
        <f t="array" ref="H194:W194">Siam_Chart[[#This Row],[MCap (M)]:[CG]]</f>
        <v>2606286160.1999998</v>
      </c>
      <c r="I194">
        <v>9.64</v>
      </c>
      <c r="J194">
        <v>0.63</v>
      </c>
      <c r="K194">
        <v>0.59113499999999997</v>
      </c>
      <c r="L194">
        <v>0.08</v>
      </c>
      <c r="M194">
        <v>0.42</v>
      </c>
      <c r="N194">
        <v>5.8178359999999998</v>
      </c>
      <c r="O194">
        <v>6.7381349999999998</v>
      </c>
      <c r="P194">
        <v>4.9160459999999997</v>
      </c>
      <c r="Q194">
        <v>1.22</v>
      </c>
      <c r="R194" t="str">
        <v/>
      </c>
      <c r="S194" t="str">
        <v/>
      </c>
      <c r="T194">
        <v>803</v>
      </c>
      <c r="U194">
        <v>754</v>
      </c>
      <c r="V194">
        <v>-0.05</v>
      </c>
      <c r="W194">
        <v>0</v>
      </c>
      <c r="X194" s="5">
        <f t="shared" si="7"/>
        <v>10.396825396825397</v>
      </c>
      <c r="Y194" s="6">
        <f t="shared" si="8"/>
        <v>397906284</v>
      </c>
    </row>
    <row r="195" spans="2:25" x14ac:dyDescent="0.25">
      <c r="B195" t="str">
        <f>Siam_Chart[[#This Row],[Name]]</f>
        <v>CV</v>
      </c>
      <c r="C195">
        <f>Siam_Chart[[#This Row],[No.]]</f>
        <v>194</v>
      </c>
      <c r="D195">
        <f>Siam_Chart[[#This Row],[Last]]</f>
        <v>2024</v>
      </c>
      <c r="E195">
        <f>Siam_Chart[[#This Row],[Chg%]]</f>
        <v>0</v>
      </c>
      <c r="F195">
        <f>Siam_Chart[[#This Row],[Volume]]</f>
        <v>0</v>
      </c>
      <c r="G195">
        <f>Siam_Chart[[#This Row],[Value (k)]]</f>
        <v>0</v>
      </c>
      <c r="H195" cm="1">
        <f t="array" ref="H195:W195">Siam_Chart[[#This Row],[MCap (M)]:[CG]]</f>
        <v>34</v>
      </c>
      <c r="I195">
        <v>0</v>
      </c>
      <c r="J195">
        <v>2.9245151452467226</v>
      </c>
      <c r="K195">
        <v>2.924515</v>
      </c>
      <c r="L195">
        <v>2.35E-2</v>
      </c>
      <c r="M195">
        <v>-0.39</v>
      </c>
      <c r="N195">
        <v>-19.871003999999999</v>
      </c>
      <c r="O195">
        <v>-73.116012999999995</v>
      </c>
      <c r="P195">
        <v>-136.9974</v>
      </c>
      <c r="Q195">
        <v>0</v>
      </c>
      <c r="R195" t="str">
        <v/>
      </c>
      <c r="S195" t="str">
        <v/>
      </c>
      <c r="T195">
        <v>0</v>
      </c>
      <c r="U195">
        <v>0</v>
      </c>
      <c r="V195">
        <v>0</v>
      </c>
      <c r="W195">
        <v>5</v>
      </c>
      <c r="X195" s="5">
        <f t="shared" si="7"/>
        <v>692.08053283281868</v>
      </c>
      <c r="Y195" s="6">
        <f t="shared" si="8"/>
        <v>1.6798418972332016E-2</v>
      </c>
    </row>
    <row r="196" spans="2:25" x14ac:dyDescent="0.25">
      <c r="B196" t="str">
        <f>Siam_Chart[[#This Row],[Name]]</f>
        <v>CWT</v>
      </c>
      <c r="C196">
        <f>Siam_Chart[[#This Row],[No.]]</f>
        <v>195</v>
      </c>
      <c r="D196">
        <f>Siam_Chart[[#This Row],[Last]]</f>
        <v>0.93</v>
      </c>
      <c r="E196">
        <f>Siam_Chart[[#This Row],[Chg%]]</f>
        <v>0</v>
      </c>
      <c r="F196">
        <f>Siam_Chart[[#This Row],[Volume]]</f>
        <v>1855700</v>
      </c>
      <c r="G196">
        <f>Siam_Chart[[#This Row],[Value (k)]]</f>
        <v>1717563</v>
      </c>
      <c r="H196" cm="1">
        <f t="array" ref="H196:W196">Siam_Chart[[#This Row],[MCap (M)]:[CG]]</f>
        <v>586008312.45000005</v>
      </c>
      <c r="I196">
        <v>535598995.25</v>
      </c>
      <c r="J196">
        <v>0.33</v>
      </c>
      <c r="K196">
        <v>0.98320600000000002</v>
      </c>
      <c r="L196">
        <v>5.3499999999999999E-2</v>
      </c>
      <c r="M196">
        <v>-0.12</v>
      </c>
      <c r="N196">
        <v>-3.2595290000000001</v>
      </c>
      <c r="O196">
        <v>-8.9614910000000005</v>
      </c>
      <c r="P196">
        <v>-11.822054</v>
      </c>
      <c r="Q196">
        <v>0.31</v>
      </c>
      <c r="R196" t="str">
        <v/>
      </c>
      <c r="S196" t="str">
        <v/>
      </c>
      <c r="T196">
        <v>0</v>
      </c>
      <c r="U196">
        <v>0</v>
      </c>
      <c r="V196">
        <v>0</v>
      </c>
      <c r="W196">
        <v>3</v>
      </c>
      <c r="X196" s="5">
        <f t="shared" ref="X196:X259" si="9">IFERROR(D196/J196,0)</f>
        <v>2.8181818181818183</v>
      </c>
      <c r="Y196" s="6">
        <f t="shared" ref="Y196:Y259" si="10">IFERROR(H196/D196,0)</f>
        <v>630116465</v>
      </c>
    </row>
    <row r="197" spans="2:25" x14ac:dyDescent="0.25">
      <c r="B197" t="str">
        <f>Siam_Chart[[#This Row],[Name]]</f>
        <v>D</v>
      </c>
      <c r="C197">
        <f>Siam_Chart[[#This Row],[No.]]</f>
        <v>196</v>
      </c>
      <c r="D197">
        <f>Siam_Chart[[#This Row],[Last]]</f>
        <v>3.06</v>
      </c>
      <c r="E197">
        <f>Siam_Chart[[#This Row],[Chg%]]</f>
        <v>-1.29</v>
      </c>
      <c r="F197">
        <f>Siam_Chart[[#This Row],[Volume]]</f>
        <v>253700</v>
      </c>
      <c r="G197">
        <f>Siam_Chart[[#This Row],[Value (k)]]</f>
        <v>778304</v>
      </c>
      <c r="H197" cm="1">
        <f t="array" ref="H197:W197">Siam_Chart[[#This Row],[MCap (M)]:[CG]]</f>
        <v>1047118462.5599999</v>
      </c>
      <c r="I197">
        <v>11.7</v>
      </c>
      <c r="J197">
        <v>1.25</v>
      </c>
      <c r="K197">
        <v>0.65516300000000005</v>
      </c>
      <c r="L197">
        <v>7.2999999999999995E-2</v>
      </c>
      <c r="M197">
        <v>0.12</v>
      </c>
      <c r="N197">
        <v>9.5188699999999997</v>
      </c>
      <c r="O197">
        <v>10.941005000000001</v>
      </c>
      <c r="P197">
        <v>7.0720270000000003</v>
      </c>
      <c r="Q197">
        <v>4.9000000000000004</v>
      </c>
      <c r="R197" t="str">
        <v/>
      </c>
      <c r="S197" t="str">
        <v/>
      </c>
      <c r="T197">
        <v>543</v>
      </c>
      <c r="U197">
        <v>485</v>
      </c>
      <c r="V197">
        <v>-0.16</v>
      </c>
      <c r="W197">
        <v>0</v>
      </c>
      <c r="X197" s="5">
        <f t="shared" si="9"/>
        <v>2.448</v>
      </c>
      <c r="Y197" s="6">
        <f t="shared" si="10"/>
        <v>342195576</v>
      </c>
    </row>
    <row r="198" spans="2:25" x14ac:dyDescent="0.25">
      <c r="B198" t="str">
        <f>Siam_Chart[[#This Row],[Name]]</f>
        <v>DCC</v>
      </c>
      <c r="C198">
        <f>Siam_Chart[[#This Row],[No.]]</f>
        <v>197</v>
      </c>
      <c r="D198">
        <f>Siam_Chart[[#This Row],[Last]]</f>
        <v>1.37</v>
      </c>
      <c r="E198">
        <f>Siam_Chart[[#This Row],[Chg%]]</f>
        <v>0</v>
      </c>
      <c r="F198">
        <f>Siam_Chart[[#This Row],[Volume]]</f>
        <v>181959</v>
      </c>
      <c r="G198">
        <f>Siam_Chart[[#This Row],[Value (k)]]</f>
        <v>249977.05</v>
      </c>
      <c r="H198" cm="1">
        <f t="array" ref="H198:W198">Siam_Chart[[#This Row],[MCap (M)]:[CG]]</f>
        <v>12502087434.42</v>
      </c>
      <c r="I198">
        <v>14.55</v>
      </c>
      <c r="J198">
        <v>1.71</v>
      </c>
      <c r="K198">
        <v>0.45912700000000001</v>
      </c>
      <c r="L198">
        <v>0.02</v>
      </c>
      <c r="M198">
        <v>0.05</v>
      </c>
      <c r="N198">
        <v>10.554057999999999</v>
      </c>
      <c r="O198">
        <v>11.931666999999999</v>
      </c>
      <c r="P198">
        <v>14.953417</v>
      </c>
      <c r="Q198">
        <v>5.84</v>
      </c>
      <c r="R198" t="str">
        <v/>
      </c>
      <c r="S198" t="str">
        <v/>
      </c>
      <c r="T198">
        <v>691</v>
      </c>
      <c r="U198">
        <v>625</v>
      </c>
      <c r="V198">
        <v>-1.1399999999999999</v>
      </c>
      <c r="W198">
        <v>5</v>
      </c>
      <c r="X198" s="5">
        <f t="shared" si="9"/>
        <v>0.80116959064327498</v>
      </c>
      <c r="Y198" s="6">
        <f t="shared" si="10"/>
        <v>9125611266</v>
      </c>
    </row>
    <row r="199" spans="2:25" x14ac:dyDescent="0.25">
      <c r="B199" t="str">
        <f>Siam_Chart[[#This Row],[Name]]</f>
        <v>DCON</v>
      </c>
      <c r="C199">
        <f>Siam_Chart[[#This Row],[No.]]</f>
        <v>198</v>
      </c>
      <c r="D199">
        <f>Siam_Chart[[#This Row],[Last]]</f>
        <v>0.14000000000000001</v>
      </c>
      <c r="E199">
        <f>Siam_Chart[[#This Row],[Chg%]]</f>
        <v>-12.5</v>
      </c>
      <c r="F199">
        <f>Siam_Chart[[#This Row],[Volume]]</f>
        <v>2974301</v>
      </c>
      <c r="G199">
        <f>Siam_Chart[[#This Row],[Value (k)]]</f>
        <v>440723.14</v>
      </c>
      <c r="H199" cm="1">
        <f t="array" ref="H199:W199">Siam_Chart[[#This Row],[MCap (M)]:[CG]]</f>
        <v>754087655.44000006</v>
      </c>
      <c r="I199">
        <v>807951059.39999998</v>
      </c>
      <c r="J199">
        <v>0.33</v>
      </c>
      <c r="K199">
        <v>0.48675600000000002</v>
      </c>
      <c r="L199">
        <v>2.7499999999999998E-3</v>
      </c>
      <c r="M199">
        <v>-7.0000000000000007E-2</v>
      </c>
      <c r="N199">
        <v>-10.620965</v>
      </c>
      <c r="O199">
        <v>-15.196630000000001</v>
      </c>
      <c r="P199">
        <v>-75.639336999999998</v>
      </c>
      <c r="Q199">
        <v>1.96</v>
      </c>
      <c r="R199" t="str">
        <v/>
      </c>
      <c r="S199" t="str">
        <v/>
      </c>
      <c r="T199">
        <v>1330</v>
      </c>
      <c r="U199">
        <v>1298</v>
      </c>
      <c r="V199">
        <v>-2.62</v>
      </c>
      <c r="W199">
        <v>0</v>
      </c>
      <c r="X199" s="5">
        <f t="shared" si="9"/>
        <v>0.42424242424242425</v>
      </c>
      <c r="Y199" s="6">
        <f t="shared" si="10"/>
        <v>5386340396</v>
      </c>
    </row>
    <row r="200" spans="2:25" x14ac:dyDescent="0.25">
      <c r="B200" t="str">
        <f>Siam_Chart[[#This Row],[Name]]</f>
        <v>DDD</v>
      </c>
      <c r="C200">
        <f>Siam_Chart[[#This Row],[No.]]</f>
        <v>199</v>
      </c>
      <c r="D200">
        <f>Siam_Chart[[#This Row],[Last]]</f>
        <v>4.88</v>
      </c>
      <c r="E200">
        <f>Siam_Chart[[#This Row],[Chg%]]</f>
        <v>0</v>
      </c>
      <c r="F200">
        <f>Siam_Chart[[#This Row],[Volume]]</f>
        <v>14200</v>
      </c>
      <c r="G200">
        <f>Siam_Chart[[#This Row],[Value (k)]]</f>
        <v>69478</v>
      </c>
      <c r="H200" cm="1">
        <f t="array" ref="H200:W200">Siam_Chart[[#This Row],[MCap (M)]:[CG]]</f>
        <v>1551291976</v>
      </c>
      <c r="I200">
        <v>1621227270</v>
      </c>
      <c r="J200">
        <v>0.35</v>
      </c>
      <c r="K200">
        <v>6.2331999999999999E-2</v>
      </c>
      <c r="L200">
        <v>0.12</v>
      </c>
      <c r="M200">
        <v>-0.24</v>
      </c>
      <c r="N200">
        <v>-1.2838480000000001</v>
      </c>
      <c r="O200">
        <v>-0.81511800000000001</v>
      </c>
      <c r="P200">
        <v>-15.18032</v>
      </c>
      <c r="Q200">
        <v>3.69</v>
      </c>
      <c r="R200" t="str">
        <v/>
      </c>
      <c r="S200" t="str">
        <v/>
      </c>
      <c r="T200">
        <v>0</v>
      </c>
      <c r="U200">
        <v>0</v>
      </c>
      <c r="V200">
        <v>0</v>
      </c>
      <c r="W200">
        <v>5</v>
      </c>
      <c r="X200" s="5">
        <f t="shared" si="9"/>
        <v>13.942857142857143</v>
      </c>
      <c r="Y200" s="6">
        <f t="shared" si="10"/>
        <v>317887700</v>
      </c>
    </row>
    <row r="201" spans="2:25" x14ac:dyDescent="0.25">
      <c r="B201" t="str">
        <f>Siam_Chart[[#This Row],[Name]]</f>
        <v>DELTA</v>
      </c>
      <c r="C201">
        <f>Siam_Chart[[#This Row],[No.]]</f>
        <v>200</v>
      </c>
      <c r="D201">
        <f>Siam_Chart[[#This Row],[Last]]</f>
        <v>254</v>
      </c>
      <c r="E201">
        <f>Siam_Chart[[#This Row],[Chg%]]</f>
        <v>2.42</v>
      </c>
      <c r="F201">
        <f>Siam_Chart[[#This Row],[Volume]]</f>
        <v>23538552</v>
      </c>
      <c r="G201">
        <f>Siam_Chart[[#This Row],[Value (k)]]</f>
        <v>6067200669</v>
      </c>
      <c r="H201" cm="1">
        <f t="array" ref="H201:W201">Siam_Chart[[#This Row],[MCap (M)]:[CG]]</f>
        <v>3168349299560</v>
      </c>
      <c r="I201">
        <v>106.13</v>
      </c>
      <c r="J201">
        <v>30.06</v>
      </c>
      <c r="K201">
        <v>0.82075900000000002</v>
      </c>
      <c r="L201">
        <v>0.6</v>
      </c>
      <c r="M201">
        <v>1.22</v>
      </c>
      <c r="N201">
        <v>21.631837999999998</v>
      </c>
      <c r="O201">
        <v>31.518339000000001</v>
      </c>
      <c r="P201">
        <v>11.81035</v>
      </c>
      <c r="Q201">
        <v>0.24</v>
      </c>
      <c r="R201" t="str">
        <v/>
      </c>
      <c r="S201" t="str">
        <v/>
      </c>
      <c r="T201">
        <v>708</v>
      </c>
      <c r="U201">
        <v>698</v>
      </c>
      <c r="V201">
        <v>2.46</v>
      </c>
      <c r="W201">
        <v>5</v>
      </c>
      <c r="X201" s="5">
        <f t="shared" si="9"/>
        <v>8.4497671324018633</v>
      </c>
      <c r="Y201" s="6">
        <f t="shared" si="10"/>
        <v>12473816140</v>
      </c>
    </row>
    <row r="202" spans="2:25" x14ac:dyDescent="0.25">
      <c r="B202" t="str">
        <f>Siam_Chart[[#This Row],[Name]]</f>
        <v>DEMCO</v>
      </c>
      <c r="C202">
        <f>Siam_Chart[[#This Row],[No.]]</f>
        <v>201</v>
      </c>
      <c r="D202">
        <f>Siam_Chart[[#This Row],[Last]]</f>
        <v>3.58</v>
      </c>
      <c r="E202">
        <f>Siam_Chart[[#This Row],[Chg%]]</f>
        <v>6.55</v>
      </c>
      <c r="F202">
        <f>Siam_Chart[[#This Row],[Volume]]</f>
        <v>713985</v>
      </c>
      <c r="G202">
        <f>Siam_Chart[[#This Row],[Value (k)]]</f>
        <v>2500231.4</v>
      </c>
      <c r="H202" cm="1">
        <f t="array" ref="H202:W202">Siam_Chart[[#This Row],[MCap (M)]:[CG]]</f>
        <v>2698468976.7199998</v>
      </c>
      <c r="I202">
        <v>53.75</v>
      </c>
      <c r="J202">
        <v>0.74</v>
      </c>
      <c r="K202">
        <v>0.66562500000000002</v>
      </c>
      <c r="L202">
        <v>0.03</v>
      </c>
      <c r="M202">
        <v>0.04</v>
      </c>
      <c r="N202">
        <v>1.1547320000000001</v>
      </c>
      <c r="O202">
        <v>1.373243</v>
      </c>
      <c r="P202">
        <v>3.096241</v>
      </c>
      <c r="Q202">
        <v>0.68</v>
      </c>
      <c r="R202" t="str">
        <v/>
      </c>
      <c r="S202" t="str">
        <v/>
      </c>
      <c r="T202">
        <v>1272</v>
      </c>
      <c r="U202">
        <v>1311</v>
      </c>
      <c r="V202">
        <v>-1.52</v>
      </c>
      <c r="W202">
        <v>5</v>
      </c>
      <c r="X202" s="5">
        <f t="shared" si="9"/>
        <v>4.8378378378378377</v>
      </c>
      <c r="Y202" s="6">
        <f t="shared" si="10"/>
        <v>753762283.99999988</v>
      </c>
    </row>
    <row r="203" spans="2:25" x14ac:dyDescent="0.25">
      <c r="B203" t="str">
        <f>Siam_Chart[[#This Row],[Name]]</f>
        <v>DEXON</v>
      </c>
      <c r="C203">
        <f>Siam_Chart[[#This Row],[No.]]</f>
        <v>202</v>
      </c>
      <c r="D203">
        <f>Siam_Chart[[#This Row],[Last]]</f>
        <v>0.97</v>
      </c>
      <c r="E203">
        <f>Siam_Chart[[#This Row],[Chg%]]</f>
        <v>-1.02</v>
      </c>
      <c r="F203">
        <f>Siam_Chart[[#This Row],[Volume]]</f>
        <v>1610</v>
      </c>
      <c r="G203">
        <f>Siam_Chart[[#This Row],[Value (k)]]</f>
        <v>1559.8</v>
      </c>
      <c r="H203" cm="1">
        <f t="array" ref="H203:W203">Siam_Chart[[#This Row],[MCap (M)]:[CG]]</f>
        <v>462205000</v>
      </c>
      <c r="I203">
        <v>443145000</v>
      </c>
      <c r="J203">
        <v>0.75</v>
      </c>
      <c r="K203">
        <v>0.48859200000000003</v>
      </c>
      <c r="L203">
        <v>0.06</v>
      </c>
      <c r="M203">
        <v>-0.08</v>
      </c>
      <c r="N203">
        <v>-3.8586070000000001</v>
      </c>
      <c r="O203">
        <v>-6.9525309999999996</v>
      </c>
      <c r="P203">
        <v>-10.59271</v>
      </c>
      <c r="Q203">
        <v>0.71</v>
      </c>
      <c r="R203" t="str">
        <v/>
      </c>
      <c r="S203" t="str">
        <v/>
      </c>
      <c r="T203">
        <v>0</v>
      </c>
      <c r="U203">
        <v>0</v>
      </c>
      <c r="V203">
        <v>0</v>
      </c>
      <c r="W203">
        <v>4</v>
      </c>
      <c r="X203" s="5">
        <f t="shared" si="9"/>
        <v>1.2933333333333332</v>
      </c>
      <c r="Y203" s="6">
        <f t="shared" si="10"/>
        <v>476500000</v>
      </c>
    </row>
    <row r="204" spans="2:25" x14ac:dyDescent="0.25">
      <c r="B204" t="str">
        <f>Siam_Chart[[#This Row],[Name]]</f>
        <v>DHOUSE</v>
      </c>
      <c r="C204">
        <f>Siam_Chart[[#This Row],[No.]]</f>
        <v>203</v>
      </c>
      <c r="D204">
        <f>Siam_Chart[[#This Row],[Last]]</f>
        <v>0.28000000000000003</v>
      </c>
      <c r="E204">
        <f>Siam_Chart[[#This Row],[Chg%]]</f>
        <v>0</v>
      </c>
      <c r="F204">
        <f>Siam_Chart[[#This Row],[Volume]]</f>
        <v>46800</v>
      </c>
      <c r="G204">
        <f>Siam_Chart[[#This Row],[Value (k)]]</f>
        <v>12412</v>
      </c>
      <c r="H204" cm="1">
        <f t="array" ref="H204:W204">Siam_Chart[[#This Row],[MCap (M)]:[CG]]</f>
        <v>253866664.80000001</v>
      </c>
      <c r="I204">
        <v>253866664.80000001</v>
      </c>
      <c r="J204">
        <v>0.61</v>
      </c>
      <c r="K204">
        <v>1.016543</v>
      </c>
      <c r="L204">
        <v>0.03</v>
      </c>
      <c r="M204">
        <v>-0.02</v>
      </c>
      <c r="N204">
        <v>-0.65541899999999997</v>
      </c>
      <c r="O204">
        <v>-7.4227850000000002</v>
      </c>
      <c r="P204">
        <v>-21.403829000000002</v>
      </c>
      <c r="Q204">
        <v>0.61</v>
      </c>
      <c r="R204" t="str">
        <v/>
      </c>
      <c r="S204" t="str">
        <v/>
      </c>
      <c r="T204">
        <v>0</v>
      </c>
      <c r="U204">
        <v>0</v>
      </c>
      <c r="V204">
        <v>0</v>
      </c>
      <c r="W204">
        <v>0</v>
      </c>
      <c r="X204" s="5">
        <f t="shared" si="9"/>
        <v>0.45901639344262302</v>
      </c>
      <c r="Y204" s="6">
        <f t="shared" si="10"/>
        <v>906666660</v>
      </c>
    </row>
    <row r="205" spans="2:25" x14ac:dyDescent="0.25">
      <c r="B205" t="str">
        <f>Siam_Chart[[#This Row],[Name]]</f>
        <v>DIMET</v>
      </c>
      <c r="C205">
        <f>Siam_Chart[[#This Row],[No.]]</f>
        <v>204</v>
      </c>
      <c r="D205">
        <f>Siam_Chart[[#This Row],[Last]]</f>
        <v>0.06</v>
      </c>
      <c r="E205">
        <f>Siam_Chart[[#This Row],[Chg%]]</f>
        <v>0</v>
      </c>
      <c r="F205">
        <f>Siam_Chart[[#This Row],[Volume]]</f>
        <v>211000</v>
      </c>
      <c r="G205">
        <f>Siam_Chart[[#This Row],[Value (k)]]</f>
        <v>12660</v>
      </c>
      <c r="H205" cm="1">
        <f t="array" ref="H205:W205">Siam_Chart[[#This Row],[MCap (M)]:[CG]]</f>
        <v>161460148.13999999</v>
      </c>
      <c r="I205">
        <v>161460148.13999999</v>
      </c>
      <c r="J205">
        <v>1.18</v>
      </c>
      <c r="K205">
        <v>1.161754</v>
      </c>
      <c r="L205">
        <v>0</v>
      </c>
      <c r="M205">
        <v>-3.045604213384884</v>
      </c>
      <c r="N205">
        <v>-3.045604</v>
      </c>
      <c r="O205">
        <v>-10.98049</v>
      </c>
      <c r="P205">
        <v>-9.1248889999999996</v>
      </c>
      <c r="Q205">
        <v>1.18</v>
      </c>
      <c r="R205" t="str">
        <v/>
      </c>
      <c r="S205" t="str">
        <v/>
      </c>
      <c r="T205">
        <v>0</v>
      </c>
      <c r="U205">
        <v>0</v>
      </c>
      <c r="V205">
        <v>0</v>
      </c>
      <c r="W205">
        <v>3</v>
      </c>
      <c r="X205" s="5">
        <f t="shared" si="9"/>
        <v>5.0847457627118647E-2</v>
      </c>
      <c r="Y205" s="6">
        <f t="shared" si="10"/>
        <v>2691002469</v>
      </c>
    </row>
    <row r="206" spans="2:25" x14ac:dyDescent="0.25">
      <c r="B206" t="str">
        <f>Siam_Chart[[#This Row],[Name]]</f>
        <v>DITTO</v>
      </c>
      <c r="C206">
        <f>Siam_Chart[[#This Row],[No.]]</f>
        <v>205</v>
      </c>
      <c r="D206">
        <f>Siam_Chart[[#This Row],[Last]]</f>
        <v>14.3</v>
      </c>
      <c r="E206">
        <f>Siam_Chart[[#This Row],[Chg%]]</f>
        <v>-1.38</v>
      </c>
      <c r="F206">
        <f>Siam_Chart[[#This Row],[Volume]]</f>
        <v>865322</v>
      </c>
      <c r="G206">
        <f>Siam_Chart[[#This Row],[Value (k)]]</f>
        <v>12499935.699999999</v>
      </c>
      <c r="H206" cm="1">
        <f t="array" ref="H206:W206">Siam_Chart[[#This Row],[MCap (M)]:[CG]]</f>
        <v>9922964465.7000008</v>
      </c>
      <c r="I206">
        <v>15.66</v>
      </c>
      <c r="J206">
        <v>2.4900000000000002</v>
      </c>
      <c r="K206">
        <v>0.37168200000000001</v>
      </c>
      <c r="L206">
        <v>0.25</v>
      </c>
      <c r="M206">
        <v>0.5</v>
      </c>
      <c r="N206">
        <v>14.815369</v>
      </c>
      <c r="O206">
        <v>16.524314</v>
      </c>
      <c r="P206">
        <v>17.604312</v>
      </c>
      <c r="Q206">
        <v>3.5</v>
      </c>
      <c r="R206" t="str">
        <v/>
      </c>
      <c r="S206" t="str">
        <v/>
      </c>
      <c r="T206">
        <v>615</v>
      </c>
      <c r="U206">
        <v>553</v>
      </c>
      <c r="V206">
        <v>0.51</v>
      </c>
      <c r="W206">
        <v>5</v>
      </c>
      <c r="X206" s="5">
        <f t="shared" si="9"/>
        <v>5.7429718875502003</v>
      </c>
      <c r="Y206" s="6">
        <f t="shared" si="10"/>
        <v>693913599</v>
      </c>
    </row>
    <row r="207" spans="2:25" x14ac:dyDescent="0.25">
      <c r="B207" t="str">
        <f>Siam_Chart[[#This Row],[Name]]</f>
        <v>DMT</v>
      </c>
      <c r="C207">
        <f>Siam_Chart[[#This Row],[No.]]</f>
        <v>206</v>
      </c>
      <c r="D207">
        <f>Siam_Chart[[#This Row],[Last]]</f>
        <v>12.2</v>
      </c>
      <c r="E207">
        <f>Siam_Chart[[#This Row],[Chg%]]</f>
        <v>-0.81</v>
      </c>
      <c r="F207">
        <f>Siam_Chart[[#This Row],[Volume]]</f>
        <v>87860</v>
      </c>
      <c r="G207">
        <f>Siam_Chart[[#This Row],[Value (k)]]</f>
        <v>1076308.8999999999</v>
      </c>
      <c r="H207" cm="1">
        <f t="array" ref="H207:W207">Siam_Chart[[#This Row],[MCap (M)]:[CG]]</f>
        <v>14411040160</v>
      </c>
      <c r="I207">
        <v>13.29</v>
      </c>
      <c r="J207">
        <v>1.69</v>
      </c>
      <c r="K207">
        <v>8.3713999999999997E-2</v>
      </c>
      <c r="L207">
        <v>0.223</v>
      </c>
      <c r="M207">
        <v>0.44</v>
      </c>
      <c r="N207">
        <v>14.809334</v>
      </c>
      <c r="O207">
        <v>12.766031</v>
      </c>
      <c r="P207">
        <v>39.783402000000002</v>
      </c>
      <c r="Q207">
        <v>7.21</v>
      </c>
      <c r="R207" t="str">
        <v/>
      </c>
      <c r="S207" t="str">
        <v/>
      </c>
      <c r="T207">
        <v>597</v>
      </c>
      <c r="U207">
        <v>473</v>
      </c>
      <c r="V207">
        <v>0.41</v>
      </c>
      <c r="W207">
        <v>5</v>
      </c>
      <c r="X207" s="5">
        <f t="shared" si="9"/>
        <v>7.2189349112426031</v>
      </c>
      <c r="Y207" s="6">
        <f t="shared" si="10"/>
        <v>1181232800</v>
      </c>
    </row>
    <row r="208" spans="2:25" x14ac:dyDescent="0.25">
      <c r="B208" t="str">
        <f>Siam_Chart[[#This Row],[Name]]</f>
        <v>DOD</v>
      </c>
      <c r="C208">
        <f>Siam_Chart[[#This Row],[No.]]</f>
        <v>207</v>
      </c>
      <c r="D208">
        <f>Siam_Chart[[#This Row],[Last]]</f>
        <v>1.1200000000000001</v>
      </c>
      <c r="E208">
        <f>Siam_Chart[[#This Row],[Chg%]]</f>
        <v>-1.75</v>
      </c>
      <c r="F208">
        <f>Siam_Chart[[#This Row],[Volume]]</f>
        <v>204002</v>
      </c>
      <c r="G208">
        <f>Siam_Chart[[#This Row],[Value (k)]]</f>
        <v>228255.2</v>
      </c>
      <c r="H208" cm="1">
        <f t="array" ref="H208:W208">Siam_Chart[[#This Row],[MCap (M)]:[CG]]</f>
        <v>504463999.19999999</v>
      </c>
      <c r="I208">
        <v>270.08999999999997</v>
      </c>
      <c r="J208">
        <v>0.55000000000000004</v>
      </c>
      <c r="K208">
        <v>0.226075</v>
      </c>
      <c r="L208">
        <v>0.05</v>
      </c>
      <c r="M208">
        <v>-0.05</v>
      </c>
      <c r="N208">
        <v>-0.126827</v>
      </c>
      <c r="O208">
        <v>0.20156499999999999</v>
      </c>
      <c r="P208">
        <v>-8.0270419999999998</v>
      </c>
      <c r="Q208">
        <v>4.46</v>
      </c>
      <c r="R208" t="str">
        <v/>
      </c>
      <c r="S208" t="str">
        <v/>
      </c>
      <c r="T208">
        <v>1298</v>
      </c>
      <c r="U208">
        <v>1351</v>
      </c>
      <c r="V208">
        <v>-0.05</v>
      </c>
      <c r="W208">
        <v>3</v>
      </c>
      <c r="X208" s="5">
        <f t="shared" si="9"/>
        <v>2.0363636363636366</v>
      </c>
      <c r="Y208" s="6">
        <f t="shared" si="10"/>
        <v>450414284.99999994</v>
      </c>
    </row>
    <row r="209" spans="2:25" x14ac:dyDescent="0.25">
      <c r="B209" t="str">
        <f>Siam_Chart[[#This Row],[Name]]</f>
        <v>DOHOME</v>
      </c>
      <c r="C209">
        <f>Siam_Chart[[#This Row],[No.]]</f>
        <v>208</v>
      </c>
      <c r="D209">
        <f>Siam_Chart[[#This Row],[Last]]</f>
        <v>3.62</v>
      </c>
      <c r="E209">
        <f>Siam_Chart[[#This Row],[Chg%]]</f>
        <v>-1.0900000000000001</v>
      </c>
      <c r="F209">
        <f>Siam_Chart[[#This Row],[Volume]]</f>
        <v>6864089</v>
      </c>
      <c r="G209">
        <f>Siam_Chart[[#This Row],[Value (k)]]</f>
        <v>24971056.100000001</v>
      </c>
      <c r="H209" cm="1">
        <f t="array" ref="H209:W209">Siam_Chart[[#This Row],[MCap (M)]:[CG]]</f>
        <v>12737356225.040001</v>
      </c>
      <c r="I209">
        <v>16.87</v>
      </c>
      <c r="J209">
        <v>0.91</v>
      </c>
      <c r="K209">
        <v>1.4928509999999999</v>
      </c>
      <c r="L209">
        <v>4.444E-3</v>
      </c>
      <c r="M209">
        <v>0.16</v>
      </c>
      <c r="N209">
        <v>3.6944819999999998</v>
      </c>
      <c r="O209">
        <v>5.5582380000000002</v>
      </c>
      <c r="P209">
        <v>3.4717530000000001</v>
      </c>
      <c r="Q209">
        <v>0.12</v>
      </c>
      <c r="R209" t="str">
        <v/>
      </c>
      <c r="S209" t="str">
        <v/>
      </c>
      <c r="T209">
        <v>1103</v>
      </c>
      <c r="U209">
        <v>1122</v>
      </c>
      <c r="V209">
        <v>-1.18</v>
      </c>
      <c r="W209">
        <v>5</v>
      </c>
      <c r="X209" s="5">
        <f t="shared" si="9"/>
        <v>3.9780219780219781</v>
      </c>
      <c r="Y209" s="6">
        <f t="shared" si="10"/>
        <v>3518606692</v>
      </c>
    </row>
    <row r="210" spans="2:25" x14ac:dyDescent="0.25">
      <c r="B210" t="str">
        <f>Siam_Chart[[#This Row],[Name]]</f>
        <v>DPAINT</v>
      </c>
      <c r="C210">
        <f>Siam_Chart[[#This Row],[No.]]</f>
        <v>209</v>
      </c>
      <c r="D210">
        <f>Siam_Chart[[#This Row],[Last]]</f>
        <v>0.23</v>
      </c>
      <c r="E210">
        <f>Siam_Chart[[#This Row],[Chg%]]</f>
        <v>0</v>
      </c>
      <c r="F210">
        <f>Siam_Chart[[#This Row],[Volume]]</f>
        <v>650840</v>
      </c>
      <c r="G210">
        <f>Siam_Chart[[#This Row],[Value (k)]]</f>
        <v>148782.79999999999</v>
      </c>
      <c r="H210" cm="1">
        <f t="array" ref="H210:W210">Siam_Chart[[#This Row],[MCap (M)]:[CG]]</f>
        <v>52900000</v>
      </c>
      <c r="I210">
        <v>50600000</v>
      </c>
      <c r="J210">
        <v>1.24</v>
      </c>
      <c r="K210">
        <v>1.027212</v>
      </c>
      <c r="L210">
        <v>0.16200000000000001</v>
      </c>
      <c r="M210">
        <v>-0.09</v>
      </c>
      <c r="N210">
        <v>-5.2727870000000001</v>
      </c>
      <c r="O210">
        <v>-12.240308000000001</v>
      </c>
      <c r="P210">
        <v>-7.5938689999999998</v>
      </c>
      <c r="Q210">
        <v>1.18</v>
      </c>
      <c r="R210" t="str">
        <v/>
      </c>
      <c r="S210" t="str">
        <v/>
      </c>
      <c r="T210">
        <v>0</v>
      </c>
      <c r="U210">
        <v>0</v>
      </c>
      <c r="V210">
        <v>0</v>
      </c>
      <c r="W210">
        <v>3</v>
      </c>
      <c r="X210" s="5">
        <f t="shared" si="9"/>
        <v>0.18548387096774194</v>
      </c>
      <c r="Y210" s="6">
        <f t="shared" si="10"/>
        <v>230000000</v>
      </c>
    </row>
    <row r="211" spans="2:25" x14ac:dyDescent="0.25">
      <c r="B211" t="str">
        <f>Siam_Chart[[#This Row],[Name]]</f>
        <v>DRT</v>
      </c>
      <c r="C211">
        <f>Siam_Chart[[#This Row],[No.]]</f>
        <v>210</v>
      </c>
      <c r="D211">
        <f>Siam_Chart[[#This Row],[Last]]</f>
        <v>5.55</v>
      </c>
      <c r="E211">
        <f>Siam_Chart[[#This Row],[Chg%]]</f>
        <v>0</v>
      </c>
      <c r="F211">
        <f>Siam_Chart[[#This Row],[Volume]]</f>
        <v>298379</v>
      </c>
      <c r="G211">
        <f>Siam_Chart[[#This Row],[Value (k)]]</f>
        <v>1655397.45</v>
      </c>
      <c r="H211" cm="1">
        <f t="array" ref="H211:W211">Siam_Chart[[#This Row],[MCap (M)]:[CG]]</f>
        <v>4745433705</v>
      </c>
      <c r="I211">
        <v>11.41</v>
      </c>
      <c r="J211">
        <v>1.85</v>
      </c>
      <c r="K211">
        <v>0.57580399999999998</v>
      </c>
      <c r="L211">
        <v>0.14000000000000001</v>
      </c>
      <c r="M211">
        <v>0.34</v>
      </c>
      <c r="N211">
        <v>11.836734</v>
      </c>
      <c r="O211">
        <v>16.703334000000002</v>
      </c>
      <c r="P211">
        <v>11.071733999999999</v>
      </c>
      <c r="Q211">
        <v>5.77</v>
      </c>
      <c r="R211" t="str">
        <v/>
      </c>
      <c r="S211" t="str">
        <v/>
      </c>
      <c r="T211">
        <v>525</v>
      </c>
      <c r="U211">
        <v>526</v>
      </c>
      <c r="V211">
        <v>-1.04</v>
      </c>
      <c r="W211">
        <v>5</v>
      </c>
      <c r="X211" s="5">
        <f t="shared" si="9"/>
        <v>2.9999999999999996</v>
      </c>
      <c r="Y211" s="6">
        <f t="shared" si="10"/>
        <v>855033100</v>
      </c>
    </row>
    <row r="212" spans="2:25" x14ac:dyDescent="0.25">
      <c r="B212" t="str">
        <f>Siam_Chart[[#This Row],[Name]]</f>
        <v>DTCENT</v>
      </c>
      <c r="C212">
        <f>Siam_Chart[[#This Row],[No.]]</f>
        <v>211</v>
      </c>
      <c r="D212">
        <f>Siam_Chart[[#This Row],[Last]]</f>
        <v>0.98</v>
      </c>
      <c r="E212">
        <f>Siam_Chart[[#This Row],[Chg%]]</f>
        <v>4.26</v>
      </c>
      <c r="F212">
        <f>Siam_Chart[[#This Row],[Volume]]</f>
        <v>19111952</v>
      </c>
      <c r="G212">
        <f>Siam_Chart[[#This Row],[Value (k)]]</f>
        <v>18590870.109999999</v>
      </c>
      <c r="H212" cm="1">
        <f t="array" ref="H212:W212">Siam_Chart[[#This Row],[MCap (M)]:[CG]]</f>
        <v>1289458878.6800001</v>
      </c>
      <c r="I212">
        <v>12.72</v>
      </c>
      <c r="J212">
        <v>0.84</v>
      </c>
      <c r="K212">
        <v>0.15691099999999999</v>
      </c>
      <c r="L212">
        <v>6.08E-2</v>
      </c>
      <c r="M212">
        <v>0.04</v>
      </c>
      <c r="N212">
        <v>7.5102580000000003</v>
      </c>
      <c r="O212">
        <v>6.6431950000000004</v>
      </c>
      <c r="P212">
        <v>14.249435999999999</v>
      </c>
      <c r="Q212">
        <v>6.2</v>
      </c>
      <c r="R212" t="str">
        <v/>
      </c>
      <c r="S212" t="str">
        <v/>
      </c>
      <c r="T212">
        <v>808</v>
      </c>
      <c r="U212">
        <v>641</v>
      </c>
      <c r="V212">
        <v>0.41</v>
      </c>
      <c r="W212">
        <v>4</v>
      </c>
      <c r="X212" s="5">
        <f t="shared" si="9"/>
        <v>1.1666666666666667</v>
      </c>
      <c r="Y212" s="6">
        <f t="shared" si="10"/>
        <v>1315774366</v>
      </c>
    </row>
    <row r="213" spans="2:25" x14ac:dyDescent="0.25">
      <c r="B213" t="str">
        <f>Siam_Chart[[#This Row],[Name]]</f>
        <v>DTCI</v>
      </c>
      <c r="C213">
        <f>Siam_Chart[[#This Row],[No.]]</f>
        <v>212</v>
      </c>
      <c r="D213">
        <f>Siam_Chart[[#This Row],[Last]]</f>
        <v>2026</v>
      </c>
      <c r="E213">
        <f>Siam_Chart[[#This Row],[Chg%]]</f>
        <v>-12.307692307692301</v>
      </c>
      <c r="F213">
        <f>Siam_Chart[[#This Row],[Volume]]</f>
        <v>72905</v>
      </c>
      <c r="G213">
        <f>Siam_Chart[[#This Row],[Value (k)]]</f>
        <v>1450.4295</v>
      </c>
      <c r="H213" cm="1">
        <f t="array" ref="H213:W213">Siam_Chart[[#This Row],[MCap (M)]:[CG]]</f>
        <v>171000000</v>
      </c>
      <c r="I213">
        <v>171000000</v>
      </c>
      <c r="J213">
        <v>0.46</v>
      </c>
      <c r="K213">
        <v>0.15054100000000001</v>
      </c>
      <c r="L213">
        <v>0.25</v>
      </c>
      <c r="M213">
        <v>-0.59</v>
      </c>
      <c r="N213">
        <v>-2.24729</v>
      </c>
      <c r="O213">
        <v>-2.5174020000000001</v>
      </c>
      <c r="P213">
        <v>-10.320753</v>
      </c>
      <c r="Q213">
        <v>1.46</v>
      </c>
      <c r="R213" t="str">
        <v/>
      </c>
      <c r="S213" t="str">
        <v/>
      </c>
      <c r="T213">
        <v>0</v>
      </c>
      <c r="U213">
        <v>0</v>
      </c>
      <c r="V213">
        <v>0</v>
      </c>
      <c r="W213">
        <v>0</v>
      </c>
      <c r="X213" s="5">
        <f t="shared" si="9"/>
        <v>4404.347826086956</v>
      </c>
      <c r="Y213" s="6">
        <f t="shared" si="10"/>
        <v>84402.76406712734</v>
      </c>
    </row>
    <row r="214" spans="2:25" x14ac:dyDescent="0.25">
      <c r="B214" t="str">
        <f>Siam_Chart[[#This Row],[Name]]</f>
        <v>DUSIT</v>
      </c>
      <c r="C214">
        <f>Siam_Chart[[#This Row],[No.]]</f>
        <v>213</v>
      </c>
      <c r="D214">
        <f>Siam_Chart[[#This Row],[Last]]</f>
        <v>11.1</v>
      </c>
      <c r="E214">
        <f>Siam_Chart[[#This Row],[Chg%]]</f>
        <v>-0.89</v>
      </c>
      <c r="F214">
        <f>Siam_Chart[[#This Row],[Volume]]</f>
        <v>28241</v>
      </c>
      <c r="G214">
        <f>Siam_Chart[[#This Row],[Value (k)]]</f>
        <v>314485.3</v>
      </c>
      <c r="H214" cm="1">
        <f t="array" ref="H214:W214">Siam_Chart[[#This Row],[MCap (M)]:[CG]]</f>
        <v>9435000000</v>
      </c>
      <c r="I214">
        <v>69.260000000000005</v>
      </c>
      <c r="J214">
        <v>1.31</v>
      </c>
      <c r="K214">
        <v>3.690137</v>
      </c>
      <c r="L214">
        <v>0.34</v>
      </c>
      <c r="M214">
        <v>0.34</v>
      </c>
      <c r="N214">
        <v>3.4082810000000001</v>
      </c>
      <c r="O214">
        <v>1.936267</v>
      </c>
      <c r="P214">
        <v>7.3249409999999999</v>
      </c>
      <c r="Q214">
        <v>1.33</v>
      </c>
      <c r="R214" t="str">
        <v/>
      </c>
      <c r="S214" t="str">
        <v/>
      </c>
      <c r="T214">
        <v>0</v>
      </c>
      <c r="U214">
        <v>0</v>
      </c>
      <c r="V214">
        <v>0</v>
      </c>
      <c r="W214">
        <v>5</v>
      </c>
      <c r="X214" s="5">
        <f t="shared" si="9"/>
        <v>8.4732824427480917</v>
      </c>
      <c r="Y214" s="6">
        <f t="shared" si="10"/>
        <v>850000000</v>
      </c>
    </row>
    <row r="215" spans="2:25" x14ac:dyDescent="0.25">
      <c r="B215" t="str">
        <f>Siam_Chart[[#This Row],[Name]]</f>
        <v>EA</v>
      </c>
      <c r="C215">
        <f>Siam_Chart[[#This Row],[No.]]</f>
        <v>214</v>
      </c>
      <c r="D215">
        <f>Siam_Chart[[#This Row],[Last]]</f>
        <v>2.9</v>
      </c>
      <c r="E215">
        <f>Siam_Chart[[#This Row],[Chg%]]</f>
        <v>-0.68</v>
      </c>
      <c r="F215">
        <f>Siam_Chart[[#This Row],[Volume]]</f>
        <v>19990445</v>
      </c>
      <c r="G215">
        <f>Siam_Chart[[#This Row],[Value (k)]]</f>
        <v>58039506.119999997</v>
      </c>
      <c r="H215" cm="1">
        <f t="array" ref="H215:W215">Siam_Chart[[#This Row],[MCap (M)]:[CG]]</f>
        <v>21537722337.400002</v>
      </c>
      <c r="I215">
        <v>21983330385.759998</v>
      </c>
      <c r="J215">
        <v>0.65</v>
      </c>
      <c r="K215">
        <v>1.6062920000000001</v>
      </c>
      <c r="L215">
        <v>0.3</v>
      </c>
      <c r="M215">
        <v>0.01</v>
      </c>
      <c r="N215">
        <v>-3.6381950000000001</v>
      </c>
      <c r="O215">
        <v>-12.099114</v>
      </c>
      <c r="P215">
        <v>-5.1656079999999998</v>
      </c>
      <c r="Q215">
        <v>0.66</v>
      </c>
      <c r="R215" t="str">
        <v/>
      </c>
      <c r="S215" t="str">
        <v/>
      </c>
      <c r="T215">
        <v>0</v>
      </c>
      <c r="U215">
        <v>0</v>
      </c>
      <c r="V215">
        <v>0</v>
      </c>
      <c r="W215">
        <v>3</v>
      </c>
      <c r="X215" s="5">
        <f t="shared" si="9"/>
        <v>4.4615384615384617</v>
      </c>
      <c r="Y215" s="6">
        <f t="shared" si="10"/>
        <v>7426800806.000001</v>
      </c>
    </row>
    <row r="216" spans="2:25" x14ac:dyDescent="0.25">
      <c r="B216" t="str">
        <f>Siam_Chart[[#This Row],[Name]]</f>
        <v>EASON</v>
      </c>
      <c r="C216">
        <f>Siam_Chart[[#This Row],[No.]]</f>
        <v>215</v>
      </c>
      <c r="D216">
        <f>Siam_Chart[[#This Row],[Last]]</f>
        <v>1.25</v>
      </c>
      <c r="E216">
        <f>Siam_Chart[[#This Row],[Chg%]]</f>
        <v>-0.79</v>
      </c>
      <c r="F216">
        <f>Siam_Chart[[#This Row],[Volume]]</f>
        <v>103900</v>
      </c>
      <c r="G216">
        <f>Siam_Chart[[#This Row],[Value (k)]]</f>
        <v>130359</v>
      </c>
      <c r="H216" cm="1">
        <f t="array" ref="H216:W216">Siam_Chart[[#This Row],[MCap (M)]:[CG]]</f>
        <v>708456181.25</v>
      </c>
      <c r="I216">
        <v>6.42</v>
      </c>
      <c r="J216">
        <v>0.73</v>
      </c>
      <c r="K216">
        <v>0.257492</v>
      </c>
      <c r="L216">
        <v>0.08</v>
      </c>
      <c r="M216">
        <v>0.09</v>
      </c>
      <c r="N216">
        <v>11.094803000000001</v>
      </c>
      <c r="O216">
        <v>11.521689</v>
      </c>
      <c r="P216">
        <v>13.201281</v>
      </c>
      <c r="Q216">
        <v>6.4</v>
      </c>
      <c r="R216" t="str">
        <v/>
      </c>
      <c r="S216" t="str">
        <v/>
      </c>
      <c r="T216">
        <v>393</v>
      </c>
      <c r="U216">
        <v>284</v>
      </c>
      <c r="V216">
        <v>-0.26</v>
      </c>
      <c r="W216">
        <v>3</v>
      </c>
      <c r="X216" s="5">
        <f t="shared" si="9"/>
        <v>1.7123287671232876</v>
      </c>
      <c r="Y216" s="6">
        <f t="shared" si="10"/>
        <v>566764945</v>
      </c>
    </row>
    <row r="217" spans="2:25" x14ac:dyDescent="0.25">
      <c r="B217" t="str">
        <f>Siam_Chart[[#This Row],[Name]]</f>
        <v>EAST</v>
      </c>
      <c r="C217">
        <f>Siam_Chart[[#This Row],[No.]]</f>
        <v>216</v>
      </c>
      <c r="D217">
        <f>Siam_Chart[[#This Row],[Last]]</f>
        <v>0.84</v>
      </c>
      <c r="E217">
        <f>Siam_Chart[[#This Row],[Chg%]]</f>
        <v>-1.18</v>
      </c>
      <c r="F217">
        <f>Siam_Chart[[#This Row],[Volume]]</f>
        <v>2314800</v>
      </c>
      <c r="G217">
        <f>Siam_Chart[[#This Row],[Value (k)]]</f>
        <v>1953419</v>
      </c>
      <c r="H217" cm="1">
        <f t="array" ref="H217:W217">Siam_Chart[[#This Row],[MCap (M)]:[CG]]</f>
        <v>1398146871.24</v>
      </c>
      <c r="I217">
        <v>7.79</v>
      </c>
      <c r="J217">
        <v>0.49</v>
      </c>
      <c r="K217">
        <v>1.065123</v>
      </c>
      <c r="L217">
        <v>0.02</v>
      </c>
      <c r="M217">
        <v>0.05</v>
      </c>
      <c r="N217">
        <v>6.4080240000000002</v>
      </c>
      <c r="O217">
        <v>6.4853889999999996</v>
      </c>
      <c r="P217">
        <v>19.917725000000001</v>
      </c>
      <c r="Q217">
        <v>2.38</v>
      </c>
      <c r="R217" t="str">
        <v/>
      </c>
      <c r="S217" t="str">
        <v/>
      </c>
      <c r="T217">
        <v>615</v>
      </c>
      <c r="U217">
        <v>705</v>
      </c>
      <c r="V217">
        <v>0.93</v>
      </c>
      <c r="W217">
        <v>4</v>
      </c>
      <c r="X217" s="5">
        <f t="shared" si="9"/>
        <v>1.7142857142857142</v>
      </c>
      <c r="Y217" s="6">
        <f t="shared" si="10"/>
        <v>1664460561</v>
      </c>
    </row>
    <row r="218" spans="2:25" x14ac:dyDescent="0.25">
      <c r="B218" t="str">
        <f>Siam_Chart[[#This Row],[Name]]</f>
        <v>EASTW</v>
      </c>
      <c r="C218">
        <f>Siam_Chart[[#This Row],[No.]]</f>
        <v>217</v>
      </c>
      <c r="D218">
        <f>Siam_Chart[[#This Row],[Last]]</f>
        <v>5</v>
      </c>
      <c r="E218">
        <f>Siam_Chart[[#This Row],[Chg%]]</f>
        <v>-0.99</v>
      </c>
      <c r="F218">
        <f>Siam_Chart[[#This Row],[Volume]]</f>
        <v>1600491</v>
      </c>
      <c r="G218">
        <f>Siam_Chart[[#This Row],[Value (k)]]</f>
        <v>8039792.3799999999</v>
      </c>
      <c r="H218" cm="1">
        <f t="array" ref="H218:W218">Siam_Chart[[#This Row],[MCap (M)]:[CG]]</f>
        <v>8318625745</v>
      </c>
      <c r="I218">
        <v>68.06</v>
      </c>
      <c r="J218">
        <v>0.72</v>
      </c>
      <c r="K218">
        <v>1.374115</v>
      </c>
      <c r="L218">
        <v>0.01</v>
      </c>
      <c r="M218">
        <v>7.0000000000000007E-2</v>
      </c>
      <c r="N218">
        <v>2.3166380000000002</v>
      </c>
      <c r="O218">
        <v>1.065043</v>
      </c>
      <c r="P218">
        <v>6.7870280000000003</v>
      </c>
      <c r="Q218">
        <v>0.2</v>
      </c>
      <c r="R218" t="str">
        <v/>
      </c>
      <c r="S218" t="str">
        <v/>
      </c>
      <c r="T218">
        <v>1356</v>
      </c>
      <c r="U218">
        <v>1298</v>
      </c>
      <c r="V218">
        <v>-2.34</v>
      </c>
      <c r="W218">
        <v>5</v>
      </c>
      <c r="X218" s="5">
        <f t="shared" si="9"/>
        <v>6.9444444444444446</v>
      </c>
      <c r="Y218" s="6">
        <f t="shared" si="10"/>
        <v>1663725149</v>
      </c>
    </row>
    <row r="219" spans="2:25" x14ac:dyDescent="0.25">
      <c r="B219" t="str">
        <f>Siam_Chart[[#This Row],[Name]]</f>
        <v>ECF</v>
      </c>
      <c r="C219">
        <f>Siam_Chart[[#This Row],[No.]]</f>
        <v>218</v>
      </c>
      <c r="D219">
        <f>Siam_Chart[[#This Row],[Last]]</f>
        <v>2025</v>
      </c>
      <c r="E219">
        <f>Siam_Chart[[#This Row],[Chg%]]</f>
        <v>-9.0909090909090864</v>
      </c>
      <c r="F219">
        <f>Siam_Chart[[#This Row],[Volume]]</f>
        <v>549208468</v>
      </c>
      <c r="G219">
        <f>Siam_Chart[[#This Row],[Value (k)]]</f>
        <v>35498.502289999997</v>
      </c>
      <c r="H219" cm="1">
        <f t="array" ref="H219:W219">Siam_Chart[[#This Row],[MCap (M)]:[CG]]</f>
        <v>127</v>
      </c>
      <c r="I219">
        <v>0</v>
      </c>
      <c r="J219">
        <v>4.8906834076532748</v>
      </c>
      <c r="K219">
        <v>4.8906830000000001</v>
      </c>
      <c r="L219">
        <v>1.0999999999999999E-2</v>
      </c>
      <c r="M219">
        <v>-1.54</v>
      </c>
      <c r="N219">
        <v>-14.911648</v>
      </c>
      <c r="O219">
        <v>-82.781420999999995</v>
      </c>
      <c r="P219">
        <v>-215.11933200000001</v>
      </c>
      <c r="Q219">
        <v>0</v>
      </c>
      <c r="R219" t="str">
        <v/>
      </c>
      <c r="S219" t="str">
        <v/>
      </c>
      <c r="T219">
        <v>0</v>
      </c>
      <c r="U219">
        <v>0</v>
      </c>
      <c r="V219">
        <v>0</v>
      </c>
      <c r="W219">
        <v>3</v>
      </c>
      <c r="X219" s="5">
        <f t="shared" si="9"/>
        <v>414.05256304898859</v>
      </c>
      <c r="Y219" s="6">
        <f t="shared" si="10"/>
        <v>6.2716049382716049E-2</v>
      </c>
    </row>
    <row r="220" spans="2:25" x14ac:dyDescent="0.25">
      <c r="B220" t="str">
        <f>Siam_Chart[[#This Row],[Name]]</f>
        <v>EFORL</v>
      </c>
      <c r="C220">
        <f>Siam_Chart[[#This Row],[No.]]</f>
        <v>219</v>
      </c>
      <c r="D220">
        <f>Siam_Chart[[#This Row],[Last]]</f>
        <v>0.12</v>
      </c>
      <c r="E220">
        <f>Siam_Chart[[#This Row],[Chg%]]</f>
        <v>0</v>
      </c>
      <c r="F220">
        <f>Siam_Chart[[#This Row],[Volume]]</f>
        <v>5419181</v>
      </c>
      <c r="G220">
        <f>Siam_Chart[[#This Row],[Value (k)]]</f>
        <v>596881.13</v>
      </c>
      <c r="H220" cm="1">
        <f t="array" ref="H220:W220">Siam_Chart[[#This Row],[MCap (M)]:[CG]]</f>
        <v>479817284.16000003</v>
      </c>
      <c r="I220">
        <v>11.34</v>
      </c>
      <c r="J220">
        <v>0.81</v>
      </c>
      <c r="K220">
        <v>0.91438600000000003</v>
      </c>
      <c r="L220">
        <v>0</v>
      </c>
      <c r="M220">
        <v>5.3882122394316037</v>
      </c>
      <c r="N220">
        <v>5.3882120000000002</v>
      </c>
      <c r="O220">
        <v>7.3622180000000004</v>
      </c>
      <c r="P220">
        <v>1.878851</v>
      </c>
      <c r="Q220">
        <v>0.74</v>
      </c>
      <c r="R220" t="str">
        <v/>
      </c>
      <c r="S220" t="str">
        <v/>
      </c>
      <c r="T220">
        <v>499</v>
      </c>
      <c r="U220">
        <v>554</v>
      </c>
      <c r="V220">
        <v>7.27</v>
      </c>
      <c r="W220">
        <v>3</v>
      </c>
      <c r="X220" s="5">
        <f t="shared" si="9"/>
        <v>0.14814814814814814</v>
      </c>
      <c r="Y220" s="6">
        <f t="shared" si="10"/>
        <v>3998477368.0000005</v>
      </c>
    </row>
    <row r="221" spans="2:25" x14ac:dyDescent="0.25">
      <c r="B221" t="str">
        <f>Siam_Chart[[#This Row],[Name]]</f>
        <v>EGCO</v>
      </c>
      <c r="C221">
        <f>Siam_Chart[[#This Row],[No.]]</f>
        <v>220</v>
      </c>
      <c r="D221">
        <f>Siam_Chart[[#This Row],[Last]]</f>
        <v>132.5</v>
      </c>
      <c r="E221">
        <f>Siam_Chart[[#This Row],[Chg%]]</f>
        <v>-1.1200000000000001</v>
      </c>
      <c r="F221">
        <f>Siam_Chart[[#This Row],[Volume]]</f>
        <v>812346</v>
      </c>
      <c r="G221">
        <f>Siam_Chart[[#This Row],[Value (k)]]</f>
        <v>108008886.5</v>
      </c>
      <c r="H221" cm="1">
        <f t="array" ref="H221:W221">Siam_Chart[[#This Row],[MCap (M)]:[CG]]</f>
        <v>69756612500</v>
      </c>
      <c r="I221">
        <v>131.37</v>
      </c>
      <c r="J221">
        <v>0.69</v>
      </c>
      <c r="K221">
        <v>1.213338</v>
      </c>
      <c r="L221">
        <v>3.25</v>
      </c>
      <c r="M221">
        <v>2.92</v>
      </c>
      <c r="N221">
        <v>3.3271809999999999</v>
      </c>
      <c r="O221">
        <v>0.51551400000000003</v>
      </c>
      <c r="P221">
        <v>8.2235929999999993</v>
      </c>
      <c r="Q221">
        <v>4.91</v>
      </c>
      <c r="R221" t="str">
        <v/>
      </c>
      <c r="S221" t="str">
        <v/>
      </c>
      <c r="T221">
        <v>1249</v>
      </c>
      <c r="U221">
        <v>1200</v>
      </c>
      <c r="V221">
        <v>-0.22</v>
      </c>
      <c r="W221">
        <v>5</v>
      </c>
      <c r="X221" s="5">
        <f t="shared" si="9"/>
        <v>192.0289855072464</v>
      </c>
      <c r="Y221" s="6">
        <f t="shared" si="10"/>
        <v>526465000</v>
      </c>
    </row>
    <row r="222" spans="2:25" x14ac:dyDescent="0.25">
      <c r="B222" t="str">
        <f>Siam_Chart[[#This Row],[Name]]</f>
        <v>EKH</v>
      </c>
      <c r="C222">
        <f>Siam_Chart[[#This Row],[No.]]</f>
        <v>221</v>
      </c>
      <c r="D222">
        <f>Siam_Chart[[#This Row],[Last]]</f>
        <v>5.2</v>
      </c>
      <c r="E222">
        <f>Siam_Chart[[#This Row],[Chg%]]</f>
        <v>0</v>
      </c>
      <c r="F222">
        <f>Siam_Chart[[#This Row],[Volume]]</f>
        <v>210283</v>
      </c>
      <c r="G222">
        <f>Siam_Chart[[#This Row],[Value (k)]]</f>
        <v>1093995.2</v>
      </c>
      <c r="H222" cm="1">
        <f t="array" ref="H222:W222">Siam_Chart[[#This Row],[MCap (M)]:[CG]]</f>
        <v>4449101264.3999996</v>
      </c>
      <c r="I222">
        <v>15.35</v>
      </c>
      <c r="J222">
        <v>1.86</v>
      </c>
      <c r="K222">
        <v>0.138208</v>
      </c>
      <c r="L222">
        <v>0.3</v>
      </c>
      <c r="M222">
        <v>0.15</v>
      </c>
      <c r="N222">
        <v>13.332261000000001</v>
      </c>
      <c r="O222">
        <v>12.062951</v>
      </c>
      <c r="P222">
        <v>20.866063</v>
      </c>
      <c r="Q222">
        <v>5.77</v>
      </c>
      <c r="R222" t="str">
        <v/>
      </c>
      <c r="S222" t="str">
        <v/>
      </c>
      <c r="T222">
        <v>761</v>
      </c>
      <c r="U222">
        <v>628</v>
      </c>
      <c r="V222">
        <v>39.74</v>
      </c>
      <c r="W222">
        <v>4</v>
      </c>
      <c r="X222" s="5">
        <f t="shared" si="9"/>
        <v>2.7956989247311825</v>
      </c>
      <c r="Y222" s="6">
        <f t="shared" si="10"/>
        <v>855596396.99999988</v>
      </c>
    </row>
    <row r="223" spans="2:25" x14ac:dyDescent="0.25">
      <c r="B223" t="str">
        <f>Siam_Chart[[#This Row],[Name]]</f>
        <v>EMC</v>
      </c>
      <c r="C223">
        <f>Siam_Chart[[#This Row],[No.]]</f>
        <v>222</v>
      </c>
      <c r="D223">
        <f>Siam_Chart[[#This Row],[Last]]</f>
        <v>0.02</v>
      </c>
      <c r="E223">
        <f>Siam_Chart[[#This Row],[Chg%]]</f>
        <v>0</v>
      </c>
      <c r="F223">
        <f>Siam_Chart[[#This Row],[Volume]]</f>
        <v>10839100</v>
      </c>
      <c r="G223">
        <f>Siam_Chart[[#This Row],[Value (k)]]</f>
        <v>216374</v>
      </c>
      <c r="H223" cm="1">
        <f t="array" ref="H223:W223">Siam_Chart[[#This Row],[MCap (M)]:[CG]]</f>
        <v>251412663.59999999</v>
      </c>
      <c r="I223">
        <v>251412663.59999999</v>
      </c>
      <c r="J223">
        <v>0.31</v>
      </c>
      <c r="K223">
        <v>1.0110710000000001</v>
      </c>
      <c r="L223">
        <v>-0.01</v>
      </c>
      <c r="M223">
        <v>-0.01</v>
      </c>
      <c r="N223">
        <v>-12.964741</v>
      </c>
      <c r="O223">
        <v>-27.696486</v>
      </c>
      <c r="P223">
        <v>-61.224722</v>
      </c>
      <c r="Q223">
        <v>0.31</v>
      </c>
      <c r="R223" t="str">
        <v/>
      </c>
      <c r="S223" t="str">
        <v/>
      </c>
      <c r="T223">
        <v>0</v>
      </c>
      <c r="U223">
        <v>0</v>
      </c>
      <c r="V223">
        <v>0</v>
      </c>
      <c r="W223">
        <v>0</v>
      </c>
      <c r="X223" s="5">
        <f t="shared" si="9"/>
        <v>6.4516129032258063E-2</v>
      </c>
      <c r="Y223" s="6">
        <f t="shared" si="10"/>
        <v>12570633180</v>
      </c>
    </row>
    <row r="224" spans="2:25" x14ac:dyDescent="0.25">
      <c r="B224" t="str">
        <f>Siam_Chart[[#This Row],[Name]]</f>
        <v>EMPIRE</v>
      </c>
      <c r="C224">
        <f>Siam_Chart[[#This Row],[No.]]</f>
        <v>223</v>
      </c>
      <c r="D224">
        <f>Siam_Chart[[#This Row],[Last]]</f>
        <v>2026</v>
      </c>
      <c r="E224">
        <f>Siam_Chart[[#This Row],[Chg%]]</f>
        <v>-78.070175438596479</v>
      </c>
      <c r="F224">
        <f>Siam_Chart[[#This Row],[Volume]]</f>
        <v>2242772401</v>
      </c>
      <c r="G224">
        <f>Siam_Chart[[#This Row],[Value (k)]]</f>
        <v>1117697.9405400001</v>
      </c>
      <c r="H224" cm="1">
        <f t="array" ref="H224:W224">Siam_Chart[[#This Row],[MCap (M)]:[CG]]</f>
        <v>157625000</v>
      </c>
      <c r="I224">
        <v>157625000</v>
      </c>
      <c r="J224">
        <v>1.1200000000000001</v>
      </c>
      <c r="K224">
        <v>4.3776469999999996</v>
      </c>
      <c r="L224">
        <v>-0.13</v>
      </c>
      <c r="M224">
        <v>-0.13</v>
      </c>
      <c r="N224">
        <v>-36.434280999999999</v>
      </c>
      <c r="O224">
        <v>-131.13398000000001</v>
      </c>
      <c r="P224">
        <v>-104.595663</v>
      </c>
      <c r="Q224">
        <v>1.1200000000000001</v>
      </c>
      <c r="R224" t="str">
        <v/>
      </c>
      <c r="S224" t="str">
        <v/>
      </c>
      <c r="T224">
        <v>0</v>
      </c>
      <c r="U224">
        <v>0</v>
      </c>
      <c r="V224">
        <v>0</v>
      </c>
      <c r="W224">
        <v>0</v>
      </c>
      <c r="X224" s="5">
        <f t="shared" si="9"/>
        <v>1808.9285714285713</v>
      </c>
      <c r="Y224" s="6">
        <f t="shared" si="10"/>
        <v>77801.085883514315</v>
      </c>
    </row>
    <row r="225" spans="2:25" x14ac:dyDescent="0.25">
      <c r="B225" t="str">
        <f>Siam_Chart[[#This Row],[Name]]</f>
        <v>EP</v>
      </c>
      <c r="C225">
        <f>Siam_Chart[[#This Row],[No.]]</f>
        <v>224</v>
      </c>
      <c r="D225">
        <f>Siam_Chart[[#This Row],[Last]]</f>
        <v>1.1100000000000001</v>
      </c>
      <c r="E225">
        <f>Siam_Chart[[#This Row],[Chg%]]</f>
        <v>0</v>
      </c>
      <c r="F225">
        <f>Siam_Chart[[#This Row],[Volume]]</f>
        <v>97104</v>
      </c>
      <c r="G225">
        <f>Siam_Chart[[#This Row],[Value (k)]]</f>
        <v>106282.48</v>
      </c>
      <c r="H225" cm="1">
        <f t="array" ref="H225:W225">Siam_Chart[[#This Row],[MCap (M)]:[CG]]</f>
        <v>1035082877.67</v>
      </c>
      <c r="I225">
        <v>1081708232.52</v>
      </c>
      <c r="J225">
        <v>0.5</v>
      </c>
      <c r="K225">
        <v>2.567501</v>
      </c>
      <c r="L225">
        <v>0.25</v>
      </c>
      <c r="M225">
        <v>0.11</v>
      </c>
      <c r="N225">
        <v>-6.4151090000000002</v>
      </c>
      <c r="O225">
        <v>-30.617888000000001</v>
      </c>
      <c r="P225">
        <v>14.732488</v>
      </c>
      <c r="Q225">
        <v>0.52</v>
      </c>
      <c r="R225" t="str">
        <v/>
      </c>
      <c r="S225" t="str">
        <v/>
      </c>
      <c r="T225">
        <v>0</v>
      </c>
      <c r="U225">
        <v>0</v>
      </c>
      <c r="V225">
        <v>0</v>
      </c>
      <c r="W225">
        <v>0</v>
      </c>
      <c r="X225" s="5">
        <f t="shared" si="9"/>
        <v>2.2200000000000002</v>
      </c>
      <c r="Y225" s="6">
        <f t="shared" si="10"/>
        <v>932507096.99999988</v>
      </c>
    </row>
    <row r="226" spans="2:25" x14ac:dyDescent="0.25">
      <c r="B226" t="str">
        <f>Siam_Chart[[#This Row],[Name]]</f>
        <v>EPG</v>
      </c>
      <c r="C226">
        <f>Siam_Chart[[#This Row],[No.]]</f>
        <v>225</v>
      </c>
      <c r="D226">
        <f>Siam_Chart[[#This Row],[Last]]</f>
        <v>6.4</v>
      </c>
      <c r="E226">
        <f>Siam_Chart[[#This Row],[Chg%]]</f>
        <v>1.59</v>
      </c>
      <c r="F226">
        <f>Siam_Chart[[#This Row],[Volume]]</f>
        <v>15157502</v>
      </c>
      <c r="G226">
        <f>Siam_Chart[[#This Row],[Value (k)]]</f>
        <v>97004143.599999994</v>
      </c>
      <c r="H226" cm="1">
        <f t="array" ref="H226:W226">Siam_Chart[[#This Row],[MCap (M)]:[CG]]</f>
        <v>17920000000</v>
      </c>
      <c r="I226">
        <v>12.19</v>
      </c>
      <c r="J226">
        <v>1.29</v>
      </c>
      <c r="K226">
        <v>0.54938299999999995</v>
      </c>
      <c r="L226">
        <v>0.13</v>
      </c>
      <c r="M226">
        <v>0.16</v>
      </c>
      <c r="N226">
        <v>8.5235620000000001</v>
      </c>
      <c r="O226">
        <v>11.066335</v>
      </c>
      <c r="P226">
        <v>12.058707999999999</v>
      </c>
      <c r="Q226">
        <v>3.13</v>
      </c>
      <c r="R226" t="str">
        <v/>
      </c>
      <c r="S226" t="str">
        <v/>
      </c>
      <c r="T226">
        <v>649</v>
      </c>
      <c r="U226">
        <v>627</v>
      </c>
      <c r="V226">
        <v>-2.09</v>
      </c>
      <c r="W226">
        <v>5</v>
      </c>
      <c r="X226" s="5">
        <f t="shared" si="9"/>
        <v>4.9612403100775193</v>
      </c>
      <c r="Y226" s="6">
        <f t="shared" si="10"/>
        <v>2800000000</v>
      </c>
    </row>
    <row r="227" spans="2:25" x14ac:dyDescent="0.25">
      <c r="B227" t="str">
        <f>Siam_Chart[[#This Row],[Name]]</f>
        <v>ERW</v>
      </c>
      <c r="C227">
        <f>Siam_Chart[[#This Row],[No.]]</f>
        <v>226</v>
      </c>
      <c r="D227">
        <f>Siam_Chart[[#This Row],[Last]]</f>
        <v>3.76</v>
      </c>
      <c r="E227">
        <f>Siam_Chart[[#This Row],[Chg%]]</f>
        <v>0.53</v>
      </c>
      <c r="F227">
        <f>Siam_Chart[[#This Row],[Volume]]</f>
        <v>19582040</v>
      </c>
      <c r="G227">
        <f>Siam_Chart[[#This Row],[Value (k)]]</f>
        <v>73450473.5</v>
      </c>
      <c r="H227" cm="1">
        <f t="array" ref="H227:W227">Siam_Chart[[#This Row],[MCap (M)]:[CG]]</f>
        <v>18374854653.040001</v>
      </c>
      <c r="I227">
        <v>20.95</v>
      </c>
      <c r="J227">
        <v>2.0099999999999998</v>
      </c>
      <c r="K227">
        <v>1.649554</v>
      </c>
      <c r="L227">
        <v>7.0000000000000007E-2</v>
      </c>
      <c r="M227">
        <v>0.09</v>
      </c>
      <c r="N227">
        <v>6.0708669999999998</v>
      </c>
      <c r="O227">
        <v>9.8392649999999993</v>
      </c>
      <c r="P227">
        <v>11.329288999999999</v>
      </c>
      <c r="Q227">
        <v>1.86</v>
      </c>
      <c r="R227" t="str">
        <v/>
      </c>
      <c r="S227" t="str">
        <v/>
      </c>
      <c r="T227">
        <v>855</v>
      </c>
      <c r="U227">
        <v>914</v>
      </c>
      <c r="V227">
        <v>-0.17</v>
      </c>
      <c r="W227">
        <v>5</v>
      </c>
      <c r="X227" s="5">
        <f t="shared" si="9"/>
        <v>1.8706467661691544</v>
      </c>
      <c r="Y227" s="6">
        <f t="shared" si="10"/>
        <v>4886929429.000001</v>
      </c>
    </row>
    <row r="228" spans="2:25" x14ac:dyDescent="0.25">
      <c r="B228" t="str">
        <f>Siam_Chart[[#This Row],[Name]]</f>
        <v>ESTAR</v>
      </c>
      <c r="C228">
        <f>Siam_Chart[[#This Row],[No.]]</f>
        <v>227</v>
      </c>
      <c r="D228">
        <f>Siam_Chart[[#This Row],[Last]]</f>
        <v>0.24</v>
      </c>
      <c r="E228">
        <f>Siam_Chart[[#This Row],[Chg%]]</f>
        <v>0</v>
      </c>
      <c r="F228">
        <f>Siam_Chart[[#This Row],[Volume]]</f>
        <v>20104</v>
      </c>
      <c r="G228">
        <f>Siam_Chart[[#This Row],[Value (k)]]</f>
        <v>4838.9799999999996</v>
      </c>
      <c r="H228" cm="1">
        <f t="array" ref="H228:W228">Siam_Chart[[#This Row],[MCap (M)]:[CG]]</f>
        <v>1205339084.4000001</v>
      </c>
      <c r="I228">
        <v>7.49</v>
      </c>
      <c r="J228">
        <v>0.25</v>
      </c>
      <c r="K228">
        <v>0.46256999999999998</v>
      </c>
      <c r="L228">
        <v>0.02</v>
      </c>
      <c r="M228">
        <v>0.01</v>
      </c>
      <c r="N228">
        <v>2.905411</v>
      </c>
      <c r="O228">
        <v>3.2996439999999998</v>
      </c>
      <c r="P228">
        <v>4.1806559999999999</v>
      </c>
      <c r="Q228">
        <v>8.33</v>
      </c>
      <c r="R228" t="str">
        <v/>
      </c>
      <c r="S228" t="str">
        <v/>
      </c>
      <c r="T228">
        <v>694</v>
      </c>
      <c r="U228">
        <v>687</v>
      </c>
      <c r="V228">
        <v>0.08</v>
      </c>
      <c r="W228">
        <v>4</v>
      </c>
      <c r="X228" s="5">
        <f t="shared" si="9"/>
        <v>0.96</v>
      </c>
      <c r="Y228" s="6">
        <f t="shared" si="10"/>
        <v>5022246185.000001</v>
      </c>
    </row>
    <row r="229" spans="2:25" x14ac:dyDescent="0.25">
      <c r="B229" t="str">
        <f>Siam_Chart[[#This Row],[Name]]</f>
        <v>ETC</v>
      </c>
      <c r="C229">
        <f>Siam_Chart[[#This Row],[No.]]</f>
        <v>228</v>
      </c>
      <c r="D229">
        <f>Siam_Chart[[#This Row],[Last]]</f>
        <v>0.74</v>
      </c>
      <c r="E229">
        <f>Siam_Chart[[#This Row],[Chg%]]</f>
        <v>-1.33</v>
      </c>
      <c r="F229">
        <f>Siam_Chart[[#This Row],[Volume]]</f>
        <v>4956826</v>
      </c>
      <c r="G229">
        <f>Siam_Chart[[#This Row],[Value (k)]]</f>
        <v>3697973.81</v>
      </c>
      <c r="H229" cm="1">
        <f t="array" ref="H229:W229">Siam_Chart[[#This Row],[MCap (M)]:[CG]]</f>
        <v>1657600000</v>
      </c>
      <c r="I229">
        <v>3.14</v>
      </c>
      <c r="J229">
        <v>0.48</v>
      </c>
      <c r="K229">
        <v>5.9586E-2</v>
      </c>
      <c r="L229">
        <v>4.8000000000000001E-2</v>
      </c>
      <c r="M229">
        <v>0.03</v>
      </c>
      <c r="N229">
        <v>15.057873000000001</v>
      </c>
      <c r="O229">
        <v>16.303597</v>
      </c>
      <c r="P229">
        <v>19.675689999999999</v>
      </c>
      <c r="Q229">
        <v>6.49</v>
      </c>
      <c r="R229" t="str">
        <v/>
      </c>
      <c r="S229" t="str">
        <v/>
      </c>
      <c r="T229">
        <v>149</v>
      </c>
      <c r="U229">
        <v>93</v>
      </c>
      <c r="V229">
        <v>0.02</v>
      </c>
      <c r="W229">
        <v>5</v>
      </c>
      <c r="X229" s="5">
        <f t="shared" si="9"/>
        <v>1.5416666666666667</v>
      </c>
      <c r="Y229" s="6">
        <f t="shared" si="10"/>
        <v>2240000000</v>
      </c>
    </row>
    <row r="230" spans="2:25" x14ac:dyDescent="0.25">
      <c r="B230" t="str">
        <f>Siam_Chart[[#This Row],[Name]]</f>
        <v>ETE</v>
      </c>
      <c r="C230">
        <f>Siam_Chart[[#This Row],[No.]]</f>
        <v>229</v>
      </c>
      <c r="D230">
        <f>Siam_Chart[[#This Row],[Last]]</f>
        <v>0.59</v>
      </c>
      <c r="E230">
        <f>Siam_Chart[[#This Row],[Chg%]]</f>
        <v>-1.67</v>
      </c>
      <c r="F230">
        <f>Siam_Chart[[#This Row],[Volume]]</f>
        <v>113118</v>
      </c>
      <c r="G230">
        <f>Siam_Chart[[#This Row],[Value (k)]]</f>
        <v>67431.44</v>
      </c>
      <c r="H230" cm="1">
        <f t="array" ref="H230:W230">Siam_Chart[[#This Row],[MCap (M)]:[CG]]</f>
        <v>330400000</v>
      </c>
      <c r="I230">
        <v>319200000</v>
      </c>
      <c r="J230">
        <v>0.35</v>
      </c>
      <c r="K230">
        <v>1.4001589999999999</v>
      </c>
      <c r="L230">
        <v>0.03</v>
      </c>
      <c r="M230">
        <v>0.03</v>
      </c>
      <c r="N230">
        <v>2.0116749999999999</v>
      </c>
      <c r="O230">
        <v>-1.0335209999999999</v>
      </c>
      <c r="P230">
        <v>2.5307539999999999</v>
      </c>
      <c r="Q230">
        <v>0.33</v>
      </c>
      <c r="R230" t="str">
        <v/>
      </c>
      <c r="S230" t="str">
        <v/>
      </c>
      <c r="T230">
        <v>0</v>
      </c>
      <c r="U230">
        <v>0</v>
      </c>
      <c r="V230">
        <v>0</v>
      </c>
      <c r="W230">
        <v>5</v>
      </c>
      <c r="X230" s="5">
        <f t="shared" si="9"/>
        <v>1.6857142857142857</v>
      </c>
      <c r="Y230" s="6">
        <f t="shared" si="10"/>
        <v>560000000</v>
      </c>
    </row>
    <row r="231" spans="2:25" x14ac:dyDescent="0.25">
      <c r="B231" t="str">
        <f>Siam_Chart[[#This Row],[Name]]</f>
        <v>ETL</v>
      </c>
      <c r="C231">
        <f>Siam_Chart[[#This Row],[No.]]</f>
        <v>230</v>
      </c>
      <c r="D231">
        <f>Siam_Chart[[#This Row],[Last]]</f>
        <v>0.45</v>
      </c>
      <c r="E231">
        <f>Siam_Chart[[#This Row],[Chg%]]</f>
        <v>0</v>
      </c>
      <c r="F231">
        <f>Siam_Chart[[#This Row],[Volume]]</f>
        <v>723400</v>
      </c>
      <c r="G231">
        <f>Siam_Chart[[#This Row],[Value (k)]]</f>
        <v>331060</v>
      </c>
      <c r="H231" cm="1">
        <f t="array" ref="H231:W231">Siam_Chart[[#This Row],[MCap (M)]:[CG]]</f>
        <v>279000000</v>
      </c>
      <c r="I231">
        <v>260400000</v>
      </c>
      <c r="J231">
        <v>0.5</v>
      </c>
      <c r="K231">
        <v>1.4754259999999999</v>
      </c>
      <c r="L231">
        <v>-0.04</v>
      </c>
      <c r="M231">
        <v>-0.04</v>
      </c>
      <c r="N231">
        <v>-4.7333860000000003</v>
      </c>
      <c r="O231">
        <v>-6.9018059999999997</v>
      </c>
      <c r="P231">
        <v>-3.0953529999999998</v>
      </c>
      <c r="Q231">
        <v>0.46</v>
      </c>
      <c r="R231" t="str">
        <v/>
      </c>
      <c r="S231" t="str">
        <v/>
      </c>
      <c r="T231">
        <v>0</v>
      </c>
      <c r="U231">
        <v>0</v>
      </c>
      <c r="V231">
        <v>0</v>
      </c>
      <c r="W231">
        <v>0</v>
      </c>
      <c r="X231" s="5">
        <f t="shared" si="9"/>
        <v>0.9</v>
      </c>
      <c r="Y231" s="6">
        <f t="shared" si="10"/>
        <v>620000000</v>
      </c>
    </row>
    <row r="232" spans="2:25" x14ac:dyDescent="0.25">
      <c r="B232" t="str">
        <f>Siam_Chart[[#This Row],[Name]]</f>
        <v>EURO</v>
      </c>
      <c r="C232">
        <f>Siam_Chart[[#This Row],[No.]]</f>
        <v>231</v>
      </c>
      <c r="D232">
        <f>Siam_Chart[[#This Row],[Last]]</f>
        <v>7</v>
      </c>
      <c r="E232">
        <f>Siam_Chart[[#This Row],[Chg%]]</f>
        <v>0</v>
      </c>
      <c r="F232">
        <f>Siam_Chart[[#This Row],[Volume]]</f>
        <v>9000</v>
      </c>
      <c r="G232">
        <f>Siam_Chart[[#This Row],[Value (k)]]</f>
        <v>63000</v>
      </c>
      <c r="H232" cm="1">
        <f t="array" ref="H232:W232">Siam_Chart[[#This Row],[MCap (M)]:[CG]]</f>
        <v>2135000000</v>
      </c>
      <c r="I232">
        <v>12.85</v>
      </c>
      <c r="J232">
        <v>2.21</v>
      </c>
      <c r="K232">
        <v>1.361639</v>
      </c>
      <c r="L232">
        <v>0.25</v>
      </c>
      <c r="M232">
        <v>0.28999999999999998</v>
      </c>
      <c r="N232">
        <v>10.410364</v>
      </c>
      <c r="O232">
        <v>17.936971</v>
      </c>
      <c r="P232">
        <v>11.546917000000001</v>
      </c>
      <c r="Q232">
        <v>3.59</v>
      </c>
      <c r="R232" t="str">
        <v/>
      </c>
      <c r="S232" t="str">
        <v/>
      </c>
      <c r="T232">
        <v>488</v>
      </c>
      <c r="U232">
        <v>527</v>
      </c>
      <c r="V232">
        <v>-4.22</v>
      </c>
      <c r="W232">
        <v>4</v>
      </c>
      <c r="X232" s="5">
        <f t="shared" si="9"/>
        <v>3.1674208144796379</v>
      </c>
      <c r="Y232" s="6">
        <f t="shared" si="10"/>
        <v>305000000</v>
      </c>
    </row>
    <row r="233" spans="2:25" x14ac:dyDescent="0.25">
      <c r="B233" t="str">
        <f>Siam_Chart[[#This Row],[Name]]</f>
        <v>EVER</v>
      </c>
      <c r="C233">
        <f>Siam_Chart[[#This Row],[No.]]</f>
        <v>232</v>
      </c>
      <c r="D233">
        <f>Siam_Chart[[#This Row],[Last]]</f>
        <v>7.0000000000000007E-2</v>
      </c>
      <c r="E233">
        <f>Siam_Chart[[#This Row],[Chg%]]</f>
        <v>0</v>
      </c>
      <c r="F233">
        <f>Siam_Chart[[#This Row],[Volume]]</f>
        <v>1039900</v>
      </c>
      <c r="G233">
        <f>Siam_Chart[[#This Row],[Value (k)]]</f>
        <v>62448</v>
      </c>
      <c r="H233" cm="1">
        <f t="array" ref="H233:W233">Siam_Chart[[#This Row],[MCap (M)]:[CG]]</f>
        <v>339835058.63999999</v>
      </c>
      <c r="I233">
        <v>291287193.12</v>
      </c>
      <c r="J233">
        <v>0.23</v>
      </c>
      <c r="K233">
        <v>2.3855300000000002</v>
      </c>
      <c r="L233">
        <v>-0.04</v>
      </c>
      <c r="M233">
        <v>-0.04</v>
      </c>
      <c r="N233">
        <v>1.2870820000000001</v>
      </c>
      <c r="O233">
        <v>-11.172706</v>
      </c>
      <c r="P233">
        <v>-34.914282999999998</v>
      </c>
      <c r="Q233">
        <v>0.2</v>
      </c>
      <c r="R233" t="str">
        <v/>
      </c>
      <c r="S233" t="str">
        <v/>
      </c>
      <c r="T233">
        <v>0</v>
      </c>
      <c r="U233">
        <v>0</v>
      </c>
      <c r="V233">
        <v>0</v>
      </c>
      <c r="W233">
        <v>4</v>
      </c>
      <c r="X233" s="5">
        <f t="shared" si="9"/>
        <v>0.30434782608695654</v>
      </c>
      <c r="Y233" s="6">
        <f t="shared" si="10"/>
        <v>4854786551.999999</v>
      </c>
    </row>
    <row r="234" spans="2:25" x14ac:dyDescent="0.25">
      <c r="B234" t="str">
        <f>Siam_Chart[[#This Row],[Name]]</f>
        <v>F&amp;D</v>
      </c>
      <c r="C234">
        <f>Siam_Chart[[#This Row],[No.]]</f>
        <v>233</v>
      </c>
      <c r="D234">
        <f>Siam_Chart[[#This Row],[Last]]</f>
        <v>2026</v>
      </c>
      <c r="E234">
        <f>Siam_Chart[[#This Row],[Chg%]]</f>
        <v>-19.642857142857142</v>
      </c>
      <c r="F234">
        <f>Siam_Chart[[#This Row],[Volume]]</f>
        <v>1</v>
      </c>
      <c r="G234">
        <f>Siam_Chart[[#This Row],[Value (k)]]</f>
        <v>42</v>
      </c>
      <c r="H234" cm="1">
        <f t="array" ref="H234:W234">Siam_Chart[[#This Row],[MCap (M)]:[CG]]</f>
        <v>793093860</v>
      </c>
      <c r="I234">
        <v>793093860</v>
      </c>
      <c r="J234">
        <v>0.54</v>
      </c>
      <c r="K234">
        <v>0.73070900000000005</v>
      </c>
      <c r="L234">
        <v>2.5499999999999998</v>
      </c>
      <c r="M234">
        <v>-1.33</v>
      </c>
      <c r="N234">
        <v>0.47665299999999999</v>
      </c>
      <c r="O234">
        <v>-1.899365</v>
      </c>
      <c r="P234">
        <v>-11.990849000000001</v>
      </c>
      <c r="Q234">
        <v>0.54</v>
      </c>
      <c r="R234" t="str">
        <v/>
      </c>
      <c r="S234" t="str">
        <v/>
      </c>
      <c r="T234">
        <v>0</v>
      </c>
      <c r="U234">
        <v>0</v>
      </c>
      <c r="V234">
        <v>0</v>
      </c>
      <c r="W234">
        <v>0</v>
      </c>
      <c r="X234" s="5">
        <f t="shared" si="9"/>
        <v>3751.8518518518517</v>
      </c>
      <c r="Y234" s="6">
        <f t="shared" si="10"/>
        <v>391457.97630799602</v>
      </c>
    </row>
    <row r="235" spans="2:25" x14ac:dyDescent="0.25">
      <c r="B235" t="str">
        <f>Siam_Chart[[#This Row],[Name]]</f>
        <v>FANCY</v>
      </c>
      <c r="C235">
        <f>Siam_Chart[[#This Row],[No.]]</f>
        <v>234</v>
      </c>
      <c r="D235">
        <f>Siam_Chart[[#This Row],[Last]]</f>
        <v>0.25</v>
      </c>
      <c r="E235">
        <f>Siam_Chart[[#This Row],[Chg%]]</f>
        <v>4.17</v>
      </c>
      <c r="F235">
        <f>Siam_Chart[[#This Row],[Volume]]</f>
        <v>408700</v>
      </c>
      <c r="G235">
        <f>Siam_Chart[[#This Row],[Value (k)]]</f>
        <v>95987</v>
      </c>
      <c r="H235" cm="1">
        <f t="array" ref="H235:W235">Siam_Chart[[#This Row],[MCap (M)]:[CG]]</f>
        <v>153750000</v>
      </c>
      <c r="I235">
        <v>141450000</v>
      </c>
      <c r="J235">
        <v>0.2</v>
      </c>
      <c r="K235">
        <v>3.6711000000000001E-2</v>
      </c>
      <c r="L235">
        <v>-0.11</v>
      </c>
      <c r="M235">
        <v>-0.11</v>
      </c>
      <c r="N235">
        <v>-8.7252179999999999</v>
      </c>
      <c r="O235">
        <v>-9.0518750000000008</v>
      </c>
      <c r="P235">
        <v>-106.331857</v>
      </c>
      <c r="Q235">
        <v>0.19</v>
      </c>
      <c r="R235" t="str">
        <v/>
      </c>
      <c r="S235" t="str">
        <v/>
      </c>
      <c r="T235">
        <v>0</v>
      </c>
      <c r="U235">
        <v>0</v>
      </c>
      <c r="V235">
        <v>0</v>
      </c>
      <c r="W235">
        <v>0</v>
      </c>
      <c r="X235" s="5">
        <f t="shared" si="9"/>
        <v>1.25</v>
      </c>
      <c r="Y235" s="6">
        <f t="shared" si="10"/>
        <v>615000000</v>
      </c>
    </row>
    <row r="236" spans="2:25" x14ac:dyDescent="0.25">
      <c r="B236" t="str">
        <f>Siam_Chart[[#This Row],[Name]]</f>
        <v>FE</v>
      </c>
      <c r="C236">
        <f>Siam_Chart[[#This Row],[No.]]</f>
        <v>235</v>
      </c>
      <c r="D236">
        <f>Siam_Chart[[#This Row],[Last]]</f>
        <v>194</v>
      </c>
      <c r="E236">
        <f>Siam_Chart[[#This Row],[Chg%]]</f>
        <v>2.11</v>
      </c>
      <c r="F236">
        <f>Siam_Chart[[#This Row],[Volume]]</f>
        <v>1</v>
      </c>
      <c r="G236">
        <f>Siam_Chart[[#This Row],[Value (k)]]</f>
        <v>199.5</v>
      </c>
      <c r="H236" cm="1">
        <f t="array" ref="H236:W236">Siam_Chart[[#This Row],[MCap (M)]:[CG]]</f>
        <v>1558260000</v>
      </c>
      <c r="I236">
        <v>14.81</v>
      </c>
      <c r="J236">
        <v>1.07</v>
      </c>
      <c r="K236">
        <v>0.188946</v>
      </c>
      <c r="L236">
        <v>8.5</v>
      </c>
      <c r="M236">
        <v>4.4400000000000004</v>
      </c>
      <c r="N236">
        <v>7.6010280000000003</v>
      </c>
      <c r="O236">
        <v>7.3026619999999998</v>
      </c>
      <c r="P236">
        <v>10.295133</v>
      </c>
      <c r="Q236">
        <v>4.29</v>
      </c>
      <c r="R236" t="str">
        <v/>
      </c>
      <c r="S236" t="str">
        <v/>
      </c>
      <c r="T236">
        <v>923</v>
      </c>
      <c r="U236">
        <v>797</v>
      </c>
      <c r="V236">
        <v>0.4</v>
      </c>
      <c r="W236">
        <v>4</v>
      </c>
      <c r="X236" s="5">
        <f t="shared" si="9"/>
        <v>181.30841121495325</v>
      </c>
      <c r="Y236" s="6">
        <f t="shared" si="10"/>
        <v>8032268.0412371131</v>
      </c>
    </row>
    <row r="237" spans="2:25" x14ac:dyDescent="0.25">
      <c r="B237" t="str">
        <f>Siam_Chart[[#This Row],[Name]]</f>
        <v>FLOYD</v>
      </c>
      <c r="C237">
        <f>Siam_Chart[[#This Row],[No.]]</f>
        <v>236</v>
      </c>
      <c r="D237">
        <f>Siam_Chart[[#This Row],[Last]]</f>
        <v>1.17</v>
      </c>
      <c r="E237">
        <f>Siam_Chart[[#This Row],[Chg%]]</f>
        <v>0</v>
      </c>
      <c r="F237">
        <f>Siam_Chart[[#This Row],[Volume]]</f>
        <v>363910</v>
      </c>
      <c r="G237">
        <f>Siam_Chart[[#This Row],[Value (k)]]</f>
        <v>425859.5</v>
      </c>
      <c r="H237" cm="1">
        <f t="array" ref="H237:W237">Siam_Chart[[#This Row],[MCap (M)]:[CG]]</f>
        <v>519998150.88</v>
      </c>
      <c r="I237">
        <v>8.36</v>
      </c>
      <c r="J237">
        <v>1.02</v>
      </c>
      <c r="K237">
        <v>0.20503099999999999</v>
      </c>
      <c r="L237">
        <v>0.1</v>
      </c>
      <c r="M237">
        <v>0.04</v>
      </c>
      <c r="N237">
        <v>12.119436</v>
      </c>
      <c r="O237">
        <v>12.392023999999999</v>
      </c>
      <c r="P237">
        <v>13.741676999999999</v>
      </c>
      <c r="Q237">
        <v>8.5500000000000007</v>
      </c>
      <c r="R237" t="str">
        <v/>
      </c>
      <c r="S237" t="str">
        <v/>
      </c>
      <c r="T237">
        <v>221</v>
      </c>
      <c r="U237">
        <v>150</v>
      </c>
      <c r="V237">
        <v>0.05</v>
      </c>
      <c r="W237">
        <v>5</v>
      </c>
      <c r="X237" s="5">
        <f t="shared" si="9"/>
        <v>1.1470588235294117</v>
      </c>
      <c r="Y237" s="6">
        <f t="shared" si="10"/>
        <v>444442864</v>
      </c>
    </row>
    <row r="238" spans="2:25" x14ac:dyDescent="0.25">
      <c r="B238" t="str">
        <f>Siam_Chart[[#This Row],[Name]]</f>
        <v>FM</v>
      </c>
      <c r="C238">
        <f>Siam_Chart[[#This Row],[No.]]</f>
        <v>237</v>
      </c>
      <c r="D238">
        <f>Siam_Chart[[#This Row],[Last]]</f>
        <v>4.46</v>
      </c>
      <c r="E238">
        <f>Siam_Chart[[#This Row],[Chg%]]</f>
        <v>0.45</v>
      </c>
      <c r="F238">
        <f>Siam_Chart[[#This Row],[Volume]]</f>
        <v>4121385</v>
      </c>
      <c r="G238">
        <f>Siam_Chart[[#This Row],[Value (k)]]</f>
        <v>18386677.260000002</v>
      </c>
      <c r="H238" cm="1">
        <f t="array" ref="H238:W238">Siam_Chart[[#This Row],[MCap (M)]:[CG]]</f>
        <v>4405712211</v>
      </c>
      <c r="I238">
        <v>6.57</v>
      </c>
      <c r="J238">
        <v>1.1299999999999999</v>
      </c>
      <c r="K238">
        <v>0.28503899999999999</v>
      </c>
      <c r="L238">
        <v>0.2</v>
      </c>
      <c r="M238">
        <v>0.38</v>
      </c>
      <c r="N238">
        <v>16.294104000000001</v>
      </c>
      <c r="O238">
        <v>17.947693999999998</v>
      </c>
      <c r="P238">
        <v>10.451949000000001</v>
      </c>
      <c r="Q238">
        <v>7.85</v>
      </c>
      <c r="R238" t="str">
        <v/>
      </c>
      <c r="S238" t="str">
        <v/>
      </c>
      <c r="T238">
        <v>180</v>
      </c>
      <c r="U238">
        <v>128</v>
      </c>
      <c r="V238">
        <v>0.06</v>
      </c>
      <c r="W238">
        <v>0</v>
      </c>
      <c r="X238" s="5">
        <f t="shared" si="9"/>
        <v>3.946902654867257</v>
      </c>
      <c r="Y238" s="6">
        <f t="shared" si="10"/>
        <v>987827850</v>
      </c>
    </row>
    <row r="239" spans="2:25" x14ac:dyDescent="0.25">
      <c r="B239" t="str">
        <f>Siam_Chart[[#This Row],[Name]]</f>
        <v>FMT</v>
      </c>
      <c r="C239">
        <f>Siam_Chart[[#This Row],[No.]]</f>
        <v>238</v>
      </c>
      <c r="D239">
        <f>Siam_Chart[[#This Row],[Last]]</f>
        <v>19.2</v>
      </c>
      <c r="E239">
        <f>Siam_Chart[[#This Row],[Chg%]]</f>
        <v>7.87</v>
      </c>
      <c r="F239">
        <f>Siam_Chart[[#This Row],[Volume]]</f>
        <v>3300</v>
      </c>
      <c r="G239">
        <f>Siam_Chart[[#This Row],[Value (k)]]</f>
        <v>61050</v>
      </c>
      <c r="H239" cm="1">
        <f t="array" ref="H239:W239">Siam_Chart[[#This Row],[MCap (M)]:[CG]]</f>
        <v>921600000</v>
      </c>
      <c r="I239">
        <v>950400000</v>
      </c>
      <c r="J239">
        <v>0.65</v>
      </c>
      <c r="K239">
        <v>1.673154</v>
      </c>
      <c r="L239">
        <v>1</v>
      </c>
      <c r="M239">
        <v>1.33</v>
      </c>
      <c r="N239">
        <v>0.82915000000000005</v>
      </c>
      <c r="O239">
        <v>-1.5700449999999999</v>
      </c>
      <c r="P239">
        <v>1.580381</v>
      </c>
      <c r="Q239">
        <v>0.67</v>
      </c>
      <c r="R239" t="str">
        <v/>
      </c>
      <c r="S239" t="str">
        <v/>
      </c>
      <c r="T239">
        <v>0</v>
      </c>
      <c r="U239">
        <v>0</v>
      </c>
      <c r="V239">
        <v>0</v>
      </c>
      <c r="W239">
        <v>0</v>
      </c>
      <c r="X239" s="5">
        <f t="shared" si="9"/>
        <v>29.538461538461537</v>
      </c>
      <c r="Y239" s="6">
        <f t="shared" si="10"/>
        <v>48000000</v>
      </c>
    </row>
    <row r="240" spans="2:25" x14ac:dyDescent="0.25">
      <c r="B240" t="str">
        <f>Siam_Chart[[#This Row],[Name]]</f>
        <v>FN</v>
      </c>
      <c r="C240">
        <f>Siam_Chart[[#This Row],[No.]]</f>
        <v>239</v>
      </c>
      <c r="D240">
        <f>Siam_Chart[[#This Row],[Last]]</f>
        <v>0.46</v>
      </c>
      <c r="E240">
        <f>Siam_Chart[[#This Row],[Chg%]]</f>
        <v>-2.13</v>
      </c>
      <c r="F240">
        <f>Siam_Chart[[#This Row],[Volume]]</f>
        <v>3300</v>
      </c>
      <c r="G240">
        <f>Siam_Chart[[#This Row],[Value (k)]]</f>
        <v>1511</v>
      </c>
      <c r="H240" cm="1">
        <f t="array" ref="H240:W240">Siam_Chart[[#This Row],[MCap (M)]:[CG]]</f>
        <v>460000000</v>
      </c>
      <c r="I240">
        <v>470000000</v>
      </c>
      <c r="J240">
        <v>0.54</v>
      </c>
      <c r="K240">
        <v>0.25090200000000001</v>
      </c>
      <c r="L240">
        <v>3.7000000000000002E-3</v>
      </c>
      <c r="M240">
        <v>-0.03</v>
      </c>
      <c r="N240">
        <v>-1.611367</v>
      </c>
      <c r="O240">
        <v>-6.6858849999999999</v>
      </c>
      <c r="P240">
        <v>-10.449577</v>
      </c>
      <c r="Q240">
        <v>0.55000000000000004</v>
      </c>
      <c r="R240" t="str">
        <v/>
      </c>
      <c r="S240" t="str">
        <v/>
      </c>
      <c r="T240">
        <v>0</v>
      </c>
      <c r="U240">
        <v>0</v>
      </c>
      <c r="V240">
        <v>0</v>
      </c>
      <c r="W240">
        <v>5</v>
      </c>
      <c r="X240" s="5">
        <f t="shared" si="9"/>
        <v>0.85185185185185186</v>
      </c>
      <c r="Y240" s="6">
        <f t="shared" si="10"/>
        <v>1000000000</v>
      </c>
    </row>
    <row r="241" spans="2:25" x14ac:dyDescent="0.25">
      <c r="B241" t="str">
        <f>Siam_Chart[[#This Row],[Name]]</f>
        <v>FNS</v>
      </c>
      <c r="C241">
        <f>Siam_Chart[[#This Row],[No.]]</f>
        <v>240</v>
      </c>
      <c r="D241">
        <f>Siam_Chart[[#This Row],[Last]]</f>
        <v>0.55000000000000004</v>
      </c>
      <c r="E241">
        <f>Siam_Chart[[#This Row],[Chg%]]</f>
        <v>-6.78</v>
      </c>
      <c r="F241">
        <f>Siam_Chart[[#This Row],[Volume]]</f>
        <v>119603</v>
      </c>
      <c r="G241">
        <f>Siam_Chart[[#This Row],[Value (k)]]</f>
        <v>68127.83</v>
      </c>
      <c r="H241" cm="1">
        <f t="array" ref="H241:W241">Siam_Chart[[#This Row],[MCap (M)]:[CG]]</f>
        <v>275358085.75</v>
      </c>
      <c r="I241">
        <v>255332043.15000001</v>
      </c>
      <c r="J241">
        <v>0.31</v>
      </c>
      <c r="K241">
        <v>1.5386029999999999</v>
      </c>
      <c r="L241">
        <v>0.2</v>
      </c>
      <c r="M241">
        <v>-0.67</v>
      </c>
      <c r="N241">
        <v>-23.260147</v>
      </c>
      <c r="O241">
        <v>-59.571680999999998</v>
      </c>
      <c r="P241">
        <v>-131.31122199999999</v>
      </c>
      <c r="Q241">
        <v>0.28999999999999998</v>
      </c>
      <c r="R241" t="str">
        <v/>
      </c>
      <c r="S241" t="str">
        <v/>
      </c>
      <c r="T241">
        <v>0</v>
      </c>
      <c r="U241">
        <v>0</v>
      </c>
      <c r="V241">
        <v>0</v>
      </c>
      <c r="W241">
        <v>3</v>
      </c>
      <c r="X241" s="5">
        <f t="shared" si="9"/>
        <v>1.774193548387097</v>
      </c>
      <c r="Y241" s="6">
        <f t="shared" si="10"/>
        <v>500651064.99999994</v>
      </c>
    </row>
    <row r="242" spans="2:25" x14ac:dyDescent="0.25">
      <c r="B242" t="str">
        <f>Siam_Chart[[#This Row],[Name]]</f>
        <v>FORTH</v>
      </c>
      <c r="C242">
        <f>Siam_Chart[[#This Row],[No.]]</f>
        <v>241</v>
      </c>
      <c r="D242">
        <f>Siam_Chart[[#This Row],[Last]]</f>
        <v>16.3</v>
      </c>
      <c r="E242">
        <f>Siam_Chart[[#This Row],[Chg%]]</f>
        <v>0</v>
      </c>
      <c r="F242">
        <f>Siam_Chart[[#This Row],[Volume]]</f>
        <v>6268505</v>
      </c>
      <c r="G242">
        <f>Siam_Chart[[#This Row],[Value (k)]]</f>
        <v>103662240.5</v>
      </c>
      <c r="H242" cm="1">
        <f t="array" ref="H242:W242">Siam_Chart[[#This Row],[MCap (M)]:[CG]]</f>
        <v>15246607610</v>
      </c>
      <c r="I242">
        <v>14.62</v>
      </c>
      <c r="J242">
        <v>5.12</v>
      </c>
      <c r="K242">
        <v>2.0831840000000001</v>
      </c>
      <c r="L242">
        <v>0.21</v>
      </c>
      <c r="M242">
        <v>0.43</v>
      </c>
      <c r="N242">
        <v>14.020625000000001</v>
      </c>
      <c r="O242">
        <v>40.833550000000002</v>
      </c>
      <c r="P242">
        <v>10.042558</v>
      </c>
      <c r="Q242">
        <v>1.29</v>
      </c>
      <c r="R242" t="str">
        <v/>
      </c>
      <c r="S242" t="str">
        <v/>
      </c>
      <c r="T242">
        <v>509</v>
      </c>
      <c r="U242">
        <v>580</v>
      </c>
      <c r="V242">
        <v>0.34</v>
      </c>
      <c r="W242">
        <v>5</v>
      </c>
      <c r="X242" s="5">
        <f t="shared" si="9"/>
        <v>3.18359375</v>
      </c>
      <c r="Y242" s="6">
        <f t="shared" si="10"/>
        <v>935374700</v>
      </c>
    </row>
    <row r="243" spans="2:25" x14ac:dyDescent="0.25">
      <c r="B243" t="str">
        <f>Siam_Chart[[#This Row],[Name]]</f>
        <v>FPI</v>
      </c>
      <c r="C243">
        <f>Siam_Chart[[#This Row],[No.]]</f>
        <v>242</v>
      </c>
      <c r="D243">
        <f>Siam_Chart[[#This Row],[Last]]</f>
        <v>1.69</v>
      </c>
      <c r="E243">
        <f>Siam_Chart[[#This Row],[Chg%]]</f>
        <v>-0.59</v>
      </c>
      <c r="F243">
        <f>Siam_Chart[[#This Row],[Volume]]</f>
        <v>158901</v>
      </c>
      <c r="G243">
        <f>Siam_Chart[[#This Row],[Value (k)]]</f>
        <v>270076.69</v>
      </c>
      <c r="H243" cm="1">
        <f t="array" ref="H243:W243">Siam_Chart[[#This Row],[MCap (M)]:[CG]]</f>
        <v>2557020588.46</v>
      </c>
      <c r="I243">
        <v>8.15</v>
      </c>
      <c r="J243">
        <v>0.95</v>
      </c>
      <c r="K243">
        <v>0.857881</v>
      </c>
      <c r="L243">
        <v>0.04</v>
      </c>
      <c r="M243">
        <v>0.12</v>
      </c>
      <c r="N243">
        <v>9.9520350000000004</v>
      </c>
      <c r="O243">
        <v>12.075702</v>
      </c>
      <c r="P243">
        <v>12.575372</v>
      </c>
      <c r="Q243">
        <v>4.7300000000000004</v>
      </c>
      <c r="R243" t="str">
        <v/>
      </c>
      <c r="S243" t="str">
        <v/>
      </c>
      <c r="T243">
        <v>452</v>
      </c>
      <c r="U243">
        <v>392</v>
      </c>
      <c r="V243">
        <v>-3.92</v>
      </c>
      <c r="W243">
        <v>5</v>
      </c>
      <c r="X243" s="5">
        <f t="shared" si="9"/>
        <v>1.7789473684210526</v>
      </c>
      <c r="Y243" s="6">
        <f t="shared" si="10"/>
        <v>1513029934</v>
      </c>
    </row>
    <row r="244" spans="2:25" x14ac:dyDescent="0.25">
      <c r="B244" t="str">
        <f>Siam_Chart[[#This Row],[Name]]</f>
        <v>FPT</v>
      </c>
      <c r="C244">
        <f>Siam_Chart[[#This Row],[No.]]</f>
        <v>243</v>
      </c>
      <c r="D244">
        <f>Siam_Chart[[#This Row],[Last]]</f>
        <v>7.4</v>
      </c>
      <c r="E244">
        <f>Siam_Chart[[#This Row],[Chg%]]</f>
        <v>4.96</v>
      </c>
      <c r="F244">
        <f>Siam_Chart[[#This Row],[Volume]]</f>
        <v>121421</v>
      </c>
      <c r="G244">
        <f>Siam_Chart[[#This Row],[Value (k)]]</f>
        <v>879576.35</v>
      </c>
      <c r="H244" cm="1">
        <f t="array" ref="H244:W244">Siam_Chart[[#This Row],[MCap (M)]:[CG]]</f>
        <v>17162652900.6</v>
      </c>
      <c r="I244">
        <v>7.25</v>
      </c>
      <c r="J244">
        <v>0.45</v>
      </c>
      <c r="K244">
        <v>1.6637869999999999</v>
      </c>
      <c r="L244">
        <v>0.32</v>
      </c>
      <c r="M244">
        <v>0.91</v>
      </c>
      <c r="N244">
        <v>3.7526470000000001</v>
      </c>
      <c r="O244">
        <v>6.3180519999999998</v>
      </c>
      <c r="P244">
        <v>22.309182</v>
      </c>
      <c r="Q244">
        <v>4.32</v>
      </c>
      <c r="R244" t="str">
        <v/>
      </c>
      <c r="S244" t="str">
        <v/>
      </c>
      <c r="T244">
        <v>541</v>
      </c>
      <c r="U244">
        <v>617</v>
      </c>
      <c r="V244">
        <v>2.84</v>
      </c>
      <c r="W244">
        <v>5</v>
      </c>
      <c r="X244" s="5">
        <f t="shared" si="9"/>
        <v>16.444444444444446</v>
      </c>
      <c r="Y244" s="6">
        <f t="shared" si="10"/>
        <v>2319277419</v>
      </c>
    </row>
    <row r="245" spans="2:25" x14ac:dyDescent="0.25">
      <c r="B245" t="str">
        <f>Siam_Chart[[#This Row],[Name]]</f>
        <v>FSMART</v>
      </c>
      <c r="C245">
        <f>Siam_Chart[[#This Row],[No.]]</f>
        <v>244</v>
      </c>
      <c r="D245">
        <f>Siam_Chart[[#This Row],[Last]]</f>
        <v>7.25</v>
      </c>
      <c r="E245">
        <f>Siam_Chart[[#This Row],[Chg%]]</f>
        <v>-1.36</v>
      </c>
      <c r="F245">
        <f>Siam_Chart[[#This Row],[Volume]]</f>
        <v>557323</v>
      </c>
      <c r="G245">
        <f>Siam_Chart[[#This Row],[Value (k)]]</f>
        <v>4029821.95</v>
      </c>
      <c r="H245" cm="1">
        <f t="array" ref="H245:W245">Siam_Chart[[#This Row],[MCap (M)]:[CG]]</f>
        <v>5460274425</v>
      </c>
      <c r="I245">
        <v>9.9700000000000006</v>
      </c>
      <c r="J245">
        <v>2.93</v>
      </c>
      <c r="K245">
        <v>1.0178579999999999</v>
      </c>
      <c r="L245">
        <v>0.18</v>
      </c>
      <c r="M245">
        <v>0.36</v>
      </c>
      <c r="N245">
        <v>19.117213</v>
      </c>
      <c r="O245">
        <v>31.653423</v>
      </c>
      <c r="P245">
        <v>21.340288999999999</v>
      </c>
      <c r="Q245">
        <v>5.24</v>
      </c>
      <c r="R245" t="str">
        <v/>
      </c>
      <c r="S245" t="str">
        <v/>
      </c>
      <c r="T245">
        <v>298</v>
      </c>
      <c r="U245">
        <v>297</v>
      </c>
      <c r="V245">
        <v>0.75</v>
      </c>
      <c r="W245">
        <v>5</v>
      </c>
      <c r="X245" s="5">
        <f t="shared" si="9"/>
        <v>2.4744027303754264</v>
      </c>
      <c r="Y245" s="6">
        <f t="shared" si="10"/>
        <v>753141300</v>
      </c>
    </row>
    <row r="246" spans="2:25" x14ac:dyDescent="0.25">
      <c r="B246" t="str">
        <f>Siam_Chart[[#This Row],[Name]]</f>
        <v>FSX</v>
      </c>
      <c r="C246">
        <f>Siam_Chart[[#This Row],[No.]]</f>
        <v>245</v>
      </c>
      <c r="D246">
        <f>Siam_Chart[[#This Row],[Last]]</f>
        <v>1.06</v>
      </c>
      <c r="E246">
        <f>Siam_Chart[[#This Row],[Chg%]]</f>
        <v>0.95</v>
      </c>
      <c r="F246">
        <f>Siam_Chart[[#This Row],[Volume]]</f>
        <v>97100</v>
      </c>
      <c r="G246">
        <f>Siam_Chart[[#This Row],[Value (k)]]</f>
        <v>103145</v>
      </c>
      <c r="H246" cm="1">
        <f t="array" ref="H246:W246">Siam_Chart[[#This Row],[MCap (M)]:[CG]]</f>
        <v>1207611923.9200001</v>
      </c>
      <c r="I246">
        <v>1219004489.24</v>
      </c>
      <c r="J246">
        <v>0.35</v>
      </c>
      <c r="K246">
        <v>1.018005</v>
      </c>
      <c r="L246">
        <v>-0.18</v>
      </c>
      <c r="M246">
        <v>-0.18</v>
      </c>
      <c r="N246">
        <v>-6.7850679999999999</v>
      </c>
      <c r="O246">
        <v>-13.631726</v>
      </c>
      <c r="P246">
        <v>-36.422314</v>
      </c>
      <c r="Q246">
        <v>0.35</v>
      </c>
      <c r="R246" t="str">
        <v/>
      </c>
      <c r="S246" t="str">
        <v/>
      </c>
      <c r="T246">
        <v>0</v>
      </c>
      <c r="U246">
        <v>0</v>
      </c>
      <c r="V246">
        <v>0</v>
      </c>
      <c r="W246">
        <v>5</v>
      </c>
      <c r="X246" s="5">
        <f t="shared" si="9"/>
        <v>3.0285714285714289</v>
      </c>
      <c r="Y246" s="6">
        <f t="shared" si="10"/>
        <v>1139256532</v>
      </c>
    </row>
    <row r="247" spans="2:25" x14ac:dyDescent="0.25">
      <c r="B247" t="str">
        <f>Siam_Chart[[#This Row],[Name]]</f>
        <v>FTE</v>
      </c>
      <c r="C247">
        <f>Siam_Chart[[#This Row],[No.]]</f>
        <v>246</v>
      </c>
      <c r="D247">
        <f>Siam_Chart[[#This Row],[Last]]</f>
        <v>2.72</v>
      </c>
      <c r="E247">
        <f>Siam_Chart[[#This Row],[Chg%]]</f>
        <v>-0.73</v>
      </c>
      <c r="F247">
        <f>Siam_Chart[[#This Row],[Volume]]</f>
        <v>119316</v>
      </c>
      <c r="G247">
        <f>Siam_Chart[[#This Row],[Value (k)]]</f>
        <v>322569.21999999997</v>
      </c>
      <c r="H247" cm="1">
        <f t="array" ref="H247:W247">Siam_Chart[[#This Row],[MCap (M)]:[CG]]</f>
        <v>1795199793.28</v>
      </c>
      <c r="I247">
        <v>11.72</v>
      </c>
      <c r="J247">
        <v>2</v>
      </c>
      <c r="K247">
        <v>0.52610699999999999</v>
      </c>
      <c r="L247">
        <v>0.1</v>
      </c>
      <c r="M247">
        <v>0.14000000000000001</v>
      </c>
      <c r="N247">
        <v>15.277734000000001</v>
      </c>
      <c r="O247">
        <v>17.433264000000001</v>
      </c>
      <c r="P247">
        <v>10.443845</v>
      </c>
      <c r="Q247">
        <v>6.25</v>
      </c>
      <c r="R247" t="str">
        <v/>
      </c>
      <c r="S247" t="str">
        <v/>
      </c>
      <c r="T247">
        <v>472</v>
      </c>
      <c r="U247">
        <v>422</v>
      </c>
      <c r="V247">
        <v>0.36</v>
      </c>
      <c r="W247">
        <v>3</v>
      </c>
      <c r="X247" s="5">
        <f t="shared" si="9"/>
        <v>1.36</v>
      </c>
      <c r="Y247" s="6">
        <f t="shared" si="10"/>
        <v>659999924</v>
      </c>
    </row>
    <row r="248" spans="2:25" x14ac:dyDescent="0.25">
      <c r="B248" t="str">
        <f>Siam_Chart[[#This Row],[Name]]</f>
        <v>FTI</v>
      </c>
      <c r="C248">
        <f>Siam_Chart[[#This Row],[No.]]</f>
        <v>247</v>
      </c>
      <c r="D248">
        <f>Siam_Chart[[#This Row],[Last]]</f>
        <v>1.93</v>
      </c>
      <c r="E248">
        <f>Siam_Chart[[#This Row],[Chg%]]</f>
        <v>6.04</v>
      </c>
      <c r="F248">
        <f>Siam_Chart[[#This Row],[Volume]]</f>
        <v>31020</v>
      </c>
      <c r="G248">
        <f>Siam_Chart[[#This Row],[Value (k)]]</f>
        <v>58421.4</v>
      </c>
      <c r="H248" cm="1">
        <f t="array" ref="H248:W248">Siam_Chart[[#This Row],[MCap (M)]:[CG]]</f>
        <v>868500000</v>
      </c>
      <c r="I248">
        <v>12.36</v>
      </c>
      <c r="J248">
        <v>1.1499999999999999</v>
      </c>
      <c r="K248">
        <v>0.1928</v>
      </c>
      <c r="L248">
        <v>0.04</v>
      </c>
      <c r="M248">
        <v>0.11</v>
      </c>
      <c r="N248">
        <v>9.8642749999999992</v>
      </c>
      <c r="O248">
        <v>9.5388199999999994</v>
      </c>
      <c r="P248">
        <v>11.410556</v>
      </c>
      <c r="Q248">
        <v>4.1500000000000004</v>
      </c>
      <c r="R248" t="str">
        <v/>
      </c>
      <c r="S248" t="str">
        <v/>
      </c>
      <c r="T248">
        <v>0</v>
      </c>
      <c r="U248">
        <v>0</v>
      </c>
      <c r="V248">
        <v>0</v>
      </c>
      <c r="W248">
        <v>5</v>
      </c>
      <c r="X248" s="5">
        <f t="shared" si="9"/>
        <v>1.6782608695652175</v>
      </c>
      <c r="Y248" s="6">
        <f t="shared" si="10"/>
        <v>450000000</v>
      </c>
    </row>
    <row r="249" spans="2:25" x14ac:dyDescent="0.25">
      <c r="B249" t="str">
        <f>Siam_Chart[[#This Row],[Name]]</f>
        <v>FVC</v>
      </c>
      <c r="C249">
        <f>Siam_Chart[[#This Row],[No.]]</f>
        <v>248</v>
      </c>
      <c r="D249">
        <f>Siam_Chart[[#This Row],[Last]]</f>
        <v>0.3</v>
      </c>
      <c r="E249">
        <f>Siam_Chart[[#This Row],[Chg%]]</f>
        <v>-3.23</v>
      </c>
      <c r="F249">
        <f>Siam_Chart[[#This Row],[Volume]]</f>
        <v>369901</v>
      </c>
      <c r="G249">
        <f>Siam_Chart[[#This Row],[Value (k)]]</f>
        <v>113668.33</v>
      </c>
      <c r="H249" cm="1">
        <f t="array" ref="H249:W249">Siam_Chart[[#This Row],[MCap (M)]:[CG]]</f>
        <v>657262140.60000002</v>
      </c>
      <c r="I249">
        <v>657262140.60000002</v>
      </c>
      <c r="J249">
        <v>0.5</v>
      </c>
      <c r="K249">
        <v>0.754216</v>
      </c>
      <c r="L249">
        <v>0.01</v>
      </c>
      <c r="M249">
        <v>-0.05</v>
      </c>
      <c r="N249">
        <v>4.864198</v>
      </c>
      <c r="O249">
        <v>-10.842549</v>
      </c>
      <c r="P249">
        <v>-23.002800000000001</v>
      </c>
      <c r="Q249">
        <v>0.5</v>
      </c>
      <c r="R249" t="str">
        <v/>
      </c>
      <c r="S249" t="str">
        <v/>
      </c>
      <c r="T249">
        <v>0</v>
      </c>
      <c r="U249">
        <v>0</v>
      </c>
      <c r="V249">
        <v>0</v>
      </c>
      <c r="W249">
        <v>4</v>
      </c>
      <c r="X249" s="5">
        <f t="shared" si="9"/>
        <v>0.6</v>
      </c>
      <c r="Y249" s="6">
        <f t="shared" si="10"/>
        <v>2190873802</v>
      </c>
    </row>
    <row r="250" spans="2:25" x14ac:dyDescent="0.25">
      <c r="B250" t="str">
        <f>Siam_Chart[[#This Row],[Name]]</f>
        <v>GABLE</v>
      </c>
      <c r="C250">
        <f>Siam_Chart[[#This Row],[No.]]</f>
        <v>249</v>
      </c>
      <c r="D250">
        <f>Siam_Chart[[#This Row],[Last]]</f>
        <v>3.98</v>
      </c>
      <c r="E250">
        <f>Siam_Chart[[#This Row],[Chg%]]</f>
        <v>0</v>
      </c>
      <c r="F250">
        <f>Siam_Chart[[#This Row],[Volume]]</f>
        <v>258200</v>
      </c>
      <c r="G250">
        <f>Siam_Chart[[#This Row],[Value (k)]]</f>
        <v>1025290</v>
      </c>
      <c r="H250" cm="1">
        <f t="array" ref="H250:W250">Siam_Chart[[#This Row],[MCap (M)]:[CG]]</f>
        <v>2786085251.5999999</v>
      </c>
      <c r="I250">
        <v>7.27</v>
      </c>
      <c r="J250">
        <v>1.26</v>
      </c>
      <c r="K250">
        <v>1.8943890000000001</v>
      </c>
      <c r="L250">
        <v>0.32</v>
      </c>
      <c r="M250">
        <v>0.21</v>
      </c>
      <c r="N250">
        <v>7.9580979999999997</v>
      </c>
      <c r="O250">
        <v>17.902750000000001</v>
      </c>
      <c r="P250">
        <v>4.5561449999999999</v>
      </c>
      <c r="Q250">
        <v>8.0399999999999991</v>
      </c>
      <c r="R250" t="str">
        <v/>
      </c>
      <c r="S250" t="str">
        <v/>
      </c>
      <c r="T250">
        <v>224</v>
      </c>
      <c r="U250">
        <v>333</v>
      </c>
      <c r="V250">
        <v>1.21</v>
      </c>
      <c r="W250">
        <v>5</v>
      </c>
      <c r="X250" s="5">
        <f t="shared" si="9"/>
        <v>3.1587301587301586</v>
      </c>
      <c r="Y250" s="6">
        <f t="shared" si="10"/>
        <v>700021420</v>
      </c>
    </row>
    <row r="251" spans="2:25" x14ac:dyDescent="0.25">
      <c r="B251" t="str">
        <f>Siam_Chart[[#This Row],[Name]]</f>
        <v>GBX</v>
      </c>
      <c r="C251">
        <f>Siam_Chart[[#This Row],[No.]]</f>
        <v>250</v>
      </c>
      <c r="D251">
        <f>Siam_Chart[[#This Row],[Last]]</f>
        <v>0.77</v>
      </c>
      <c r="E251">
        <f>Siam_Chart[[#This Row],[Chg%]]</f>
        <v>10</v>
      </c>
      <c r="F251">
        <f>Siam_Chart[[#This Row],[Volume]]</f>
        <v>19264115</v>
      </c>
      <c r="G251">
        <f>Siam_Chart[[#This Row],[Value (k)]]</f>
        <v>14734109.789999999</v>
      </c>
      <c r="H251" cm="1">
        <f t="array" ref="H251:W251">Siam_Chart[[#This Row],[MCap (M)]:[CG]]</f>
        <v>838588821.84000003</v>
      </c>
      <c r="I251">
        <v>7.35</v>
      </c>
      <c r="J251">
        <v>0.6</v>
      </c>
      <c r="K251">
        <v>1.573345</v>
      </c>
      <c r="L251">
        <v>4.0000000000000001E-3</v>
      </c>
      <c r="M251">
        <v>0.06</v>
      </c>
      <c r="N251">
        <v>5.3929609999999997</v>
      </c>
      <c r="O251">
        <v>8.446847</v>
      </c>
      <c r="P251">
        <v>12.924666999999999</v>
      </c>
      <c r="Q251">
        <v>0.52</v>
      </c>
      <c r="R251" t="str">
        <v/>
      </c>
      <c r="S251" t="str">
        <v/>
      </c>
      <c r="T251">
        <v>920</v>
      </c>
      <c r="U251">
        <v>1008</v>
      </c>
      <c r="V251">
        <v>-0.11</v>
      </c>
      <c r="W251">
        <v>3</v>
      </c>
      <c r="X251" s="5">
        <f t="shared" si="9"/>
        <v>1.2833333333333334</v>
      </c>
      <c r="Y251" s="6">
        <f t="shared" si="10"/>
        <v>1089076392</v>
      </c>
    </row>
    <row r="252" spans="2:25" x14ac:dyDescent="0.25">
      <c r="B252" t="str">
        <f>Siam_Chart[[#This Row],[Name]]</f>
        <v>GC</v>
      </c>
      <c r="C252">
        <f>Siam_Chart[[#This Row],[No.]]</f>
        <v>251</v>
      </c>
      <c r="D252">
        <f>Siam_Chart[[#This Row],[Last]]</f>
        <v>5.25</v>
      </c>
      <c r="E252">
        <f>Siam_Chart[[#This Row],[Chg%]]</f>
        <v>0</v>
      </c>
      <c r="F252">
        <f>Siam_Chart[[#This Row],[Volume]]</f>
        <v>258939</v>
      </c>
      <c r="G252">
        <f>Siam_Chart[[#This Row],[Value (k)]]</f>
        <v>1360631.65</v>
      </c>
      <c r="H252" cm="1">
        <f t="array" ref="H252:W252">Siam_Chart[[#This Row],[MCap (M)]:[CG]]</f>
        <v>2309999286</v>
      </c>
      <c r="I252">
        <v>7.01</v>
      </c>
      <c r="J252">
        <v>2.91</v>
      </c>
      <c r="K252">
        <v>2.1876579999999999</v>
      </c>
      <c r="L252">
        <v>0.25</v>
      </c>
      <c r="M252">
        <v>0.53</v>
      </c>
      <c r="N252">
        <v>18.933391</v>
      </c>
      <c r="O252">
        <v>45.694679999999998</v>
      </c>
      <c r="P252">
        <v>7.0832629999999996</v>
      </c>
      <c r="Q252">
        <v>7.81</v>
      </c>
      <c r="R252" t="str">
        <v/>
      </c>
      <c r="S252" t="str">
        <v/>
      </c>
      <c r="T252">
        <v>141</v>
      </c>
      <c r="U252">
        <v>159</v>
      </c>
      <c r="V252">
        <v>5.81</v>
      </c>
      <c r="W252">
        <v>5</v>
      </c>
      <c r="X252" s="5">
        <f t="shared" si="9"/>
        <v>1.804123711340206</v>
      </c>
      <c r="Y252" s="6">
        <f t="shared" si="10"/>
        <v>439999864</v>
      </c>
    </row>
    <row r="253" spans="2:25" x14ac:dyDescent="0.25">
      <c r="B253" t="str">
        <f>Siam_Chart[[#This Row],[Name]]</f>
        <v>GCAP</v>
      </c>
      <c r="C253">
        <f>Siam_Chart[[#This Row],[No.]]</f>
        <v>252</v>
      </c>
      <c r="D253">
        <f>Siam_Chart[[#This Row],[Last]]</f>
        <v>0.25</v>
      </c>
      <c r="E253">
        <f>Siam_Chart[[#This Row],[Chg%]]</f>
        <v>4.17</v>
      </c>
      <c r="F253">
        <f>Siam_Chart[[#This Row],[Volume]]</f>
        <v>804200</v>
      </c>
      <c r="G253">
        <f>Siam_Chart[[#This Row],[Value (k)]]</f>
        <v>201212</v>
      </c>
      <c r="H253" cm="1">
        <f t="array" ref="H253:W253">Siam_Chart[[#This Row],[MCap (M)]:[CG]]</f>
        <v>135474335</v>
      </c>
      <c r="I253">
        <v>130055361.59999999</v>
      </c>
      <c r="J253">
        <v>0.33</v>
      </c>
      <c r="K253">
        <v>1.14737</v>
      </c>
      <c r="L253">
        <v>0.1</v>
      </c>
      <c r="M253">
        <v>-0.03</v>
      </c>
      <c r="N253">
        <v>-5.3919170000000003</v>
      </c>
      <c r="O253">
        <v>-19.255019999999998</v>
      </c>
      <c r="P253">
        <v>-29.645015999999998</v>
      </c>
      <c r="Q253">
        <v>0.32</v>
      </c>
      <c r="R253" t="str">
        <v/>
      </c>
      <c r="S253" t="str">
        <v/>
      </c>
      <c r="T253">
        <v>0</v>
      </c>
      <c r="U253">
        <v>0</v>
      </c>
      <c r="V253">
        <v>0</v>
      </c>
      <c r="W253">
        <v>5</v>
      </c>
      <c r="X253" s="5">
        <f t="shared" si="9"/>
        <v>0.75757575757575757</v>
      </c>
      <c r="Y253" s="6">
        <f t="shared" si="10"/>
        <v>541897340</v>
      </c>
    </row>
    <row r="254" spans="2:25" x14ac:dyDescent="0.25">
      <c r="B254" t="str">
        <f>Siam_Chart[[#This Row],[Name]]</f>
        <v>GEL</v>
      </c>
      <c r="C254">
        <f>Siam_Chart[[#This Row],[No.]]</f>
        <v>253</v>
      </c>
      <c r="D254">
        <f>Siam_Chart[[#This Row],[Last]]</f>
        <v>0.05</v>
      </c>
      <c r="E254">
        <f>Siam_Chart[[#This Row],[Chg%]]</f>
        <v>25</v>
      </c>
      <c r="F254">
        <f>Siam_Chart[[#This Row],[Volume]]</f>
        <v>362710</v>
      </c>
      <c r="G254">
        <f>Siam_Chart[[#This Row],[Value (k)]]</f>
        <v>14529.4</v>
      </c>
      <c r="H254" cm="1">
        <f t="array" ref="H254:W254">Siam_Chart[[#This Row],[MCap (M)]:[CG]]</f>
        <v>430602452.64999998</v>
      </c>
      <c r="I254">
        <v>344481962.12</v>
      </c>
      <c r="J254">
        <v>0.2</v>
      </c>
      <c r="K254">
        <v>2.1055649999999999</v>
      </c>
      <c r="L254">
        <v>-0.03</v>
      </c>
      <c r="M254">
        <v>-0.03</v>
      </c>
      <c r="N254">
        <v>-4.932938</v>
      </c>
      <c r="O254">
        <v>-19.924686000000001</v>
      </c>
      <c r="P254">
        <v>-39.883445999999999</v>
      </c>
      <c r="Q254">
        <v>0.16</v>
      </c>
      <c r="R254" t="str">
        <v/>
      </c>
      <c r="S254" t="str">
        <v/>
      </c>
      <c r="T254">
        <v>0</v>
      </c>
      <c r="U254">
        <v>0</v>
      </c>
      <c r="V254">
        <v>0</v>
      </c>
      <c r="W254">
        <v>4</v>
      </c>
      <c r="X254" s="5">
        <f t="shared" si="9"/>
        <v>0.25</v>
      </c>
      <c r="Y254" s="6">
        <f t="shared" si="10"/>
        <v>8612049052.9999981</v>
      </c>
    </row>
    <row r="255" spans="2:25" x14ac:dyDescent="0.25">
      <c r="B255" t="str">
        <f>Siam_Chart[[#This Row],[Name]]</f>
        <v>GENCO</v>
      </c>
      <c r="C255">
        <f>Siam_Chart[[#This Row],[No.]]</f>
        <v>254</v>
      </c>
      <c r="D255">
        <f>Siam_Chart[[#This Row],[Last]]</f>
        <v>0.33</v>
      </c>
      <c r="E255">
        <f>Siam_Chart[[#This Row],[Chg%]]</f>
        <v>0</v>
      </c>
      <c r="F255">
        <f>Siam_Chart[[#This Row],[Volume]]</f>
        <v>111400</v>
      </c>
      <c r="G255">
        <f>Siam_Chart[[#This Row],[Value (k)]]</f>
        <v>35682</v>
      </c>
      <c r="H255" cm="1">
        <f t="array" ref="H255:W255">Siam_Chart[[#This Row],[MCap (M)]:[CG]]</f>
        <v>370358216.25</v>
      </c>
      <c r="I255">
        <v>8.07</v>
      </c>
      <c r="J255">
        <v>0.33</v>
      </c>
      <c r="K255">
        <v>0.30118600000000001</v>
      </c>
      <c r="L255">
        <v>0.01</v>
      </c>
      <c r="M255">
        <v>0.01</v>
      </c>
      <c r="N255">
        <v>3.5977700000000001</v>
      </c>
      <c r="O255">
        <v>4.0885319999999998</v>
      </c>
      <c r="P255">
        <v>4.1997929999999997</v>
      </c>
      <c r="Q255">
        <v>0.34</v>
      </c>
      <c r="R255" t="str">
        <v/>
      </c>
      <c r="S255" t="str">
        <v/>
      </c>
      <c r="T255">
        <v>682</v>
      </c>
      <c r="U255">
        <v>651</v>
      </c>
      <c r="V255">
        <v>-0.1</v>
      </c>
      <c r="W255">
        <v>0</v>
      </c>
      <c r="X255" s="5">
        <f t="shared" si="9"/>
        <v>1</v>
      </c>
      <c r="Y255" s="6">
        <f t="shared" si="10"/>
        <v>1122297625</v>
      </c>
    </row>
    <row r="256" spans="2:25" x14ac:dyDescent="0.25">
      <c r="B256" t="str">
        <f>Siam_Chart[[#This Row],[Name]]</f>
        <v>GFC</v>
      </c>
      <c r="C256">
        <f>Siam_Chart[[#This Row],[No.]]</f>
        <v>255</v>
      </c>
      <c r="D256">
        <f>Siam_Chart[[#This Row],[Last]]</f>
        <v>2.14</v>
      </c>
      <c r="E256">
        <f>Siam_Chart[[#This Row],[Chg%]]</f>
        <v>-0.93</v>
      </c>
      <c r="F256">
        <f>Siam_Chart[[#This Row],[Volume]]</f>
        <v>55300</v>
      </c>
      <c r="G256">
        <f>Siam_Chart[[#This Row],[Value (k)]]</f>
        <v>117578</v>
      </c>
      <c r="H256" cm="1">
        <f t="array" ref="H256:W256">Siam_Chart[[#This Row],[MCap (M)]:[CG]]</f>
        <v>470800000</v>
      </c>
      <c r="I256">
        <v>470800000</v>
      </c>
      <c r="J256">
        <v>0.88</v>
      </c>
      <c r="K256">
        <v>0.119004</v>
      </c>
      <c r="L256">
        <v>0.03</v>
      </c>
      <c r="M256">
        <v>-0.05</v>
      </c>
      <c r="N256">
        <v>0.63014899999999996</v>
      </c>
      <c r="O256">
        <v>-0.41365099999999999</v>
      </c>
      <c r="P256">
        <v>-7.893389</v>
      </c>
      <c r="Q256">
        <v>6.07</v>
      </c>
      <c r="R256" t="str">
        <v/>
      </c>
      <c r="S256" t="str">
        <v/>
      </c>
      <c r="T256">
        <v>0</v>
      </c>
      <c r="U256">
        <v>0</v>
      </c>
      <c r="V256">
        <v>0</v>
      </c>
      <c r="W256">
        <v>5</v>
      </c>
      <c r="X256" s="5">
        <f t="shared" si="9"/>
        <v>2.4318181818181821</v>
      </c>
      <c r="Y256" s="6">
        <f t="shared" si="10"/>
        <v>220000000</v>
      </c>
    </row>
    <row r="257" spans="2:25" x14ac:dyDescent="0.25">
      <c r="B257" t="str">
        <f>Siam_Chart[[#This Row],[Name]]</f>
        <v>GFPT</v>
      </c>
      <c r="C257">
        <f>Siam_Chart[[#This Row],[No.]]</f>
        <v>256</v>
      </c>
      <c r="D257">
        <f>Siam_Chart[[#This Row],[Last]]</f>
        <v>10</v>
      </c>
      <c r="E257">
        <f>Siam_Chart[[#This Row],[Chg%]]</f>
        <v>-0.99</v>
      </c>
      <c r="F257">
        <f>Siam_Chart[[#This Row],[Volume]]</f>
        <v>3033618</v>
      </c>
      <c r="G257">
        <f>Siam_Chart[[#This Row],[Value (k)]]</f>
        <v>30343081.199999999</v>
      </c>
      <c r="H257" cm="1">
        <f t="array" ref="H257:W257">Siam_Chart[[#This Row],[MCap (M)]:[CG]]</f>
        <v>12538210000</v>
      </c>
      <c r="I257">
        <v>5.51</v>
      </c>
      <c r="J257">
        <v>0.56000000000000005</v>
      </c>
      <c r="K257">
        <v>0.27258500000000002</v>
      </c>
      <c r="L257">
        <v>0.2</v>
      </c>
      <c r="M257">
        <v>0.89</v>
      </c>
      <c r="N257">
        <v>9.3960059999999999</v>
      </c>
      <c r="O257">
        <v>10.642699</v>
      </c>
      <c r="P257">
        <v>12.349394999999999</v>
      </c>
      <c r="Q257">
        <v>2</v>
      </c>
      <c r="R257" t="str">
        <v/>
      </c>
      <c r="S257" t="str">
        <v/>
      </c>
      <c r="T257">
        <v>297</v>
      </c>
      <c r="U257">
        <v>226</v>
      </c>
      <c r="V257">
        <v>0.02</v>
      </c>
      <c r="W257">
        <v>5</v>
      </c>
      <c r="X257" s="5">
        <f t="shared" si="9"/>
        <v>17.857142857142854</v>
      </c>
      <c r="Y257" s="6">
        <f t="shared" si="10"/>
        <v>1253821000</v>
      </c>
    </row>
    <row r="258" spans="2:25" x14ac:dyDescent="0.25">
      <c r="B258" t="str">
        <f>Siam_Chart[[#This Row],[Name]]</f>
        <v>GGC</v>
      </c>
      <c r="C258">
        <f>Siam_Chart[[#This Row],[No.]]</f>
        <v>257</v>
      </c>
      <c r="D258">
        <f>Siam_Chart[[#This Row],[Last]]</f>
        <v>5.7</v>
      </c>
      <c r="E258">
        <f>Siam_Chart[[#This Row],[Chg%]]</f>
        <v>-1.72</v>
      </c>
      <c r="F258">
        <f>Siam_Chart[[#This Row],[Volume]]</f>
        <v>17100</v>
      </c>
      <c r="G258">
        <f>Siam_Chart[[#This Row],[Value (k)]]</f>
        <v>97495</v>
      </c>
      <c r="H258" cm="1">
        <f t="array" ref="H258:W258">Siam_Chart[[#This Row],[MCap (M)]:[CG]]</f>
        <v>5834900190</v>
      </c>
      <c r="I258">
        <v>42.2</v>
      </c>
      <c r="J258">
        <v>0.64</v>
      </c>
      <c r="K258">
        <v>0.20943899999999999</v>
      </c>
      <c r="L258">
        <v>0.1</v>
      </c>
      <c r="M258">
        <v>0.44</v>
      </c>
      <c r="N258">
        <v>0.87601300000000004</v>
      </c>
      <c r="O258">
        <v>1.518956</v>
      </c>
      <c r="P258">
        <v>4.0371160000000001</v>
      </c>
      <c r="Q258">
        <v>0.61</v>
      </c>
      <c r="R258" t="str">
        <v/>
      </c>
      <c r="S258" t="str">
        <v/>
      </c>
      <c r="T258">
        <v>1254</v>
      </c>
      <c r="U258">
        <v>1308</v>
      </c>
      <c r="V258">
        <v>0.5</v>
      </c>
      <c r="W258">
        <v>5</v>
      </c>
      <c r="X258" s="5">
        <f t="shared" si="9"/>
        <v>8.90625</v>
      </c>
      <c r="Y258" s="6">
        <f t="shared" si="10"/>
        <v>1023666700</v>
      </c>
    </row>
    <row r="259" spans="2:25" x14ac:dyDescent="0.25">
      <c r="B259" t="str">
        <f>Siam_Chart[[#This Row],[Name]]</f>
        <v>GJS</v>
      </c>
      <c r="C259">
        <f>Siam_Chart[[#This Row],[No.]]</f>
        <v>258</v>
      </c>
      <c r="D259">
        <f>Siam_Chart[[#This Row],[Last]]</f>
        <v>0.13</v>
      </c>
      <c r="E259">
        <f>Siam_Chart[[#This Row],[Chg%]]</f>
        <v>0</v>
      </c>
      <c r="F259">
        <f>Siam_Chart[[#This Row],[Volume]]</f>
        <v>77201</v>
      </c>
      <c r="G259">
        <f>Siam_Chart[[#This Row],[Value (k)]]</f>
        <v>9272.1200000000008</v>
      </c>
      <c r="H259" cm="1">
        <f t="array" ref="H259:W259">Siam_Chart[[#This Row],[MCap (M)]:[CG]]</f>
        <v>3313327536.48</v>
      </c>
      <c r="I259">
        <v>3058456187.52</v>
      </c>
      <c r="J259">
        <v>0.33</v>
      </c>
      <c r="K259">
        <v>0.21971399999999999</v>
      </c>
      <c r="L259">
        <v>-0.01</v>
      </c>
      <c r="M259">
        <v>-0.01</v>
      </c>
      <c r="N259">
        <v>-4.8568239999999996</v>
      </c>
      <c r="O259">
        <v>-5.7319430000000002</v>
      </c>
      <c r="P259">
        <v>-1.9985569999999999</v>
      </c>
      <c r="Q259">
        <v>0.31</v>
      </c>
      <c r="R259" t="str">
        <v/>
      </c>
      <c r="S259" t="str">
        <v/>
      </c>
      <c r="T259">
        <v>0</v>
      </c>
      <c r="U259">
        <v>0</v>
      </c>
      <c r="V259">
        <v>0</v>
      </c>
      <c r="W259">
        <v>0</v>
      </c>
      <c r="X259" s="5">
        <f t="shared" si="9"/>
        <v>0.39393939393939392</v>
      </c>
      <c r="Y259" s="6">
        <f t="shared" si="10"/>
        <v>25487134896</v>
      </c>
    </row>
    <row r="260" spans="2:25" x14ac:dyDescent="0.25">
      <c r="B260" t="str">
        <f>Siam_Chart[[#This Row],[Name]]</f>
        <v>GLAND</v>
      </c>
      <c r="C260">
        <f>Siam_Chart[[#This Row],[No.]]</f>
        <v>259</v>
      </c>
      <c r="D260">
        <f>Siam_Chart[[#This Row],[Last]]</f>
        <v>2026</v>
      </c>
      <c r="E260">
        <f>Siam_Chart[[#This Row],[Chg%]]</f>
        <v>0</v>
      </c>
      <c r="F260">
        <f>Siam_Chart[[#This Row],[Volume]]</f>
        <v>0</v>
      </c>
      <c r="G260">
        <f>Siam_Chart[[#This Row],[Value (k)]]</f>
        <v>0</v>
      </c>
      <c r="H260" cm="1">
        <f t="array" ref="H260:W260">Siam_Chart[[#This Row],[MCap (M)]:[CG]]</f>
        <v>5200</v>
      </c>
      <c r="I260">
        <v>0</v>
      </c>
      <c r="J260">
        <v>0.64225781562043105</v>
      </c>
      <c r="K260">
        <v>0.642258</v>
      </c>
      <c r="L260">
        <v>0.03</v>
      </c>
      <c r="M260">
        <v>0.03</v>
      </c>
      <c r="N260">
        <v>2.605305</v>
      </c>
      <c r="O260">
        <v>2.5485039999999999</v>
      </c>
      <c r="P260">
        <v>28.675151</v>
      </c>
      <c r="Q260">
        <v>0</v>
      </c>
      <c r="R260" t="str">
        <v/>
      </c>
      <c r="S260" t="str">
        <v/>
      </c>
      <c r="T260">
        <v>1045</v>
      </c>
      <c r="U260">
        <v>1027</v>
      </c>
      <c r="V260">
        <v>-4.3899999999999997</v>
      </c>
      <c r="W260">
        <v>5</v>
      </c>
      <c r="X260" s="5">
        <f t="shared" ref="X260:X323" si="11">IFERROR(D260/J260,0)</f>
        <v>3154.496450997412</v>
      </c>
      <c r="Y260" s="6">
        <f t="shared" ref="Y260:Y323" si="12">IFERROR(H260/D260,0)</f>
        <v>2.5666337611056269</v>
      </c>
    </row>
    <row r="261" spans="2:25" x14ac:dyDescent="0.25">
      <c r="B261" t="str">
        <f>Siam_Chart[[#This Row],[Name]]</f>
        <v>GLOBAL</v>
      </c>
      <c r="C261">
        <f>Siam_Chart[[#This Row],[No.]]</f>
        <v>260</v>
      </c>
      <c r="D261">
        <f>Siam_Chart[[#This Row],[Last]]</f>
        <v>7.15</v>
      </c>
      <c r="E261">
        <f>Siam_Chart[[#This Row],[Chg%]]</f>
        <v>0</v>
      </c>
      <c r="F261">
        <f>Siam_Chart[[#This Row],[Volume]]</f>
        <v>15959943</v>
      </c>
      <c r="G261">
        <f>Siam_Chart[[#This Row],[Value (k)]]</f>
        <v>114417676.09999999</v>
      </c>
      <c r="H261" cm="1">
        <f t="array" ref="H261:W261">Siam_Chart[[#This Row],[MCap (M)]:[CG]]</f>
        <v>40054229093.449997</v>
      </c>
      <c r="I261">
        <v>15.53</v>
      </c>
      <c r="J261">
        <v>1.54</v>
      </c>
      <c r="K261">
        <v>0.47551300000000002</v>
      </c>
      <c r="L261">
        <v>0.184115</v>
      </c>
      <c r="M261">
        <v>0.31</v>
      </c>
      <c r="N261">
        <v>8.3404640000000008</v>
      </c>
      <c r="O261">
        <v>10.159812000000001</v>
      </c>
      <c r="P261">
        <v>10.172402999999999</v>
      </c>
      <c r="Q261">
        <v>2.48</v>
      </c>
      <c r="R261" t="str">
        <v/>
      </c>
      <c r="S261" t="str">
        <v/>
      </c>
      <c r="T261">
        <v>761</v>
      </c>
      <c r="U261">
        <v>714</v>
      </c>
      <c r="V261">
        <v>-1.37</v>
      </c>
      <c r="W261">
        <v>5</v>
      </c>
      <c r="X261" s="5">
        <f t="shared" si="11"/>
        <v>4.6428571428571432</v>
      </c>
      <c r="Y261" s="6">
        <f t="shared" si="12"/>
        <v>5601990082.999999</v>
      </c>
    </row>
    <row r="262" spans="2:25" x14ac:dyDescent="0.25">
      <c r="B262" t="str">
        <f>Siam_Chart[[#This Row],[Name]]</f>
        <v>GLORY</v>
      </c>
      <c r="C262">
        <f>Siam_Chart[[#This Row],[No.]]</f>
        <v>261</v>
      </c>
      <c r="D262">
        <f>Siam_Chart[[#This Row],[Last]]</f>
        <v>0.97</v>
      </c>
      <c r="E262">
        <f>Siam_Chart[[#This Row],[Chg%]]</f>
        <v>1.04</v>
      </c>
      <c r="F262">
        <f>Siam_Chart[[#This Row],[Volume]]</f>
        <v>32600</v>
      </c>
      <c r="G262">
        <f>Siam_Chart[[#This Row],[Value (k)]]</f>
        <v>31299</v>
      </c>
      <c r="H262" cm="1">
        <f t="array" ref="H262:W262">Siam_Chart[[#This Row],[MCap (M)]:[CG]]</f>
        <v>262368607</v>
      </c>
      <c r="I262">
        <v>278597593</v>
      </c>
      <c r="J262">
        <v>1.66</v>
      </c>
      <c r="K262">
        <v>0.16605800000000001</v>
      </c>
      <c r="L262">
        <v>0.06</v>
      </c>
      <c r="M262">
        <v>-11.527732598208132</v>
      </c>
      <c r="N262">
        <v>-11.527733</v>
      </c>
      <c r="O262">
        <v>-17.485271999999998</v>
      </c>
      <c r="P262">
        <v>1.385116</v>
      </c>
      <c r="Q262">
        <v>1.76</v>
      </c>
      <c r="R262" t="str">
        <v/>
      </c>
      <c r="S262" t="str">
        <v/>
      </c>
      <c r="T262">
        <v>0</v>
      </c>
      <c r="U262">
        <v>0</v>
      </c>
      <c r="V262">
        <v>0</v>
      </c>
      <c r="W262">
        <v>0</v>
      </c>
      <c r="X262" s="5">
        <f t="shared" si="11"/>
        <v>0.58433734939759041</v>
      </c>
      <c r="Y262" s="6">
        <f t="shared" si="12"/>
        <v>270483100</v>
      </c>
    </row>
    <row r="263" spans="2:25" x14ac:dyDescent="0.25">
      <c r="B263" t="str">
        <f>Siam_Chart[[#This Row],[Name]]</f>
        <v>GPI</v>
      </c>
      <c r="C263">
        <f>Siam_Chart[[#This Row],[No.]]</f>
        <v>262</v>
      </c>
      <c r="D263">
        <f>Siam_Chart[[#This Row],[Last]]</f>
        <v>1.76</v>
      </c>
      <c r="E263">
        <f>Siam_Chart[[#This Row],[Chg%]]</f>
        <v>0</v>
      </c>
      <c r="F263">
        <f>Siam_Chart[[#This Row],[Volume]]</f>
        <v>369100</v>
      </c>
      <c r="G263">
        <f>Siam_Chart[[#This Row],[Value (k)]]</f>
        <v>651470</v>
      </c>
      <c r="H263" cm="1">
        <f t="array" ref="H263:W263">Siam_Chart[[#This Row],[MCap (M)]:[CG]]</f>
        <v>1056000000</v>
      </c>
      <c r="I263">
        <v>10.74</v>
      </c>
      <c r="J263">
        <v>1.1599999999999999</v>
      </c>
      <c r="K263">
        <v>0.15446099999999999</v>
      </c>
      <c r="L263">
        <v>0.11</v>
      </c>
      <c r="M263">
        <v>0.37</v>
      </c>
      <c r="N263">
        <v>12.326389000000001</v>
      </c>
      <c r="O263">
        <v>10.795904999999999</v>
      </c>
      <c r="P263">
        <v>29.400534</v>
      </c>
      <c r="Q263">
        <v>9.66</v>
      </c>
      <c r="R263" t="str">
        <v/>
      </c>
      <c r="S263" t="str">
        <v/>
      </c>
      <c r="T263">
        <v>551</v>
      </c>
      <c r="U263">
        <v>476</v>
      </c>
      <c r="V263">
        <v>0.31</v>
      </c>
      <c r="W263">
        <v>3</v>
      </c>
      <c r="X263" s="5">
        <f t="shared" si="11"/>
        <v>1.517241379310345</v>
      </c>
      <c r="Y263" s="6">
        <f t="shared" si="12"/>
        <v>600000000</v>
      </c>
    </row>
    <row r="264" spans="2:25" x14ac:dyDescent="0.25">
      <c r="B264" t="str">
        <f>Siam_Chart[[#This Row],[Name]]</f>
        <v>GPSC</v>
      </c>
      <c r="C264">
        <f>Siam_Chart[[#This Row],[No.]]</f>
        <v>263</v>
      </c>
      <c r="D264">
        <f>Siam_Chart[[#This Row],[Last]]</f>
        <v>53.5</v>
      </c>
      <c r="E264">
        <f>Siam_Chart[[#This Row],[Chg%]]</f>
        <v>-1.38</v>
      </c>
      <c r="F264">
        <f>Siam_Chart[[#This Row],[Volume]]</f>
        <v>8373858</v>
      </c>
      <c r="G264">
        <f>Siam_Chart[[#This Row],[Value (k)]]</f>
        <v>449223123.25</v>
      </c>
      <c r="H264" cm="1">
        <f t="array" ref="H264:W264">Siam_Chart[[#This Row],[MCap (M)]:[CG]]</f>
        <v>150855521134.5</v>
      </c>
      <c r="I264">
        <v>22.26</v>
      </c>
      <c r="J264">
        <v>1.43</v>
      </c>
      <c r="K264">
        <v>1.2124619999999999</v>
      </c>
      <c r="L264">
        <v>0.55000000000000004</v>
      </c>
      <c r="M264">
        <v>1.25</v>
      </c>
      <c r="N264">
        <v>4.8325360000000002</v>
      </c>
      <c r="O264">
        <v>6.3188319999999996</v>
      </c>
      <c r="P264">
        <v>9.6344119999999993</v>
      </c>
      <c r="Q264">
        <v>2.71</v>
      </c>
      <c r="R264" t="str">
        <v/>
      </c>
      <c r="S264" t="str">
        <v/>
      </c>
      <c r="T264">
        <v>998</v>
      </c>
      <c r="U264">
        <v>1004</v>
      </c>
      <c r="V264">
        <v>0.28000000000000003</v>
      </c>
      <c r="W264">
        <v>5</v>
      </c>
      <c r="X264" s="5">
        <f t="shared" si="11"/>
        <v>37.412587412587413</v>
      </c>
      <c r="Y264" s="6">
        <f t="shared" si="12"/>
        <v>2819729367</v>
      </c>
    </row>
    <row r="265" spans="2:25" x14ac:dyDescent="0.25">
      <c r="B265" t="str">
        <f>Siam_Chart[[#This Row],[Name]]</f>
        <v>GRAMMY</v>
      </c>
      <c r="C265">
        <f>Siam_Chart[[#This Row],[No.]]</f>
        <v>264</v>
      </c>
      <c r="D265">
        <f>Siam_Chart[[#This Row],[Last]]</f>
        <v>3.34</v>
      </c>
      <c r="E265">
        <f>Siam_Chart[[#This Row],[Chg%]]</f>
        <v>-0.6</v>
      </c>
      <c r="F265">
        <f>Siam_Chart[[#This Row],[Volume]]</f>
        <v>8329</v>
      </c>
      <c r="G265">
        <f>Siam_Chart[[#This Row],[Value (k)]]</f>
        <v>27485.84</v>
      </c>
      <c r="H265" cm="1">
        <f t="array" ref="H265:W265">Siam_Chart[[#This Row],[MCap (M)]:[CG]]</f>
        <v>2738632094.8600001</v>
      </c>
      <c r="I265">
        <v>39.840000000000003</v>
      </c>
      <c r="J265">
        <v>0.6</v>
      </c>
      <c r="K265">
        <v>0.64531099999999997</v>
      </c>
      <c r="L265">
        <v>0.05</v>
      </c>
      <c r="M265">
        <v>0.28999999999999998</v>
      </c>
      <c r="N265">
        <v>3.4110269999999998</v>
      </c>
      <c r="O265">
        <v>1.5164420000000001</v>
      </c>
      <c r="P265">
        <v>8.6466060000000002</v>
      </c>
      <c r="Q265">
        <v>0.57999999999999996</v>
      </c>
      <c r="R265" t="str">
        <v/>
      </c>
      <c r="S265" t="str">
        <v/>
      </c>
      <c r="T265">
        <v>0</v>
      </c>
      <c r="U265">
        <v>0</v>
      </c>
      <c r="V265">
        <v>0</v>
      </c>
      <c r="W265">
        <v>5</v>
      </c>
      <c r="X265" s="5">
        <f t="shared" si="11"/>
        <v>5.5666666666666664</v>
      </c>
      <c r="Y265" s="6">
        <f t="shared" si="12"/>
        <v>819949729.00000012</v>
      </c>
    </row>
    <row r="266" spans="2:25" x14ac:dyDescent="0.25">
      <c r="B266" t="str">
        <f>Siam_Chart[[#This Row],[Name]]</f>
        <v>GRAND</v>
      </c>
      <c r="C266">
        <f>Siam_Chart[[#This Row],[No.]]</f>
        <v>265</v>
      </c>
      <c r="D266">
        <f>Siam_Chart[[#This Row],[Last]]</f>
        <v>2026</v>
      </c>
      <c r="E266">
        <f>Siam_Chart[[#This Row],[Chg%]]</f>
        <v>-33.333333333333329</v>
      </c>
      <c r="F266">
        <f>Siam_Chart[[#This Row],[Volume]]</f>
        <v>306963245</v>
      </c>
      <c r="G266">
        <f>Siam_Chart[[#This Row],[Value (k)]]</f>
        <v>7209.5361899999998</v>
      </c>
      <c r="H266" cm="1">
        <f t="array" ref="H266:W266">Siam_Chart[[#This Row],[MCap (M)]:[CG]]</f>
        <v>186822400.46000001</v>
      </c>
      <c r="I266">
        <v>186822400.46000001</v>
      </c>
      <c r="J266">
        <v>0.47</v>
      </c>
      <c r="K266">
        <v>24.624513</v>
      </c>
      <c r="L266">
        <v>-0.03</v>
      </c>
      <c r="M266">
        <v>-0.03</v>
      </c>
      <c r="N266">
        <v>-6.311801</v>
      </c>
      <c r="O266">
        <v>-133.601854</v>
      </c>
      <c r="P266">
        <v>-36.099339999999998</v>
      </c>
      <c r="Q266">
        <v>0.47</v>
      </c>
      <c r="R266" t="str">
        <v/>
      </c>
      <c r="S266" t="str">
        <v/>
      </c>
      <c r="T266">
        <v>0</v>
      </c>
      <c r="U266">
        <v>0</v>
      </c>
      <c r="V266">
        <v>0</v>
      </c>
      <c r="W266">
        <v>0</v>
      </c>
      <c r="X266" s="5">
        <f t="shared" si="11"/>
        <v>4310.6382978723404</v>
      </c>
      <c r="Y266" s="6">
        <f t="shared" si="12"/>
        <v>92212.438529121428</v>
      </c>
    </row>
    <row r="267" spans="2:25" x14ac:dyDescent="0.25">
      <c r="B267" t="str">
        <f>Siam_Chart[[#This Row],[Name]]</f>
        <v>GREEN</v>
      </c>
      <c r="C267">
        <f>Siam_Chart[[#This Row],[No.]]</f>
        <v>266</v>
      </c>
      <c r="D267">
        <f>Siam_Chart[[#This Row],[Last]]</f>
        <v>0.78</v>
      </c>
      <c r="E267">
        <f>Siam_Chart[[#This Row],[Chg%]]</f>
        <v>-2.5</v>
      </c>
      <c r="F267">
        <f>Siam_Chart[[#This Row],[Volume]]</f>
        <v>123301</v>
      </c>
      <c r="G267">
        <f>Siam_Chart[[#This Row],[Value (k)]]</f>
        <v>97200.79</v>
      </c>
      <c r="H267" cm="1">
        <f t="array" ref="H267:W267">Siam_Chart[[#This Row],[MCap (M)]:[CG]]</f>
        <v>638059288.62</v>
      </c>
      <c r="I267">
        <v>42.48</v>
      </c>
      <c r="J267">
        <v>0.84</v>
      </c>
      <c r="K267">
        <v>0.24410899999999999</v>
      </c>
      <c r="L267">
        <v>0.03</v>
      </c>
      <c r="M267">
        <v>0.03</v>
      </c>
      <c r="N267">
        <v>2.8243689999999999</v>
      </c>
      <c r="O267">
        <v>2.0076160000000001</v>
      </c>
      <c r="P267">
        <v>25.345206000000001</v>
      </c>
      <c r="Q267">
        <v>0.86</v>
      </c>
      <c r="R267" t="str">
        <v/>
      </c>
      <c r="S267" t="str">
        <v/>
      </c>
      <c r="T267">
        <v>1266</v>
      </c>
      <c r="U267">
        <v>1221</v>
      </c>
      <c r="V267">
        <v>-0.28000000000000003</v>
      </c>
      <c r="W267">
        <v>0</v>
      </c>
      <c r="X267" s="5">
        <f t="shared" si="11"/>
        <v>0.9285714285714286</v>
      </c>
      <c r="Y267" s="6">
        <f t="shared" si="12"/>
        <v>818024729</v>
      </c>
    </row>
    <row r="268" spans="2:25" x14ac:dyDescent="0.25">
      <c r="B268" t="str">
        <f>Siam_Chart[[#This Row],[Name]]</f>
        <v>GSTEEL</v>
      </c>
      <c r="C268">
        <f>Siam_Chart[[#This Row],[No.]]</f>
        <v>267</v>
      </c>
      <c r="D268">
        <f>Siam_Chart[[#This Row],[Last]]</f>
        <v>2026</v>
      </c>
      <c r="E268">
        <f>Siam_Chart[[#This Row],[Chg%]]</f>
        <v>0</v>
      </c>
      <c r="F268">
        <f>Siam_Chart[[#This Row],[Volume]]</f>
        <v>0</v>
      </c>
      <c r="G268">
        <f>Siam_Chart[[#This Row],[Value (k)]]</f>
        <v>0</v>
      </c>
      <c r="H268" cm="1">
        <f t="array" ref="H268:W268">Siam_Chart[[#This Row],[MCap (M)]:[CG]]</f>
        <v>0</v>
      </c>
      <c r="I268">
        <v>0</v>
      </c>
      <c r="J268">
        <v>0</v>
      </c>
      <c r="K268">
        <v>0</v>
      </c>
      <c r="L268">
        <v>-0.02</v>
      </c>
      <c r="M268">
        <v>-0.02</v>
      </c>
      <c r="N268">
        <v>-9.9339019999999998</v>
      </c>
      <c r="O268">
        <v>-6.2360159828514874</v>
      </c>
      <c r="P268">
        <v>-6.2360160000000002</v>
      </c>
      <c r="Q268">
        <v>0</v>
      </c>
      <c r="R268" t="str">
        <v/>
      </c>
      <c r="S268" t="str">
        <v/>
      </c>
      <c r="T268">
        <v>0</v>
      </c>
      <c r="U268">
        <v>0</v>
      </c>
      <c r="V268">
        <v>0</v>
      </c>
      <c r="W268">
        <v>0</v>
      </c>
      <c r="X268" s="5">
        <f t="shared" si="11"/>
        <v>0</v>
      </c>
      <c r="Y268" s="6">
        <f t="shared" si="12"/>
        <v>0</v>
      </c>
    </row>
    <row r="269" spans="2:25" x14ac:dyDescent="0.25">
      <c r="B269" t="str">
        <f>Siam_Chart[[#This Row],[Name]]</f>
        <v>GTB</v>
      </c>
      <c r="C269">
        <f>Siam_Chart[[#This Row],[No.]]</f>
        <v>268</v>
      </c>
      <c r="D269">
        <f>Siam_Chart[[#This Row],[Last]]</f>
        <v>0.78</v>
      </c>
      <c r="E269">
        <f>Siam_Chart[[#This Row],[Chg%]]</f>
        <v>1.3</v>
      </c>
      <c r="F269">
        <f>Siam_Chart[[#This Row],[Volume]]</f>
        <v>48610</v>
      </c>
      <c r="G269">
        <f>Siam_Chart[[#This Row],[Value (k)]]</f>
        <v>37664.6</v>
      </c>
      <c r="H269" cm="1">
        <f t="array" ref="H269:W269">Siam_Chart[[#This Row],[MCap (M)]:[CG]]</f>
        <v>748800000</v>
      </c>
      <c r="I269">
        <v>9.33</v>
      </c>
      <c r="J269">
        <v>0.89</v>
      </c>
      <c r="K269">
        <v>0.383905</v>
      </c>
      <c r="L269">
        <v>0.06</v>
      </c>
      <c r="M269">
        <v>0.04</v>
      </c>
      <c r="N269">
        <v>8.8714019999999998</v>
      </c>
      <c r="O269">
        <v>9.5998640000000002</v>
      </c>
      <c r="P269">
        <v>7.547898</v>
      </c>
      <c r="Q269">
        <v>7.69</v>
      </c>
      <c r="R269" t="str">
        <v/>
      </c>
      <c r="S269" t="str">
        <v/>
      </c>
      <c r="T269">
        <v>579</v>
      </c>
      <c r="U269">
        <v>474</v>
      </c>
      <c r="V269">
        <v>-0.36</v>
      </c>
      <c r="W269">
        <v>3</v>
      </c>
      <c r="X269" s="5">
        <f t="shared" si="11"/>
        <v>0.8764044943820225</v>
      </c>
      <c r="Y269" s="6">
        <f t="shared" si="12"/>
        <v>960000000</v>
      </c>
    </row>
    <row r="270" spans="2:25" x14ac:dyDescent="0.25">
      <c r="B270" t="str">
        <f>Siam_Chart[[#This Row],[Name]]</f>
        <v>GTV</v>
      </c>
      <c r="C270">
        <f>Siam_Chart[[#This Row],[No.]]</f>
        <v>269</v>
      </c>
      <c r="D270">
        <f>Siam_Chart[[#This Row],[Last]]</f>
        <v>0.03</v>
      </c>
      <c r="E270">
        <f>Siam_Chart[[#This Row],[Chg%]]</f>
        <v>0</v>
      </c>
      <c r="F270">
        <f>Siam_Chart[[#This Row],[Volume]]</f>
        <v>31004101</v>
      </c>
      <c r="G270">
        <f>Siam_Chart[[#This Row],[Value (k)]]</f>
        <v>930349.03</v>
      </c>
      <c r="H270" cm="1">
        <f t="array" ref="H270:W270">Siam_Chart[[#This Row],[MCap (M)]:[CG]]</f>
        <v>393928687.35000002</v>
      </c>
      <c r="I270">
        <v>4.66</v>
      </c>
      <c r="J270">
        <v>0.17</v>
      </c>
      <c r="K270">
        <v>0.38325900000000002</v>
      </c>
      <c r="L270">
        <v>0.01</v>
      </c>
      <c r="M270">
        <v>0.01</v>
      </c>
      <c r="N270">
        <v>0.93561000000000005</v>
      </c>
      <c r="O270">
        <v>3.6663239999999999</v>
      </c>
      <c r="P270">
        <v>88.763442999999995</v>
      </c>
      <c r="Q270">
        <v>0.17</v>
      </c>
      <c r="R270" t="str">
        <v/>
      </c>
      <c r="S270" t="str">
        <v/>
      </c>
      <c r="T270">
        <v>0</v>
      </c>
      <c r="U270">
        <v>0</v>
      </c>
      <c r="V270">
        <v>0</v>
      </c>
      <c r="W270">
        <v>0</v>
      </c>
      <c r="X270" s="5">
        <f t="shared" si="11"/>
        <v>0.1764705882352941</v>
      </c>
      <c r="Y270" s="6">
        <f t="shared" si="12"/>
        <v>13130956245.000002</v>
      </c>
    </row>
    <row r="271" spans="2:25" x14ac:dyDescent="0.25">
      <c r="B271" t="str">
        <f>Siam_Chart[[#This Row],[Name]]</f>
        <v>GULF</v>
      </c>
      <c r="C271">
        <f>Siam_Chart[[#This Row],[No.]]</f>
        <v>270</v>
      </c>
      <c r="D271">
        <f>Siam_Chart[[#This Row],[Last]]</f>
        <v>63.75</v>
      </c>
      <c r="E271">
        <f>Siam_Chart[[#This Row],[Chg%]]</f>
        <v>-0.78</v>
      </c>
      <c r="F271">
        <f>Siam_Chart[[#This Row],[Volume]]</f>
        <v>20207889</v>
      </c>
      <c r="G271">
        <f>Siam_Chart[[#This Row],[Value (k)]]</f>
        <v>1298385676</v>
      </c>
      <c r="H271" cm="1">
        <f t="array" ref="H271:W271">Siam_Chart[[#This Row],[MCap (M)]:[CG]]</f>
        <v>952414652291.25</v>
      </c>
      <c r="I271">
        <v>12.72</v>
      </c>
      <c r="J271">
        <v>3.02</v>
      </c>
      <c r="K271">
        <v>1.3474060000000001</v>
      </c>
      <c r="L271">
        <v>3.25</v>
      </c>
      <c r="M271">
        <v>1.44</v>
      </c>
      <c r="N271">
        <v>12.286493999999999</v>
      </c>
      <c r="O271">
        <v>23.784161999999998</v>
      </c>
      <c r="P271">
        <v>26.858267999999999</v>
      </c>
      <c r="Q271">
        <v>5.0999999999999996</v>
      </c>
      <c r="R271" t="str">
        <v/>
      </c>
      <c r="S271" t="str">
        <v/>
      </c>
      <c r="T271">
        <v>811</v>
      </c>
      <c r="U271">
        <v>865</v>
      </c>
      <c r="V271">
        <v>0.26</v>
      </c>
      <c r="W271">
        <v>5</v>
      </c>
      <c r="X271" s="5">
        <f t="shared" si="11"/>
        <v>21.109271523178808</v>
      </c>
      <c r="Y271" s="6">
        <f t="shared" si="12"/>
        <v>14939837683</v>
      </c>
    </row>
    <row r="272" spans="2:25" x14ac:dyDescent="0.25">
      <c r="B272" t="str">
        <f>Siam_Chart[[#This Row],[Name]]</f>
        <v>GUNKUL</v>
      </c>
      <c r="C272">
        <f>Siam_Chart[[#This Row],[No.]]</f>
        <v>271</v>
      </c>
      <c r="D272">
        <f>Siam_Chart[[#This Row],[Last]]</f>
        <v>5.0999999999999996</v>
      </c>
      <c r="E272">
        <f>Siam_Chart[[#This Row],[Chg%]]</f>
        <v>-0.97</v>
      </c>
      <c r="F272">
        <f>Siam_Chart[[#This Row],[Volume]]</f>
        <v>71146426</v>
      </c>
      <c r="G272">
        <f>Siam_Chart[[#This Row],[Value (k)]]</f>
        <v>368035551.85000002</v>
      </c>
      <c r="H272" cm="1">
        <f t="array" ref="H272:W272">Siam_Chart[[#This Row],[MCap (M)]:[CG]]</f>
        <v>45300907967.400002</v>
      </c>
      <c r="I272">
        <v>23.26</v>
      </c>
      <c r="J272">
        <v>2.94</v>
      </c>
      <c r="K272">
        <v>1.20936</v>
      </c>
      <c r="L272">
        <v>0.1</v>
      </c>
      <c r="M272">
        <v>0.12</v>
      </c>
      <c r="N272">
        <v>8.7976709999999994</v>
      </c>
      <c r="O272">
        <v>13.28608</v>
      </c>
      <c r="P272">
        <v>19.190902999999999</v>
      </c>
      <c r="Q272">
        <v>2.2799999999999998</v>
      </c>
      <c r="R272" t="str">
        <v/>
      </c>
      <c r="S272" t="str">
        <v/>
      </c>
      <c r="T272">
        <v>770</v>
      </c>
      <c r="U272">
        <v>797</v>
      </c>
      <c r="V272">
        <v>29.45</v>
      </c>
      <c r="W272">
        <v>5</v>
      </c>
      <c r="X272" s="5">
        <f t="shared" si="11"/>
        <v>1.7346938775510203</v>
      </c>
      <c r="Y272" s="6">
        <f t="shared" si="12"/>
        <v>8882530974</v>
      </c>
    </row>
    <row r="273" spans="2:25" x14ac:dyDescent="0.25">
      <c r="B273" t="str">
        <f>Siam_Chart[[#This Row],[Name]]</f>
        <v>GYT</v>
      </c>
      <c r="C273">
        <f>Siam_Chart[[#This Row],[No.]]</f>
        <v>272</v>
      </c>
      <c r="D273">
        <f>Siam_Chart[[#This Row],[Last]]</f>
        <v>189</v>
      </c>
      <c r="E273">
        <f>Siam_Chart[[#This Row],[Chg%]]</f>
        <v>0</v>
      </c>
      <c r="F273">
        <f>Siam_Chart[[#This Row],[Volume]]</f>
        <v>101</v>
      </c>
      <c r="G273">
        <f>Siam_Chart[[#This Row],[Value (k)]]</f>
        <v>19089</v>
      </c>
      <c r="H273" cm="1">
        <f t="array" ref="H273:W273">Siam_Chart[[#This Row],[MCap (M)]:[CG]]</f>
        <v>1398600000</v>
      </c>
      <c r="I273">
        <v>7.31</v>
      </c>
      <c r="J273">
        <v>0.36</v>
      </c>
      <c r="K273">
        <v>1.4057409999999999</v>
      </c>
      <c r="L273">
        <v>8</v>
      </c>
      <c r="M273">
        <v>12.33</v>
      </c>
      <c r="N273">
        <v>3.0584570000000002</v>
      </c>
      <c r="O273">
        <v>4.9203590000000004</v>
      </c>
      <c r="P273">
        <v>2.8431579999999999</v>
      </c>
      <c r="Q273">
        <v>4.2300000000000004</v>
      </c>
      <c r="R273" t="str">
        <v/>
      </c>
      <c r="S273" t="str">
        <v/>
      </c>
      <c r="T273">
        <v>625</v>
      </c>
      <c r="U273">
        <v>676</v>
      </c>
      <c r="V273">
        <v>0.19</v>
      </c>
      <c r="W273">
        <v>3</v>
      </c>
      <c r="X273" s="5">
        <f t="shared" si="11"/>
        <v>525</v>
      </c>
      <c r="Y273" s="6">
        <f t="shared" si="12"/>
        <v>7400000</v>
      </c>
    </row>
    <row r="274" spans="2:25" x14ac:dyDescent="0.25">
      <c r="B274" t="str">
        <f>Siam_Chart[[#This Row],[Name]]</f>
        <v>HANA</v>
      </c>
      <c r="C274">
        <f>Siam_Chart[[#This Row],[No.]]</f>
        <v>273</v>
      </c>
      <c r="D274">
        <f>Siam_Chart[[#This Row],[Last]]</f>
        <v>47</v>
      </c>
      <c r="E274">
        <f>Siam_Chart[[#This Row],[Chg%]]</f>
        <v>2.17</v>
      </c>
      <c r="F274">
        <f>Siam_Chart[[#This Row],[Volume]]</f>
        <v>11197177</v>
      </c>
      <c r="G274">
        <f>Siam_Chart[[#This Row],[Value (k)]]</f>
        <v>525320352.25</v>
      </c>
      <c r="H274" cm="1">
        <f t="array" ref="H274:W274">Siam_Chart[[#This Row],[MCap (M)]:[CG]]</f>
        <v>41612233020</v>
      </c>
      <c r="I274">
        <v>70.849999999999994</v>
      </c>
      <c r="J274">
        <v>1.57</v>
      </c>
      <c r="K274">
        <v>0.21877099999999999</v>
      </c>
      <c r="L274">
        <v>0.75</v>
      </c>
      <c r="M274">
        <v>0.49</v>
      </c>
      <c r="N274">
        <v>2.0047069999999998</v>
      </c>
      <c r="O274">
        <v>2.1975120000000001</v>
      </c>
      <c r="P274">
        <v>4.0347900000000001</v>
      </c>
      <c r="Q274">
        <v>2.13</v>
      </c>
      <c r="R274" t="str">
        <v/>
      </c>
      <c r="S274" t="str">
        <v/>
      </c>
      <c r="T274">
        <v>1331</v>
      </c>
      <c r="U274">
        <v>1352</v>
      </c>
      <c r="V274">
        <v>-1.34</v>
      </c>
      <c r="W274">
        <v>5</v>
      </c>
      <c r="X274" s="5">
        <f t="shared" si="11"/>
        <v>29.936305732484076</v>
      </c>
      <c r="Y274" s="6">
        <f t="shared" si="12"/>
        <v>885366660</v>
      </c>
    </row>
    <row r="275" spans="2:25" x14ac:dyDescent="0.25">
      <c r="B275" t="str">
        <f>Siam_Chart[[#This Row],[Name]]</f>
        <v>HANN</v>
      </c>
      <c r="C275">
        <f>Siam_Chart[[#This Row],[No.]]</f>
        <v>274</v>
      </c>
      <c r="D275">
        <f>Siam_Chart[[#This Row],[Last]]</f>
        <v>0.84</v>
      </c>
      <c r="E275">
        <f>Siam_Chart[[#This Row],[Chg%]]</f>
        <v>1.2</v>
      </c>
      <c r="F275">
        <f>Siam_Chart[[#This Row],[Volume]]</f>
        <v>200708</v>
      </c>
      <c r="G275">
        <f>Siam_Chart[[#This Row],[Value (k)]]</f>
        <v>167950.8</v>
      </c>
      <c r="H275" cm="1">
        <f t="array" ref="H275:W275">Siam_Chart[[#This Row],[MCap (M)]:[CG]]</f>
        <v>470400000</v>
      </c>
      <c r="I275">
        <v>75.78</v>
      </c>
      <c r="J275">
        <v>1.53</v>
      </c>
      <c r="K275">
        <v>0.39657399999999998</v>
      </c>
      <c r="L275">
        <v>0.01</v>
      </c>
      <c r="M275">
        <v>0.01</v>
      </c>
      <c r="N275">
        <v>2.7400389999999999</v>
      </c>
      <c r="O275">
        <v>2.4939429999999998</v>
      </c>
      <c r="P275">
        <v>2.1829190000000001</v>
      </c>
      <c r="Q275">
        <v>1.52</v>
      </c>
      <c r="R275" t="str">
        <v/>
      </c>
      <c r="S275" t="str">
        <v/>
      </c>
      <c r="T275">
        <v>0</v>
      </c>
      <c r="U275">
        <v>0</v>
      </c>
      <c r="V275">
        <v>35.17</v>
      </c>
      <c r="W275">
        <v>0</v>
      </c>
      <c r="X275" s="5">
        <f t="shared" si="11"/>
        <v>0.54901960784313719</v>
      </c>
      <c r="Y275" s="6">
        <f t="shared" si="12"/>
        <v>560000000</v>
      </c>
    </row>
    <row r="276" spans="2:25" x14ac:dyDescent="0.25">
      <c r="B276" t="str">
        <f>Siam_Chart[[#This Row],[Name]]</f>
        <v>HARN</v>
      </c>
      <c r="C276">
        <f>Siam_Chart[[#This Row],[No.]]</f>
        <v>275</v>
      </c>
      <c r="D276">
        <f>Siam_Chart[[#This Row],[Last]]</f>
        <v>1.99</v>
      </c>
      <c r="E276">
        <f>Siam_Chart[[#This Row],[Chg%]]</f>
        <v>0</v>
      </c>
      <c r="F276">
        <f>Siam_Chart[[#This Row],[Volume]]</f>
        <v>56554</v>
      </c>
      <c r="G276">
        <f>Siam_Chart[[#This Row],[Value (k)]]</f>
        <v>112597.46</v>
      </c>
      <c r="H276" cm="1">
        <f t="array" ref="H276:W276">Siam_Chart[[#This Row],[MCap (M)]:[CG]]</f>
        <v>1163155000</v>
      </c>
      <c r="I276">
        <v>12.16</v>
      </c>
      <c r="J276">
        <v>0.85</v>
      </c>
      <c r="K276">
        <v>0.32886399999999999</v>
      </c>
      <c r="L276">
        <v>0.12</v>
      </c>
      <c r="M276">
        <v>0.09</v>
      </c>
      <c r="N276">
        <v>6.8843290000000001</v>
      </c>
      <c r="O276">
        <v>7.0392939999999999</v>
      </c>
      <c r="P276">
        <v>7.822133</v>
      </c>
      <c r="Q276">
        <v>6.03</v>
      </c>
      <c r="R276" t="str">
        <v/>
      </c>
      <c r="S276" t="str">
        <v/>
      </c>
      <c r="T276">
        <v>730</v>
      </c>
      <c r="U276">
        <v>625</v>
      </c>
      <c r="V276">
        <v>1.97</v>
      </c>
      <c r="W276">
        <v>5</v>
      </c>
      <c r="X276" s="5">
        <f t="shared" si="11"/>
        <v>2.3411764705882354</v>
      </c>
      <c r="Y276" s="6">
        <f t="shared" si="12"/>
        <v>584500000</v>
      </c>
    </row>
    <row r="277" spans="2:25" x14ac:dyDescent="0.25">
      <c r="B277" t="str">
        <f>Siam_Chart[[#This Row],[Name]]</f>
        <v>HENG</v>
      </c>
      <c r="C277">
        <f>Siam_Chart[[#This Row],[No.]]</f>
        <v>276</v>
      </c>
      <c r="D277">
        <f>Siam_Chart[[#This Row],[Last]]</f>
        <v>0.91</v>
      </c>
      <c r="E277">
        <f>Siam_Chart[[#This Row],[Chg%]]</f>
        <v>0</v>
      </c>
      <c r="F277">
        <f>Siam_Chart[[#This Row],[Volume]]</f>
        <v>736000</v>
      </c>
      <c r="G277">
        <f>Siam_Chart[[#This Row],[Value (k)]]</f>
        <v>669254</v>
      </c>
      <c r="H277" cm="1">
        <f t="array" ref="H277:W277">Siam_Chart[[#This Row],[MCap (M)]:[CG]]</f>
        <v>3467100000</v>
      </c>
      <c r="I277">
        <v>57.45</v>
      </c>
      <c r="J277">
        <v>0.68</v>
      </c>
      <c r="K277">
        <v>0.54969800000000002</v>
      </c>
      <c r="L277">
        <v>2.6200000000000001E-2</v>
      </c>
      <c r="M277">
        <v>0.02</v>
      </c>
      <c r="N277">
        <v>3.1412969999999998</v>
      </c>
      <c r="O277">
        <v>1.1863760000000001</v>
      </c>
      <c r="P277">
        <v>11.287978000000001</v>
      </c>
      <c r="Q277">
        <v>2.88</v>
      </c>
      <c r="R277" t="str">
        <v/>
      </c>
      <c r="S277" t="str">
        <v/>
      </c>
      <c r="T277">
        <v>1310</v>
      </c>
      <c r="U277">
        <v>1358</v>
      </c>
      <c r="V277">
        <v>-2.08</v>
      </c>
      <c r="W277">
        <v>5</v>
      </c>
      <c r="X277" s="5">
        <f t="shared" si="11"/>
        <v>1.338235294117647</v>
      </c>
      <c r="Y277" s="6">
        <f t="shared" si="12"/>
        <v>3810000000</v>
      </c>
    </row>
    <row r="278" spans="2:25" x14ac:dyDescent="0.25">
      <c r="B278" t="str">
        <f>Siam_Chart[[#This Row],[Name]]</f>
        <v>HFT</v>
      </c>
      <c r="C278">
        <f>Siam_Chart[[#This Row],[No.]]</f>
        <v>277</v>
      </c>
      <c r="D278">
        <f>Siam_Chart[[#This Row],[Last]]</f>
        <v>4.18</v>
      </c>
      <c r="E278">
        <f>Siam_Chart[[#This Row],[Chg%]]</f>
        <v>1.46</v>
      </c>
      <c r="F278">
        <f>Siam_Chart[[#This Row],[Volume]]</f>
        <v>74301</v>
      </c>
      <c r="G278">
        <f>Siam_Chart[[#This Row],[Value (k)]]</f>
        <v>307140.06</v>
      </c>
      <c r="H278" cm="1">
        <f t="array" ref="H278:W278">Siam_Chart[[#This Row],[MCap (M)]:[CG]]</f>
        <v>2752255374</v>
      </c>
      <c r="I278">
        <v>12.82</v>
      </c>
      <c r="J278">
        <v>0.74</v>
      </c>
      <c r="K278">
        <v>0.13705500000000001</v>
      </c>
      <c r="L278">
        <v>0.27</v>
      </c>
      <c r="M278">
        <v>0.18</v>
      </c>
      <c r="N278">
        <v>5.5394360000000002</v>
      </c>
      <c r="O278">
        <v>5.7464279999999999</v>
      </c>
      <c r="P278">
        <v>8.8551219999999997</v>
      </c>
      <c r="Q278">
        <v>6.46</v>
      </c>
      <c r="R278" t="str">
        <v/>
      </c>
      <c r="S278" t="str">
        <v/>
      </c>
      <c r="T278">
        <v>843</v>
      </c>
      <c r="U278">
        <v>752</v>
      </c>
      <c r="V278">
        <v>-1.01</v>
      </c>
      <c r="W278">
        <v>0</v>
      </c>
      <c r="X278" s="5">
        <f t="shared" si="11"/>
        <v>5.6486486486486482</v>
      </c>
      <c r="Y278" s="6">
        <f t="shared" si="12"/>
        <v>658434300</v>
      </c>
    </row>
    <row r="279" spans="2:25" x14ac:dyDescent="0.25">
      <c r="B279" t="str">
        <f>Siam_Chart[[#This Row],[Name]]</f>
        <v>HL</v>
      </c>
      <c r="C279">
        <f>Siam_Chart[[#This Row],[No.]]</f>
        <v>278</v>
      </c>
      <c r="D279">
        <f>Siam_Chart[[#This Row],[Last]]</f>
        <v>4.92</v>
      </c>
      <c r="E279">
        <f>Siam_Chart[[#This Row],[Chg%]]</f>
        <v>0.41</v>
      </c>
      <c r="F279">
        <f>Siam_Chart[[#This Row],[Volume]]</f>
        <v>66744</v>
      </c>
      <c r="G279">
        <f>Siam_Chart[[#This Row],[Value (k)]]</f>
        <v>327682.96000000002</v>
      </c>
      <c r="H279" cm="1">
        <f t="array" ref="H279:W279">Siam_Chart[[#This Row],[MCap (M)]:[CG]]</f>
        <v>1338240000</v>
      </c>
      <c r="I279">
        <v>20.88</v>
      </c>
      <c r="J279">
        <v>1.41</v>
      </c>
      <c r="K279">
        <v>0.58820300000000003</v>
      </c>
      <c r="L279">
        <v>0.22</v>
      </c>
      <c r="M279">
        <v>7.0000000000000007E-2</v>
      </c>
      <c r="N279">
        <v>6.1750559999999997</v>
      </c>
      <c r="O279">
        <v>6.437665</v>
      </c>
      <c r="P279">
        <v>1.6674310000000001</v>
      </c>
      <c r="Q279">
        <v>4.5599999999999996</v>
      </c>
      <c r="R279" t="str">
        <v/>
      </c>
      <c r="S279" t="str">
        <v/>
      </c>
      <c r="T279">
        <v>926</v>
      </c>
      <c r="U279">
        <v>846</v>
      </c>
      <c r="V279">
        <v>5.0599999999999996</v>
      </c>
      <c r="W279">
        <v>0</v>
      </c>
      <c r="X279" s="5">
        <f t="shared" si="11"/>
        <v>3.4893617021276597</v>
      </c>
      <c r="Y279" s="6">
        <f t="shared" si="12"/>
        <v>272000000</v>
      </c>
    </row>
    <row r="280" spans="2:25" x14ac:dyDescent="0.25">
      <c r="B280" t="str">
        <f>Siam_Chart[[#This Row],[Name]]</f>
        <v>HMPRO</v>
      </c>
      <c r="C280">
        <f>Siam_Chart[[#This Row],[No.]]</f>
        <v>279</v>
      </c>
      <c r="D280">
        <f>Siam_Chart[[#This Row],[Last]]</f>
        <v>6.5</v>
      </c>
      <c r="E280">
        <f>Siam_Chart[[#This Row],[Chg%]]</f>
        <v>-0.76</v>
      </c>
      <c r="F280">
        <f>Siam_Chart[[#This Row],[Volume]]</f>
        <v>35011793</v>
      </c>
      <c r="G280">
        <f>Siam_Chart[[#This Row],[Value (k)]]</f>
        <v>227370443.69999999</v>
      </c>
      <c r="H280" cm="1">
        <f t="array" ref="H280:W280">Siam_Chart[[#This Row],[MCap (M)]:[CG]]</f>
        <v>85482787162.5</v>
      </c>
      <c r="I280">
        <v>14.19</v>
      </c>
      <c r="J280">
        <v>3.24</v>
      </c>
      <c r="K280">
        <v>1.609569</v>
      </c>
      <c r="L280">
        <v>0.22</v>
      </c>
      <c r="M280">
        <v>0.23</v>
      </c>
      <c r="N280">
        <v>12.029254999999999</v>
      </c>
      <c r="O280">
        <v>22.982382000000001</v>
      </c>
      <c r="P280">
        <v>8.5143830000000005</v>
      </c>
      <c r="Q280">
        <v>5.88</v>
      </c>
      <c r="R280" t="str">
        <v/>
      </c>
      <c r="S280" t="str">
        <v/>
      </c>
      <c r="T280">
        <v>509</v>
      </c>
      <c r="U280">
        <v>570</v>
      </c>
      <c r="V280">
        <v>5.26</v>
      </c>
      <c r="W280">
        <v>5</v>
      </c>
      <c r="X280" s="5">
        <f t="shared" si="11"/>
        <v>2.0061728395061729</v>
      </c>
      <c r="Y280" s="6">
        <f t="shared" si="12"/>
        <v>13151198025</v>
      </c>
    </row>
    <row r="281" spans="2:25" x14ac:dyDescent="0.25">
      <c r="B281" t="str">
        <f>Siam_Chart[[#This Row],[Name]]</f>
        <v>HPT</v>
      </c>
      <c r="C281">
        <f>Siam_Chart[[#This Row],[No.]]</f>
        <v>280</v>
      </c>
      <c r="D281">
        <f>Siam_Chart[[#This Row],[Last]]</f>
        <v>2025</v>
      </c>
      <c r="E281">
        <f>Siam_Chart[[#This Row],[Chg%]]</f>
        <v>-57.575757575757571</v>
      </c>
      <c r="F281">
        <f>Siam_Chart[[#This Row],[Volume]]</f>
        <v>222775449</v>
      </c>
      <c r="G281">
        <f>Siam_Chart[[#This Row],[Value (k)]]</f>
        <v>35820.117980000003</v>
      </c>
      <c r="H281" cm="1">
        <f t="array" ref="H281:W281">Siam_Chart[[#This Row],[MCap (M)]:[CG]]</f>
        <v>93</v>
      </c>
      <c r="I281">
        <v>0</v>
      </c>
      <c r="J281">
        <v>0.4411215429088744</v>
      </c>
      <c r="K281">
        <v>0.44112200000000001</v>
      </c>
      <c r="L281">
        <v>2.23E-2</v>
      </c>
      <c r="M281">
        <v>0.02</v>
      </c>
      <c r="N281">
        <v>3.8014549999999998</v>
      </c>
      <c r="O281">
        <v>3.4056959999999998</v>
      </c>
      <c r="P281">
        <v>3.6241880000000002</v>
      </c>
      <c r="Q281">
        <v>0</v>
      </c>
      <c r="R281" t="str">
        <v/>
      </c>
      <c r="S281" t="str">
        <v/>
      </c>
      <c r="T281">
        <v>0</v>
      </c>
      <c r="U281">
        <v>0</v>
      </c>
      <c r="V281">
        <v>0</v>
      </c>
      <c r="W281">
        <v>5</v>
      </c>
      <c r="X281" s="5">
        <f t="shared" si="11"/>
        <v>4590.5715387342088</v>
      </c>
      <c r="Y281" s="6">
        <f t="shared" si="12"/>
        <v>4.5925925925925926E-2</v>
      </c>
    </row>
    <row r="282" spans="2:25" x14ac:dyDescent="0.25">
      <c r="B282" t="str">
        <f>Siam_Chart[[#This Row],[Name]]</f>
        <v>HTC</v>
      </c>
      <c r="C282">
        <f>Siam_Chart[[#This Row],[No.]]</f>
        <v>281</v>
      </c>
      <c r="D282">
        <f>Siam_Chart[[#This Row],[Last]]</f>
        <v>15.8</v>
      </c>
      <c r="E282">
        <f>Siam_Chart[[#This Row],[Chg%]]</f>
        <v>-0.63</v>
      </c>
      <c r="F282">
        <f>Siam_Chart[[#This Row],[Volume]]</f>
        <v>409227</v>
      </c>
      <c r="G282">
        <f>Siam_Chart[[#This Row],[Value (k)]]</f>
        <v>6493591.9000000004</v>
      </c>
      <c r="H282" cm="1">
        <f t="array" ref="H282:W282">Siam_Chart[[#This Row],[MCap (M)]:[CG]]</f>
        <v>6350351800</v>
      </c>
      <c r="I282">
        <v>11.67</v>
      </c>
      <c r="J282">
        <v>1.47</v>
      </c>
      <c r="K282">
        <v>0.75206700000000004</v>
      </c>
      <c r="L282">
        <v>0.54</v>
      </c>
      <c r="M282">
        <v>0.75</v>
      </c>
      <c r="N282">
        <v>9.5532249999999994</v>
      </c>
      <c r="O282">
        <v>12.736280000000001</v>
      </c>
      <c r="P282">
        <v>6.6653019999999996</v>
      </c>
      <c r="Q282">
        <v>6.27</v>
      </c>
      <c r="R282" t="str">
        <v/>
      </c>
      <c r="S282" t="str">
        <v/>
      </c>
      <c r="T282">
        <v>493</v>
      </c>
      <c r="U282">
        <v>487</v>
      </c>
      <c r="V282">
        <v>3.29</v>
      </c>
      <c r="W282">
        <v>5</v>
      </c>
      <c r="X282" s="5">
        <f t="shared" si="11"/>
        <v>10.748299319727892</v>
      </c>
      <c r="Y282" s="6">
        <f t="shared" si="12"/>
        <v>401921000</v>
      </c>
    </row>
    <row r="283" spans="2:25" x14ac:dyDescent="0.25">
      <c r="B283" t="str">
        <f>Siam_Chart[[#This Row],[Name]]</f>
        <v>HTECH</v>
      </c>
      <c r="C283">
        <f>Siam_Chart[[#This Row],[No.]]</f>
        <v>282</v>
      </c>
      <c r="D283">
        <f>Siam_Chart[[#This Row],[Last]]</f>
        <v>4.88</v>
      </c>
      <c r="E283">
        <f>Siam_Chart[[#This Row],[Chg%]]</f>
        <v>-1.61</v>
      </c>
      <c r="F283">
        <f>Siam_Chart[[#This Row],[Volume]]</f>
        <v>999500</v>
      </c>
      <c r="G283">
        <f>Siam_Chart[[#This Row],[Value (k)]]</f>
        <v>4952365</v>
      </c>
      <c r="H283" cm="1">
        <f t="array" ref="H283:W283">Siam_Chart[[#This Row],[MCap (M)]:[CG]]</f>
        <v>1570301025.3599999</v>
      </c>
      <c r="I283">
        <v>27.79</v>
      </c>
      <c r="J283">
        <v>1.1100000000000001</v>
      </c>
      <c r="K283">
        <v>0.21767500000000001</v>
      </c>
      <c r="L283">
        <v>0.1</v>
      </c>
      <c r="M283">
        <v>0.23</v>
      </c>
      <c r="N283">
        <v>6.6818419999999996</v>
      </c>
      <c r="O283">
        <v>4.1001089999999998</v>
      </c>
      <c r="P283">
        <v>13.675599</v>
      </c>
      <c r="Q283">
        <v>3.25</v>
      </c>
      <c r="R283" t="str">
        <v/>
      </c>
      <c r="S283" t="str">
        <v/>
      </c>
      <c r="T283">
        <v>1246</v>
      </c>
      <c r="U283">
        <v>1080</v>
      </c>
      <c r="V283">
        <v>2.04</v>
      </c>
      <c r="W283">
        <v>0</v>
      </c>
      <c r="X283" s="5">
        <f t="shared" si="11"/>
        <v>4.3963963963963959</v>
      </c>
      <c r="Y283" s="6">
        <f t="shared" si="12"/>
        <v>321782997</v>
      </c>
    </row>
    <row r="284" spans="2:25" x14ac:dyDescent="0.25">
      <c r="B284" t="str">
        <f>Siam_Chart[[#This Row],[Name]]</f>
        <v>HUMAN</v>
      </c>
      <c r="C284">
        <f>Siam_Chart[[#This Row],[No.]]</f>
        <v>283</v>
      </c>
      <c r="D284">
        <f>Siam_Chart[[#This Row],[Last]]</f>
        <v>4.38</v>
      </c>
      <c r="E284">
        <f>Siam_Chart[[#This Row],[Chg%]]</f>
        <v>-2.23</v>
      </c>
      <c r="F284">
        <f>Siam_Chart[[#This Row],[Volume]]</f>
        <v>2711781</v>
      </c>
      <c r="G284">
        <f>Siam_Chart[[#This Row],[Value (k)]]</f>
        <v>11829400.66</v>
      </c>
      <c r="H284" cm="1">
        <f t="array" ref="H284:W284">Siam_Chart[[#This Row],[MCap (M)]:[CG]]</f>
        <v>3799402862.8800001</v>
      </c>
      <c r="I284">
        <v>11.2</v>
      </c>
      <c r="J284">
        <v>1.07</v>
      </c>
      <c r="K284">
        <v>0.17857000000000001</v>
      </c>
      <c r="L284">
        <v>0.14000000000000001</v>
      </c>
      <c r="M284">
        <v>0.17</v>
      </c>
      <c r="N284">
        <v>10.516026999999999</v>
      </c>
      <c r="O284">
        <v>9.5765829999999994</v>
      </c>
      <c r="P284">
        <v>17.836945</v>
      </c>
      <c r="Q284">
        <v>7.33</v>
      </c>
      <c r="R284" t="str">
        <v/>
      </c>
      <c r="S284" t="str">
        <v/>
      </c>
      <c r="T284">
        <v>602</v>
      </c>
      <c r="U284">
        <v>462</v>
      </c>
      <c r="V284">
        <v>0.5</v>
      </c>
      <c r="W284">
        <v>4</v>
      </c>
      <c r="X284" s="5">
        <f t="shared" si="11"/>
        <v>4.093457943925233</v>
      </c>
      <c r="Y284" s="6">
        <f t="shared" si="12"/>
        <v>867443576</v>
      </c>
    </row>
    <row r="285" spans="2:25" x14ac:dyDescent="0.25">
      <c r="B285" t="str">
        <f>Siam_Chart[[#This Row],[Name]]</f>
        <v>HYDRO</v>
      </c>
      <c r="C285">
        <f>Siam_Chart[[#This Row],[No.]]</f>
        <v>284</v>
      </c>
      <c r="D285">
        <f>Siam_Chart[[#This Row],[Last]]</f>
        <v>0.05</v>
      </c>
      <c r="E285">
        <f>Siam_Chart[[#This Row],[Chg%]]</f>
        <v>-16.670000000000002</v>
      </c>
      <c r="F285">
        <f>Siam_Chart[[#This Row],[Volume]]</f>
        <v>83100</v>
      </c>
      <c r="G285">
        <f>Siam_Chart[[#This Row],[Value (k)]]</f>
        <v>4909</v>
      </c>
      <c r="H285" cm="1">
        <f t="array" ref="H285:W285">Siam_Chart[[#This Row],[MCap (M)]:[CG]]</f>
        <v>122041302.8</v>
      </c>
      <c r="I285">
        <v>122041302.8</v>
      </c>
      <c r="J285">
        <v>2.2200000000000002</v>
      </c>
      <c r="K285">
        <v>10.550898999999999</v>
      </c>
      <c r="L285">
        <v>-0.04</v>
      </c>
      <c r="M285">
        <v>-0.04</v>
      </c>
      <c r="N285">
        <v>1.9794769999999999</v>
      </c>
      <c r="O285">
        <v>-18.842189999999999</v>
      </c>
      <c r="P285">
        <v>-111.954853</v>
      </c>
      <c r="Q285">
        <v>2.2200000000000002</v>
      </c>
      <c r="R285" t="str">
        <v/>
      </c>
      <c r="S285" t="str">
        <v/>
      </c>
      <c r="T285">
        <v>31</v>
      </c>
      <c r="U285">
        <v>217</v>
      </c>
      <c r="V285">
        <v>0.04</v>
      </c>
      <c r="W285">
        <v>0</v>
      </c>
      <c r="X285" s="5">
        <f t="shared" si="11"/>
        <v>2.2522522522522521E-2</v>
      </c>
      <c r="Y285" s="6">
        <f t="shared" si="12"/>
        <v>2440826056</v>
      </c>
    </row>
    <row r="286" spans="2:25" x14ac:dyDescent="0.25">
      <c r="B286" t="str">
        <f>Siam_Chart[[#This Row],[Name]]</f>
        <v>I2</v>
      </c>
      <c r="C286">
        <f>Siam_Chart[[#This Row],[No.]]</f>
        <v>285</v>
      </c>
      <c r="D286">
        <f>Siam_Chart[[#This Row],[Last]]</f>
        <v>0.83</v>
      </c>
      <c r="E286">
        <f>Siam_Chart[[#This Row],[Chg%]]</f>
        <v>3.75</v>
      </c>
      <c r="F286">
        <f>Siam_Chart[[#This Row],[Volume]]</f>
        <v>403601</v>
      </c>
      <c r="G286">
        <f>Siam_Chart[[#This Row],[Value (k)]]</f>
        <v>334420.84000000003</v>
      </c>
      <c r="H286" cm="1">
        <f t="array" ref="H286:W286">Siam_Chart[[#This Row],[MCap (M)]:[CG]]</f>
        <v>348600000</v>
      </c>
      <c r="I286">
        <v>16.47</v>
      </c>
      <c r="J286">
        <v>0.55000000000000004</v>
      </c>
      <c r="K286">
        <v>1.8753919999999999</v>
      </c>
      <c r="L286">
        <v>2.1999999999999999E-2</v>
      </c>
      <c r="M286">
        <v>0.01</v>
      </c>
      <c r="N286">
        <v>1.1626080000000001</v>
      </c>
      <c r="O286">
        <v>3.3971809999999998</v>
      </c>
      <c r="P286">
        <v>1.020119</v>
      </c>
      <c r="Q286">
        <v>2.65</v>
      </c>
      <c r="R286" t="str">
        <v/>
      </c>
      <c r="S286" t="str">
        <v/>
      </c>
      <c r="T286">
        <v>1028</v>
      </c>
      <c r="U286">
        <v>1128</v>
      </c>
      <c r="V286">
        <v>-2.4700000000000002</v>
      </c>
      <c r="W286">
        <v>0</v>
      </c>
      <c r="X286" s="5">
        <f t="shared" si="11"/>
        <v>1.5090909090909088</v>
      </c>
      <c r="Y286" s="6">
        <f t="shared" si="12"/>
        <v>420000000</v>
      </c>
    </row>
    <row r="287" spans="2:25" x14ac:dyDescent="0.25">
      <c r="B287" t="str">
        <f>Siam_Chart[[#This Row],[Name]]</f>
        <v>ICC</v>
      </c>
      <c r="C287">
        <f>Siam_Chart[[#This Row],[No.]]</f>
        <v>286</v>
      </c>
      <c r="D287">
        <f>Siam_Chart[[#This Row],[Last]]</f>
        <v>23.9</v>
      </c>
      <c r="E287">
        <f>Siam_Chart[[#This Row],[Chg%]]</f>
        <v>1.7</v>
      </c>
      <c r="F287">
        <f>Siam_Chart[[#This Row],[Volume]]</f>
        <v>3161496</v>
      </c>
      <c r="G287">
        <f>Siam_Chart[[#This Row],[Value (k)]]</f>
        <v>77298467.200000003</v>
      </c>
      <c r="H287" cm="1">
        <f t="array" ref="H287:W287">Siam_Chart[[#This Row],[MCap (M)]:[CG]]</f>
        <v>11950000000</v>
      </c>
      <c r="I287">
        <v>43.49</v>
      </c>
      <c r="J287">
        <v>0.4</v>
      </c>
      <c r="K287">
        <v>0.16605800000000001</v>
      </c>
      <c r="L287">
        <v>0.7</v>
      </c>
      <c r="M287">
        <v>0.56000000000000005</v>
      </c>
      <c r="N287">
        <v>0.63073500000000005</v>
      </c>
      <c r="O287">
        <v>0.92429499999999998</v>
      </c>
      <c r="P287">
        <v>6.173889</v>
      </c>
      <c r="Q287">
        <v>2.93</v>
      </c>
      <c r="R287" t="str">
        <v/>
      </c>
      <c r="S287" t="str">
        <v/>
      </c>
      <c r="T287">
        <v>1308</v>
      </c>
      <c r="U287">
        <v>1340</v>
      </c>
      <c r="V287">
        <v>0.39</v>
      </c>
      <c r="W287">
        <v>5</v>
      </c>
      <c r="X287" s="5">
        <f t="shared" si="11"/>
        <v>59.749999999999993</v>
      </c>
      <c r="Y287" s="6">
        <f t="shared" si="12"/>
        <v>500000000</v>
      </c>
    </row>
    <row r="288" spans="2:25" x14ac:dyDescent="0.25">
      <c r="B288" t="str">
        <f>Siam_Chart[[#This Row],[Name]]</f>
        <v>ICHI</v>
      </c>
      <c r="C288">
        <f>Siam_Chart[[#This Row],[No.]]</f>
        <v>287</v>
      </c>
      <c r="D288">
        <f>Siam_Chart[[#This Row],[Last]]</f>
        <v>14.1</v>
      </c>
      <c r="E288">
        <f>Siam_Chart[[#This Row],[Chg%]]</f>
        <v>-0.7</v>
      </c>
      <c r="F288">
        <f>Siam_Chart[[#This Row],[Volume]]</f>
        <v>2772617</v>
      </c>
      <c r="G288">
        <f>Siam_Chart[[#This Row],[Value (k)]]</f>
        <v>39229322.100000001</v>
      </c>
      <c r="H288" cm="1">
        <f t="array" ref="H288:W288">Siam_Chart[[#This Row],[MCap (M)]:[CG]]</f>
        <v>18330000000</v>
      </c>
      <c r="I288">
        <v>14.42</v>
      </c>
      <c r="J288">
        <v>3.32</v>
      </c>
      <c r="K288">
        <v>0.24580199999999999</v>
      </c>
      <c r="L288">
        <v>0.45</v>
      </c>
      <c r="M288">
        <v>0.46</v>
      </c>
      <c r="N288">
        <v>19.016227000000001</v>
      </c>
      <c r="O288">
        <v>22.638190999999999</v>
      </c>
      <c r="P288">
        <v>14.560568</v>
      </c>
      <c r="Q288">
        <v>7.8</v>
      </c>
      <c r="R288" t="str">
        <v/>
      </c>
      <c r="S288" t="str">
        <v/>
      </c>
      <c r="T288">
        <v>487</v>
      </c>
      <c r="U288">
        <v>453</v>
      </c>
      <c r="V288">
        <v>0.52</v>
      </c>
      <c r="W288">
        <v>5</v>
      </c>
      <c r="X288" s="5">
        <f t="shared" si="11"/>
        <v>4.2469879518072293</v>
      </c>
      <c r="Y288" s="6">
        <f t="shared" si="12"/>
        <v>1300000000</v>
      </c>
    </row>
    <row r="289" spans="2:25" x14ac:dyDescent="0.25">
      <c r="B289" t="str">
        <f>Siam_Chart[[#This Row],[Name]]</f>
        <v>ICN</v>
      </c>
      <c r="C289">
        <f>Siam_Chart[[#This Row],[No.]]</f>
        <v>288</v>
      </c>
      <c r="D289">
        <f>Siam_Chart[[#This Row],[Last]]</f>
        <v>2.2000000000000002</v>
      </c>
      <c r="E289">
        <f>Siam_Chart[[#This Row],[Chg%]]</f>
        <v>0</v>
      </c>
      <c r="F289">
        <f>Siam_Chart[[#This Row],[Volume]]</f>
        <v>1931008</v>
      </c>
      <c r="G289">
        <f>Siam_Chart[[#This Row],[Value (k)]]</f>
        <v>4279809.76</v>
      </c>
      <c r="H289" cm="1">
        <f t="array" ref="H289:W289">Siam_Chart[[#This Row],[MCap (M)]:[CG]]</f>
        <v>1478620974.5999999</v>
      </c>
      <c r="I289">
        <v>8.81</v>
      </c>
      <c r="J289">
        <v>1.58</v>
      </c>
      <c r="K289">
        <v>2.4674559999999999</v>
      </c>
      <c r="L289">
        <v>0.09</v>
      </c>
      <c r="M289">
        <v>0.18</v>
      </c>
      <c r="N289">
        <v>8.007066</v>
      </c>
      <c r="O289">
        <v>18.519083999999999</v>
      </c>
      <c r="P289">
        <v>5.8136289999999997</v>
      </c>
      <c r="Q289">
        <v>6.82</v>
      </c>
      <c r="R289" t="str">
        <v/>
      </c>
      <c r="S289" t="str">
        <v/>
      </c>
      <c r="T289">
        <v>451</v>
      </c>
      <c r="U289">
        <v>559</v>
      </c>
      <c r="V289">
        <v>-1.47</v>
      </c>
      <c r="W289">
        <v>4</v>
      </c>
      <c r="X289" s="5">
        <f t="shared" si="11"/>
        <v>1.3924050632911393</v>
      </c>
      <c r="Y289" s="6">
        <f t="shared" si="12"/>
        <v>672100442.99999988</v>
      </c>
    </row>
    <row r="290" spans="2:25" x14ac:dyDescent="0.25">
      <c r="B290" t="str">
        <f>Siam_Chart[[#This Row],[Name]]</f>
        <v>IDG</v>
      </c>
      <c r="C290">
        <f>Siam_Chart[[#This Row],[No.]]</f>
        <v>289</v>
      </c>
      <c r="D290">
        <f>Siam_Chart[[#This Row],[Last]]</f>
        <v>1.27</v>
      </c>
      <c r="E290">
        <f>Siam_Chart[[#This Row],[Chg%]]</f>
        <v>0</v>
      </c>
      <c r="F290">
        <f>Siam_Chart[[#This Row],[Volume]]</f>
        <v>200</v>
      </c>
      <c r="G290">
        <f>Siam_Chart[[#This Row],[Value (k)]]</f>
        <v>253</v>
      </c>
      <c r="H290" cm="1">
        <f t="array" ref="H290:W290">Siam_Chart[[#This Row],[MCap (M)]:[CG]]</f>
        <v>127000000</v>
      </c>
      <c r="I290">
        <v>140.25</v>
      </c>
      <c r="J290">
        <v>1.07</v>
      </c>
      <c r="K290">
        <v>0.48496899999999998</v>
      </c>
      <c r="L290">
        <v>7.3499999999999996E-2</v>
      </c>
      <c r="M290">
        <v>-0.01</v>
      </c>
      <c r="N290">
        <v>0.57944300000000004</v>
      </c>
      <c r="O290">
        <v>1.052881</v>
      </c>
      <c r="P290">
        <v>-1.292772</v>
      </c>
      <c r="Q290">
        <v>5.79</v>
      </c>
      <c r="R290" t="str">
        <v/>
      </c>
      <c r="S290" t="str">
        <v/>
      </c>
      <c r="T290">
        <v>0</v>
      </c>
      <c r="U290">
        <v>0</v>
      </c>
      <c r="V290">
        <v>-0.66</v>
      </c>
      <c r="W290">
        <v>0</v>
      </c>
      <c r="X290" s="5">
        <f t="shared" si="11"/>
        <v>1.1869158878504673</v>
      </c>
      <c r="Y290" s="6">
        <f t="shared" si="12"/>
        <v>100000000</v>
      </c>
    </row>
    <row r="291" spans="2:25" x14ac:dyDescent="0.25">
      <c r="B291" t="str">
        <f>Siam_Chart[[#This Row],[Name]]</f>
        <v>IFS</v>
      </c>
      <c r="C291">
        <f>Siam_Chart[[#This Row],[No.]]</f>
        <v>290</v>
      </c>
      <c r="D291">
        <f>Siam_Chart[[#This Row],[Last]]</f>
        <v>1.83</v>
      </c>
      <c r="E291">
        <f>Siam_Chart[[#This Row],[Chg%]]</f>
        <v>0.55000000000000004</v>
      </c>
      <c r="F291">
        <f>Siam_Chart[[#This Row],[Volume]]</f>
        <v>278910</v>
      </c>
      <c r="G291">
        <f>Siam_Chart[[#This Row],[Value (k)]]</f>
        <v>504277.5</v>
      </c>
      <c r="H291" cm="1">
        <f t="array" ref="H291:W291">Siam_Chart[[#This Row],[MCap (M)]:[CG]]</f>
        <v>903104954.25</v>
      </c>
      <c r="I291">
        <v>7.77</v>
      </c>
      <c r="J291">
        <v>0.49</v>
      </c>
      <c r="K291">
        <v>1.3562050000000001</v>
      </c>
      <c r="L291">
        <v>0.104</v>
      </c>
      <c r="M291">
        <v>0.09</v>
      </c>
      <c r="N291">
        <v>4.8743889999999999</v>
      </c>
      <c r="O291">
        <v>6.4238239999999998</v>
      </c>
      <c r="P291">
        <v>19.130680999999999</v>
      </c>
      <c r="Q291">
        <v>5.68</v>
      </c>
      <c r="R291" t="str">
        <v/>
      </c>
      <c r="S291" t="str">
        <v/>
      </c>
      <c r="T291">
        <v>587</v>
      </c>
      <c r="U291">
        <v>730</v>
      </c>
      <c r="V291">
        <v>-0.81</v>
      </c>
      <c r="W291">
        <v>4</v>
      </c>
      <c r="X291" s="5">
        <f t="shared" si="11"/>
        <v>3.7346938775510208</v>
      </c>
      <c r="Y291" s="6">
        <f t="shared" si="12"/>
        <v>493499975</v>
      </c>
    </row>
    <row r="292" spans="2:25" x14ac:dyDescent="0.25">
      <c r="B292" t="str">
        <f>Siam_Chart[[#This Row],[Name]]</f>
        <v>IHL</v>
      </c>
      <c r="C292">
        <f>Siam_Chart[[#This Row],[No.]]</f>
        <v>291</v>
      </c>
      <c r="D292">
        <f>Siam_Chart[[#This Row],[Last]]</f>
        <v>1.4</v>
      </c>
      <c r="E292">
        <f>Siam_Chart[[#This Row],[Chg%]]</f>
        <v>-1.41</v>
      </c>
      <c r="F292">
        <f>Siam_Chart[[#This Row],[Volume]]</f>
        <v>41100</v>
      </c>
      <c r="G292">
        <f>Siam_Chart[[#This Row],[Value (k)]]</f>
        <v>57402</v>
      </c>
      <c r="H292" cm="1">
        <f t="array" ref="H292:W292">Siam_Chart[[#This Row],[MCap (M)]:[CG]]</f>
        <v>829927891.79999995</v>
      </c>
      <c r="I292">
        <v>13.41</v>
      </c>
      <c r="J292">
        <v>0.48</v>
      </c>
      <c r="K292">
        <v>1.3608629999999999</v>
      </c>
      <c r="L292">
        <v>0.08</v>
      </c>
      <c r="M292">
        <v>7.0000000000000007E-2</v>
      </c>
      <c r="N292">
        <v>3.585772</v>
      </c>
      <c r="O292">
        <v>3.5783749999999999</v>
      </c>
      <c r="P292">
        <v>3.601972</v>
      </c>
      <c r="Q292">
        <v>5.71</v>
      </c>
      <c r="R292" t="str">
        <v/>
      </c>
      <c r="S292" t="str">
        <v/>
      </c>
      <c r="T292">
        <v>797</v>
      </c>
      <c r="U292">
        <v>777</v>
      </c>
      <c r="V292">
        <v>0.19</v>
      </c>
      <c r="W292">
        <v>0</v>
      </c>
      <c r="X292" s="5">
        <f t="shared" si="11"/>
        <v>2.9166666666666665</v>
      </c>
      <c r="Y292" s="6">
        <f t="shared" si="12"/>
        <v>592805637</v>
      </c>
    </row>
    <row r="293" spans="2:25" x14ac:dyDescent="0.25">
      <c r="B293" t="str">
        <f>Siam_Chart[[#This Row],[Name]]</f>
        <v>IIG</v>
      </c>
      <c r="C293">
        <f>Siam_Chart[[#This Row],[No.]]</f>
        <v>292</v>
      </c>
      <c r="D293">
        <f>Siam_Chart[[#This Row],[Last]]</f>
        <v>1.4</v>
      </c>
      <c r="E293">
        <f>Siam_Chart[[#This Row],[Chg%]]</f>
        <v>3.7</v>
      </c>
      <c r="F293">
        <f>Siam_Chart[[#This Row],[Volume]]</f>
        <v>1600</v>
      </c>
      <c r="G293">
        <f>Siam_Chart[[#This Row],[Value (k)]]</f>
        <v>2201</v>
      </c>
      <c r="H293" cm="1">
        <f t="array" ref="H293:W293">Siam_Chart[[#This Row],[MCap (M)]:[CG]]</f>
        <v>172727249.80000001</v>
      </c>
      <c r="I293">
        <v>173961015.87</v>
      </c>
      <c r="J293">
        <v>0.87</v>
      </c>
      <c r="K293">
        <v>3.9561199999999999</v>
      </c>
      <c r="L293">
        <v>0.4</v>
      </c>
      <c r="M293">
        <v>-0.27</v>
      </c>
      <c r="N293">
        <v>-20.260622000000001</v>
      </c>
      <c r="O293">
        <v>-83.468430999999995</v>
      </c>
      <c r="P293">
        <v>-11.369455</v>
      </c>
      <c r="Q293">
        <v>0.87</v>
      </c>
      <c r="R293" t="str">
        <v/>
      </c>
      <c r="S293" t="str">
        <v/>
      </c>
      <c r="T293">
        <v>0</v>
      </c>
      <c r="U293">
        <v>0</v>
      </c>
      <c r="V293">
        <v>0</v>
      </c>
      <c r="W293">
        <v>0</v>
      </c>
      <c r="X293" s="5">
        <f t="shared" si="11"/>
        <v>1.6091954022988504</v>
      </c>
      <c r="Y293" s="6">
        <f t="shared" si="12"/>
        <v>123376607.00000001</v>
      </c>
    </row>
    <row r="294" spans="2:25" x14ac:dyDescent="0.25">
      <c r="B294" t="str">
        <f>Siam_Chart[[#This Row],[Name]]</f>
        <v>III</v>
      </c>
      <c r="C294">
        <f>Siam_Chart[[#This Row],[No.]]</f>
        <v>293</v>
      </c>
      <c r="D294">
        <f>Siam_Chart[[#This Row],[Last]]</f>
        <v>5.35</v>
      </c>
      <c r="E294">
        <f>Siam_Chart[[#This Row],[Chg%]]</f>
        <v>7.43</v>
      </c>
      <c r="F294">
        <f>Siam_Chart[[#This Row],[Volume]]</f>
        <v>4761485</v>
      </c>
      <c r="G294">
        <f>Siam_Chart[[#This Row],[Value (k)]]</f>
        <v>24937614.350000001</v>
      </c>
      <c r="H294" cm="1">
        <f t="array" ref="H294:W294">Siam_Chart[[#This Row],[MCap (M)]:[CG]]</f>
        <v>4321479192</v>
      </c>
      <c r="I294">
        <v>9.19</v>
      </c>
      <c r="J294">
        <v>1</v>
      </c>
      <c r="K294">
        <v>0.248442</v>
      </c>
      <c r="L294">
        <v>0.15</v>
      </c>
      <c r="M294">
        <v>0.3</v>
      </c>
      <c r="N294">
        <v>9.637594</v>
      </c>
      <c r="O294">
        <v>11.180616000000001</v>
      </c>
      <c r="P294">
        <v>17.639053000000001</v>
      </c>
      <c r="Q294">
        <v>4.67</v>
      </c>
      <c r="R294" t="str">
        <v/>
      </c>
      <c r="S294" t="str">
        <v/>
      </c>
      <c r="T294">
        <v>548</v>
      </c>
      <c r="U294">
        <v>468</v>
      </c>
      <c r="V294">
        <v>0.67</v>
      </c>
      <c r="W294">
        <v>5</v>
      </c>
      <c r="X294" s="5">
        <f t="shared" si="11"/>
        <v>5.35</v>
      </c>
      <c r="Y294" s="6">
        <f t="shared" si="12"/>
        <v>807753120</v>
      </c>
    </row>
    <row r="295" spans="2:25" x14ac:dyDescent="0.25">
      <c r="B295" t="str">
        <f>Siam_Chart[[#This Row],[Name]]</f>
        <v>ILINK</v>
      </c>
      <c r="C295">
        <f>Siam_Chart[[#This Row],[No.]]</f>
        <v>294</v>
      </c>
      <c r="D295">
        <f>Siam_Chart[[#This Row],[Last]]</f>
        <v>4.96</v>
      </c>
      <c r="E295">
        <f>Siam_Chart[[#This Row],[Chg%]]</f>
        <v>1.64</v>
      </c>
      <c r="F295">
        <f>Siam_Chart[[#This Row],[Volume]]</f>
        <v>222336</v>
      </c>
      <c r="G295">
        <f>Siam_Chart[[#This Row],[Value (k)]]</f>
        <v>1104232.56</v>
      </c>
      <c r="H295" cm="1">
        <f t="array" ref="H295:W295">Siam_Chart[[#This Row],[MCap (M)]:[CG]]</f>
        <v>2696416332</v>
      </c>
      <c r="I295">
        <v>2631180453</v>
      </c>
      <c r="J295">
        <v>0.73</v>
      </c>
      <c r="K295">
        <v>0.28594900000000001</v>
      </c>
      <c r="L295">
        <v>0.31</v>
      </c>
      <c r="M295">
        <v>0.27</v>
      </c>
      <c r="N295">
        <v>-5.6533749999999996</v>
      </c>
      <c r="O295">
        <v>-12.401633</v>
      </c>
      <c r="P295">
        <v>8.1327350000000003</v>
      </c>
      <c r="Q295">
        <v>6.25</v>
      </c>
      <c r="R295" t="str">
        <v/>
      </c>
      <c r="S295" t="str">
        <v/>
      </c>
      <c r="T295">
        <v>0</v>
      </c>
      <c r="U295">
        <v>0</v>
      </c>
      <c r="V295">
        <v>0</v>
      </c>
      <c r="W295">
        <v>5</v>
      </c>
      <c r="X295" s="5">
        <f t="shared" si="11"/>
        <v>6.794520547945206</v>
      </c>
      <c r="Y295" s="6">
        <f t="shared" si="12"/>
        <v>543632325</v>
      </c>
    </row>
    <row r="296" spans="2:25" x14ac:dyDescent="0.25">
      <c r="B296" t="str">
        <f>Siam_Chart[[#This Row],[Name]]</f>
        <v>ILM</v>
      </c>
      <c r="C296">
        <f>Siam_Chart[[#This Row],[No.]]</f>
        <v>295</v>
      </c>
      <c r="D296">
        <f>Siam_Chart[[#This Row],[Last]]</f>
        <v>13.9</v>
      </c>
      <c r="E296">
        <f>Siam_Chart[[#This Row],[Chg%]]</f>
        <v>-0.71</v>
      </c>
      <c r="F296">
        <f>Siam_Chart[[#This Row],[Volume]]</f>
        <v>168070</v>
      </c>
      <c r="G296">
        <f>Siam_Chart[[#This Row],[Value (k)]]</f>
        <v>2335194.6</v>
      </c>
      <c r="H296" cm="1">
        <f t="array" ref="H296:W296">Siam_Chart[[#This Row],[MCap (M)]:[CG]]</f>
        <v>7019500000</v>
      </c>
      <c r="I296">
        <v>9.23</v>
      </c>
      <c r="J296">
        <v>1.0900000000000001</v>
      </c>
      <c r="K296">
        <v>1.097294</v>
      </c>
      <c r="L296">
        <v>0.25</v>
      </c>
      <c r="M296">
        <v>0.79</v>
      </c>
      <c r="N296">
        <v>8.7790189999999999</v>
      </c>
      <c r="O296">
        <v>12.052609</v>
      </c>
      <c r="P296">
        <v>7.8305389999999999</v>
      </c>
      <c r="Q296">
        <v>7.19</v>
      </c>
      <c r="R296" t="str">
        <v/>
      </c>
      <c r="S296" t="str">
        <v/>
      </c>
      <c r="T296">
        <v>397</v>
      </c>
      <c r="U296">
        <v>392</v>
      </c>
      <c r="V296">
        <v>0.6</v>
      </c>
      <c r="W296">
        <v>5</v>
      </c>
      <c r="X296" s="5">
        <f t="shared" si="11"/>
        <v>12.75229357798165</v>
      </c>
      <c r="Y296" s="6">
        <f t="shared" si="12"/>
        <v>505000000</v>
      </c>
    </row>
    <row r="297" spans="2:25" x14ac:dyDescent="0.25">
      <c r="B297" t="str">
        <f>Siam_Chart[[#This Row],[Name]]</f>
        <v>IMH</v>
      </c>
      <c r="C297">
        <f>Siam_Chart[[#This Row],[No.]]</f>
        <v>296</v>
      </c>
      <c r="D297">
        <f>Siam_Chart[[#This Row],[Last]]</f>
        <v>4.0599999999999996</v>
      </c>
      <c r="E297">
        <f>Siam_Chart[[#This Row],[Chg%]]</f>
        <v>5.18</v>
      </c>
      <c r="F297">
        <f>Siam_Chart[[#This Row],[Volume]]</f>
        <v>118018</v>
      </c>
      <c r="G297">
        <f>Siam_Chart[[#This Row],[Value (k)]]</f>
        <v>467305.68</v>
      </c>
      <c r="H297" cm="1">
        <f t="array" ref="H297:W297">Siam_Chart[[#This Row],[MCap (M)]:[CG]]</f>
        <v>962229861.74000001</v>
      </c>
      <c r="I297">
        <v>767887869.96000004</v>
      </c>
      <c r="J297">
        <v>1.61</v>
      </c>
      <c r="K297">
        <v>2.1950379999999998</v>
      </c>
      <c r="L297">
        <v>0.14000000000000001</v>
      </c>
      <c r="M297">
        <v>0.23</v>
      </c>
      <c r="N297">
        <v>0.52770600000000001</v>
      </c>
      <c r="O297">
        <v>-10.005846</v>
      </c>
      <c r="P297">
        <v>11.657905</v>
      </c>
      <c r="Q297">
        <v>1.29</v>
      </c>
      <c r="R297" t="str">
        <v/>
      </c>
      <c r="S297" t="str">
        <v/>
      </c>
      <c r="T297">
        <v>0</v>
      </c>
      <c r="U297">
        <v>0</v>
      </c>
      <c r="V297">
        <v>0</v>
      </c>
      <c r="W297">
        <v>3</v>
      </c>
      <c r="X297" s="5">
        <f t="shared" si="11"/>
        <v>2.5217391304347823</v>
      </c>
      <c r="Y297" s="6">
        <f t="shared" si="12"/>
        <v>237002429.00000003</v>
      </c>
    </row>
    <row r="298" spans="2:25" x14ac:dyDescent="0.25">
      <c r="B298" t="str">
        <f>Siam_Chart[[#This Row],[Name]]</f>
        <v>IND</v>
      </c>
      <c r="C298">
        <f>Siam_Chart[[#This Row],[No.]]</f>
        <v>297</v>
      </c>
      <c r="D298">
        <f>Siam_Chart[[#This Row],[Last]]</f>
        <v>0.85</v>
      </c>
      <c r="E298">
        <f>Siam_Chart[[#This Row],[Chg%]]</f>
        <v>1.19</v>
      </c>
      <c r="F298">
        <f>Siam_Chart[[#This Row],[Volume]]</f>
        <v>156805</v>
      </c>
      <c r="G298">
        <f>Siam_Chart[[#This Row],[Value (k)]]</f>
        <v>131731.18</v>
      </c>
      <c r="H298" cm="1">
        <f t="array" ref="H298:W298">Siam_Chart[[#This Row],[MCap (M)]:[CG]]</f>
        <v>297500000</v>
      </c>
      <c r="I298">
        <v>8.2799999999999994</v>
      </c>
      <c r="J298">
        <v>0.57999999999999996</v>
      </c>
      <c r="K298">
        <v>1.0125029999999999</v>
      </c>
      <c r="L298">
        <v>7.2999999999999995E-2</v>
      </c>
      <c r="M298">
        <v>0.04</v>
      </c>
      <c r="N298">
        <v>4.4654449999999999</v>
      </c>
      <c r="O298">
        <v>7.071993</v>
      </c>
      <c r="P298">
        <v>3.207471</v>
      </c>
      <c r="Q298">
        <v>8.59</v>
      </c>
      <c r="R298" t="str">
        <v/>
      </c>
      <c r="S298" t="str">
        <v/>
      </c>
      <c r="T298">
        <v>267</v>
      </c>
      <c r="U298">
        <v>312</v>
      </c>
      <c r="V298">
        <v>0.05</v>
      </c>
      <c r="W298">
        <v>5</v>
      </c>
      <c r="X298" s="5">
        <f t="shared" si="11"/>
        <v>1.4655172413793105</v>
      </c>
      <c r="Y298" s="6">
        <f t="shared" si="12"/>
        <v>350000000</v>
      </c>
    </row>
    <row r="299" spans="2:25" x14ac:dyDescent="0.25">
      <c r="B299" t="str">
        <f>Siam_Chart[[#This Row],[Name]]</f>
        <v>INET</v>
      </c>
      <c r="C299">
        <f>Siam_Chart[[#This Row],[No.]]</f>
        <v>298</v>
      </c>
      <c r="D299">
        <f>Siam_Chart[[#This Row],[Last]]</f>
        <v>4</v>
      </c>
      <c r="E299">
        <f>Siam_Chart[[#This Row],[Chg%]]</f>
        <v>-0.5</v>
      </c>
      <c r="F299">
        <f>Siam_Chart[[#This Row],[Volume]]</f>
        <v>594080</v>
      </c>
      <c r="G299">
        <f>Siam_Chart[[#This Row],[Value (k)]]</f>
        <v>2383621.38</v>
      </c>
      <c r="H299" cm="1">
        <f t="array" ref="H299:W299">Siam_Chart[[#This Row],[MCap (M)]:[CG]]</f>
        <v>2386961068</v>
      </c>
      <c r="I299">
        <v>7.64</v>
      </c>
      <c r="J299">
        <v>0.65</v>
      </c>
      <c r="K299">
        <v>4.4526620000000001</v>
      </c>
      <c r="L299">
        <v>0.126</v>
      </c>
      <c r="M299">
        <v>0.3</v>
      </c>
      <c r="N299">
        <v>8.2480790000000006</v>
      </c>
      <c r="O299">
        <v>8.7651380000000003</v>
      </c>
      <c r="P299">
        <v>10.275520999999999</v>
      </c>
      <c r="Q299">
        <v>3.15</v>
      </c>
      <c r="R299" t="str">
        <v/>
      </c>
      <c r="S299" t="str">
        <v/>
      </c>
      <c r="T299">
        <v>521</v>
      </c>
      <c r="U299">
        <v>411</v>
      </c>
      <c r="V299">
        <v>0.5</v>
      </c>
      <c r="W299">
        <v>5</v>
      </c>
      <c r="X299" s="5">
        <f t="shared" si="11"/>
        <v>6.1538461538461533</v>
      </c>
      <c r="Y299" s="6">
        <f t="shared" si="12"/>
        <v>596740267</v>
      </c>
    </row>
    <row r="300" spans="2:25" x14ac:dyDescent="0.25">
      <c r="B300" t="str">
        <f>Siam_Chart[[#This Row],[Name]]</f>
        <v>INGRS</v>
      </c>
      <c r="C300">
        <f>Siam_Chart[[#This Row],[No.]]</f>
        <v>299</v>
      </c>
      <c r="D300">
        <f>Siam_Chart[[#This Row],[Last]]</f>
        <v>2026</v>
      </c>
      <c r="E300">
        <f>Siam_Chart[[#This Row],[Chg%]]</f>
        <v>-65.384615384615387</v>
      </c>
      <c r="F300">
        <f>Siam_Chart[[#This Row],[Volume]]</f>
        <v>256786010</v>
      </c>
      <c r="G300">
        <f>Siam_Chart[[#This Row],[Value (k)]]</f>
        <v>48061.443019999999</v>
      </c>
      <c r="H300" cm="1">
        <f t="array" ref="H300:W300">Siam_Chart[[#This Row],[MCap (M)]:[CG]]</f>
        <v>130</v>
      </c>
      <c r="I300">
        <v>0</v>
      </c>
      <c r="J300">
        <v>2.3363848707044435</v>
      </c>
      <c r="K300">
        <v>2.3363849999999999</v>
      </c>
      <c r="L300">
        <v>2.3E-2</v>
      </c>
      <c r="M300">
        <v>-0.15</v>
      </c>
      <c r="N300">
        <v>1.7998749999999999</v>
      </c>
      <c r="O300">
        <v>-21.250551000000002</v>
      </c>
      <c r="P300">
        <v>-1.680669</v>
      </c>
      <c r="Q300">
        <v>0</v>
      </c>
      <c r="R300" t="str">
        <v/>
      </c>
      <c r="S300" t="str">
        <v/>
      </c>
      <c r="T300">
        <v>0</v>
      </c>
      <c r="U300">
        <v>0</v>
      </c>
      <c r="V300">
        <v>0</v>
      </c>
      <c r="W300">
        <v>0</v>
      </c>
      <c r="X300" s="5">
        <f t="shared" si="11"/>
        <v>867.15165185483363</v>
      </c>
      <c r="Y300" s="6">
        <f t="shared" si="12"/>
        <v>6.4165844027640667E-2</v>
      </c>
    </row>
    <row r="301" spans="2:25" x14ac:dyDescent="0.25">
      <c r="B301" t="str">
        <f>Siam_Chart[[#This Row],[Name]]</f>
        <v>INOX</v>
      </c>
      <c r="C301">
        <f>Siam_Chart[[#This Row],[No.]]</f>
        <v>300</v>
      </c>
      <c r="D301">
        <f>Siam_Chart[[#This Row],[Last]]</f>
        <v>4.08</v>
      </c>
      <c r="E301">
        <f>Siam_Chart[[#This Row],[Chg%]]</f>
        <v>0</v>
      </c>
      <c r="F301">
        <f>Siam_Chart[[#This Row],[Volume]]</f>
        <v>61821</v>
      </c>
      <c r="G301">
        <f>Siam_Chart[[#This Row],[Value (k)]]</f>
        <v>249767.7</v>
      </c>
      <c r="H301" cm="1">
        <f t="array" ref="H301:W301">Siam_Chart[[#This Row],[MCap (M)]:[CG]]</f>
        <v>3180649312.8000002</v>
      </c>
      <c r="I301">
        <v>19.68</v>
      </c>
      <c r="J301">
        <v>0.35</v>
      </c>
      <c r="K301">
        <v>0.29993900000000001</v>
      </c>
      <c r="L301">
        <v>2.3E-2</v>
      </c>
      <c r="M301">
        <v>0.19</v>
      </c>
      <c r="N301">
        <v>1.7819719999999999</v>
      </c>
      <c r="O301">
        <v>1.772802</v>
      </c>
      <c r="P301">
        <v>2.0525980000000001</v>
      </c>
      <c r="Q301">
        <v>0.35</v>
      </c>
      <c r="R301" t="str">
        <v/>
      </c>
      <c r="S301" t="str">
        <v/>
      </c>
      <c r="T301">
        <v>1175</v>
      </c>
      <c r="U301">
        <v>1186</v>
      </c>
      <c r="V301">
        <v>-0.09</v>
      </c>
      <c r="W301">
        <v>0</v>
      </c>
      <c r="X301" s="5">
        <f t="shared" si="11"/>
        <v>11.657142857142858</v>
      </c>
      <c r="Y301" s="6">
        <f t="shared" si="12"/>
        <v>779570910</v>
      </c>
    </row>
    <row r="302" spans="2:25" x14ac:dyDescent="0.25">
      <c r="B302" t="str">
        <f>Siam_Chart[[#This Row],[Name]]</f>
        <v>INSET</v>
      </c>
      <c r="C302">
        <f>Siam_Chart[[#This Row],[No.]]</f>
        <v>301</v>
      </c>
      <c r="D302">
        <f>Siam_Chart[[#This Row],[Last]]</f>
        <v>4.9800000000000004</v>
      </c>
      <c r="E302">
        <f>Siam_Chart[[#This Row],[Chg%]]</f>
        <v>2.89</v>
      </c>
      <c r="F302">
        <f>Siam_Chart[[#This Row],[Volume]]</f>
        <v>14057005</v>
      </c>
      <c r="G302">
        <f>Siam_Chart[[#This Row],[Value (k)]]</f>
        <v>69717279.900000006</v>
      </c>
      <c r="H302" cm="1">
        <f t="array" ref="H302:W302">Siam_Chart[[#This Row],[MCap (M)]:[CG]]</f>
        <v>4047609694.3800001</v>
      </c>
      <c r="I302">
        <v>32.869999999999997</v>
      </c>
      <c r="J302">
        <v>2.76</v>
      </c>
      <c r="K302">
        <v>1.1697569999999999</v>
      </c>
      <c r="L302">
        <v>0.05</v>
      </c>
      <c r="M302">
        <v>0.13</v>
      </c>
      <c r="N302">
        <v>6.4701199999999996</v>
      </c>
      <c r="O302">
        <v>8.6049889999999998</v>
      </c>
      <c r="P302">
        <v>7.6421609999999998</v>
      </c>
      <c r="Q302">
        <v>0.81</v>
      </c>
      <c r="R302" t="str">
        <v/>
      </c>
      <c r="S302" t="str">
        <v/>
      </c>
      <c r="T302">
        <v>945</v>
      </c>
      <c r="U302">
        <v>952</v>
      </c>
      <c r="V302">
        <v>-1.06</v>
      </c>
      <c r="W302">
        <v>5</v>
      </c>
      <c r="X302" s="5">
        <f t="shared" si="11"/>
        <v>1.8043478260869568</v>
      </c>
      <c r="Y302" s="6">
        <f t="shared" si="12"/>
        <v>812773031</v>
      </c>
    </row>
    <row r="303" spans="2:25" x14ac:dyDescent="0.25">
      <c r="B303" t="str">
        <f>Siam_Chart[[#This Row],[Name]]</f>
        <v>INSURE</v>
      </c>
      <c r="C303">
        <f>Siam_Chart[[#This Row],[No.]]</f>
        <v>302</v>
      </c>
      <c r="D303">
        <f>Siam_Chart[[#This Row],[Last]]</f>
        <v>2026</v>
      </c>
      <c r="E303">
        <f>Siam_Chart[[#This Row],[Chg%]]</f>
        <v>50</v>
      </c>
      <c r="F303">
        <f>Siam_Chart[[#This Row],[Volume]]</f>
        <v>60</v>
      </c>
      <c r="G303">
        <f>Siam_Chart[[#This Row],[Value (k)]]</f>
        <v>2880</v>
      </c>
      <c r="H303" cm="1">
        <f t="array" ref="H303:W303">Siam_Chart[[#This Row],[MCap (M)]:[CG]]</f>
        <v>591000000</v>
      </c>
      <c r="I303">
        <v>600000000</v>
      </c>
      <c r="J303">
        <v>0.42</v>
      </c>
      <c r="K303">
        <v>3.8099880000000002</v>
      </c>
      <c r="L303">
        <v>10</v>
      </c>
      <c r="M303">
        <v>-12.86</v>
      </c>
      <c r="N303">
        <v>-0.70630599999999999</v>
      </c>
      <c r="O303">
        <v>-2.844986</v>
      </c>
      <c r="P303">
        <v>-5.3734999999999999</v>
      </c>
      <c r="Q303">
        <v>0.43</v>
      </c>
      <c r="R303" t="str">
        <v/>
      </c>
      <c r="S303" t="str">
        <v/>
      </c>
      <c r="T303">
        <v>1193</v>
      </c>
      <c r="U303">
        <v>1281</v>
      </c>
      <c r="V303">
        <v>0.02</v>
      </c>
      <c r="W303">
        <v>5</v>
      </c>
      <c r="X303" s="5">
        <f t="shared" si="11"/>
        <v>4823.8095238095239</v>
      </c>
      <c r="Y303" s="6">
        <f t="shared" si="12"/>
        <v>291707.79861796641</v>
      </c>
    </row>
    <row r="304" spans="2:25" x14ac:dyDescent="0.25">
      <c r="B304" t="str">
        <f>Siam_Chart[[#This Row],[Name]]</f>
        <v>IP</v>
      </c>
      <c r="C304">
        <f>Siam_Chart[[#This Row],[No.]]</f>
        <v>303</v>
      </c>
      <c r="D304">
        <f>Siam_Chart[[#This Row],[Last]]</f>
        <v>5.05</v>
      </c>
      <c r="E304">
        <f>Siam_Chart[[#This Row],[Chg%]]</f>
        <v>-1.94</v>
      </c>
      <c r="F304">
        <f>Siam_Chart[[#This Row],[Volume]]</f>
        <v>461600</v>
      </c>
      <c r="G304">
        <f>Siam_Chart[[#This Row],[Value (k)]]</f>
        <v>2337305</v>
      </c>
      <c r="H304" cm="1">
        <f t="array" ref="H304:W304">Siam_Chart[[#This Row],[MCap (M)]:[CG]]</f>
        <v>3056989598.75</v>
      </c>
      <c r="I304">
        <v>22.29</v>
      </c>
      <c r="J304">
        <v>1.47</v>
      </c>
      <c r="K304">
        <v>0.39168399999999998</v>
      </c>
      <c r="L304">
        <v>7.2999999999999995E-2</v>
      </c>
      <c r="M304">
        <v>0.11</v>
      </c>
      <c r="N304">
        <v>6.6952629999999997</v>
      </c>
      <c r="O304">
        <v>6.7328289999999997</v>
      </c>
      <c r="P304">
        <v>7.0167210000000004</v>
      </c>
      <c r="Q304">
        <v>1.45</v>
      </c>
      <c r="R304" t="str">
        <v/>
      </c>
      <c r="S304" t="str">
        <v/>
      </c>
      <c r="T304">
        <v>1024</v>
      </c>
      <c r="U304">
        <v>934</v>
      </c>
      <c r="V304">
        <v>0.64</v>
      </c>
      <c r="W304">
        <v>5</v>
      </c>
      <c r="X304" s="5">
        <f t="shared" si="11"/>
        <v>3.435374149659864</v>
      </c>
      <c r="Y304" s="6">
        <f t="shared" si="12"/>
        <v>605344475</v>
      </c>
    </row>
    <row r="305" spans="2:25" x14ac:dyDescent="0.25">
      <c r="B305" t="str">
        <f>Siam_Chart[[#This Row],[Name]]</f>
        <v>IRC</v>
      </c>
      <c r="C305">
        <f>Siam_Chart[[#This Row],[No.]]</f>
        <v>304</v>
      </c>
      <c r="D305">
        <f>Siam_Chart[[#This Row],[Last]]</f>
        <v>13</v>
      </c>
      <c r="E305">
        <f>Siam_Chart[[#This Row],[Chg%]]</f>
        <v>0</v>
      </c>
      <c r="F305">
        <f>Siam_Chart[[#This Row],[Volume]]</f>
        <v>14003</v>
      </c>
      <c r="G305">
        <f>Siam_Chart[[#This Row],[Value (k)]]</f>
        <v>181129.4</v>
      </c>
      <c r="H305" cm="1">
        <f t="array" ref="H305:W305">Siam_Chart[[#This Row],[MCap (M)]:[CG]]</f>
        <v>2498700100</v>
      </c>
      <c r="I305">
        <v>10</v>
      </c>
      <c r="J305">
        <v>0.59</v>
      </c>
      <c r="K305">
        <v>0.264486</v>
      </c>
      <c r="L305">
        <v>0.49299999999999999</v>
      </c>
      <c r="M305">
        <v>1.1100000000000001</v>
      </c>
      <c r="N305">
        <v>5.9177720000000003</v>
      </c>
      <c r="O305">
        <v>5.9680900000000001</v>
      </c>
      <c r="P305">
        <v>6.2688119999999996</v>
      </c>
      <c r="Q305">
        <v>3.79</v>
      </c>
      <c r="R305" t="str">
        <v/>
      </c>
      <c r="S305" t="str">
        <v/>
      </c>
      <c r="T305">
        <v>702</v>
      </c>
      <c r="U305">
        <v>596</v>
      </c>
      <c r="V305">
        <v>1.21</v>
      </c>
      <c r="W305">
        <v>5</v>
      </c>
      <c r="X305" s="5">
        <f t="shared" si="11"/>
        <v>22.033898305084747</v>
      </c>
      <c r="Y305" s="6">
        <f t="shared" si="12"/>
        <v>192207700</v>
      </c>
    </row>
    <row r="306" spans="2:25" x14ac:dyDescent="0.25">
      <c r="B306" t="str">
        <f>Siam_Chart[[#This Row],[Name]]</f>
        <v>IRCP</v>
      </c>
      <c r="C306">
        <f>Siam_Chart[[#This Row],[No.]]</f>
        <v>305</v>
      </c>
      <c r="D306">
        <f>Siam_Chart[[#This Row],[Last]]</f>
        <v>0.32</v>
      </c>
      <c r="E306">
        <f>Siam_Chart[[#This Row],[Chg%]]</f>
        <v>6.67</v>
      </c>
      <c r="F306">
        <f>Siam_Chart[[#This Row],[Volume]]</f>
        <v>1531933</v>
      </c>
      <c r="G306">
        <f>Siam_Chart[[#This Row],[Value (k)]]</f>
        <v>478540.15</v>
      </c>
      <c r="H306" cm="1">
        <f t="array" ref="H306:W306">Siam_Chart[[#This Row],[MCap (M)]:[CG]]</f>
        <v>199514049.59999999</v>
      </c>
      <c r="I306">
        <v>180809607.44999999</v>
      </c>
      <c r="J306">
        <v>0.47</v>
      </c>
      <c r="K306">
        <v>1.4450829999999999</v>
      </c>
      <c r="L306">
        <v>2.5000000000000001E-2</v>
      </c>
      <c r="M306">
        <v>-14.966246663427016</v>
      </c>
      <c r="N306">
        <v>-14.966246999999999</v>
      </c>
      <c r="O306">
        <v>-35.995041000000001</v>
      </c>
      <c r="P306">
        <v>0.34239999999999998</v>
      </c>
      <c r="Q306">
        <v>0.43</v>
      </c>
      <c r="R306" t="str">
        <v/>
      </c>
      <c r="S306" t="str">
        <v/>
      </c>
      <c r="T306">
        <v>0</v>
      </c>
      <c r="U306">
        <v>0</v>
      </c>
      <c r="V306">
        <v>0</v>
      </c>
      <c r="W306">
        <v>3</v>
      </c>
      <c r="X306" s="5">
        <f t="shared" si="11"/>
        <v>0.68085106382978733</v>
      </c>
      <c r="Y306" s="6">
        <f t="shared" si="12"/>
        <v>623481405</v>
      </c>
    </row>
    <row r="307" spans="2:25" x14ac:dyDescent="0.25">
      <c r="B307" t="str">
        <f>Siam_Chart[[#This Row],[Name]]</f>
        <v>IROYAL</v>
      </c>
      <c r="C307">
        <f>Siam_Chart[[#This Row],[No.]]</f>
        <v>306</v>
      </c>
      <c r="D307">
        <f>Siam_Chart[[#This Row],[Last]]</f>
        <v>4.68</v>
      </c>
      <c r="E307">
        <f>Siam_Chart[[#This Row],[Chg%]]</f>
        <v>0</v>
      </c>
      <c r="F307">
        <f>Siam_Chart[[#This Row],[Volume]]</f>
        <v>246713</v>
      </c>
      <c r="G307">
        <f>Siam_Chart[[#This Row],[Value (k)]]</f>
        <v>1148770.8400000001</v>
      </c>
      <c r="H307" cm="1">
        <f t="array" ref="H307:W307">Siam_Chart[[#This Row],[MCap (M)]:[CG]]</f>
        <v>1076400000</v>
      </c>
      <c r="I307">
        <v>7.07</v>
      </c>
      <c r="J307">
        <v>1.8</v>
      </c>
      <c r="K307">
        <v>6.5324999999999994E-2</v>
      </c>
      <c r="L307">
        <v>0.13039999999999999</v>
      </c>
      <c r="M307">
        <v>0.28999999999999998</v>
      </c>
      <c r="N307">
        <v>26.69706</v>
      </c>
      <c r="O307">
        <v>26.609780000000001</v>
      </c>
      <c r="P307">
        <v>28.586877000000001</v>
      </c>
      <c r="Q307">
        <v>9.19</v>
      </c>
      <c r="R307" t="str">
        <v/>
      </c>
      <c r="S307" t="str">
        <v/>
      </c>
      <c r="T307">
        <v>131</v>
      </c>
      <c r="U307">
        <v>99</v>
      </c>
      <c r="V307">
        <v>0.12</v>
      </c>
      <c r="W307">
        <v>0</v>
      </c>
      <c r="X307" s="5">
        <f t="shared" si="11"/>
        <v>2.5999999999999996</v>
      </c>
      <c r="Y307" s="6">
        <f t="shared" si="12"/>
        <v>230000000</v>
      </c>
    </row>
    <row r="308" spans="2:25" x14ac:dyDescent="0.25">
      <c r="B308" t="str">
        <f>Siam_Chart[[#This Row],[Name]]</f>
        <v>IRPC</v>
      </c>
      <c r="C308">
        <f>Siam_Chart[[#This Row],[No.]]</f>
        <v>307</v>
      </c>
      <c r="D308">
        <f>Siam_Chart[[#This Row],[Last]]</f>
        <v>2.5</v>
      </c>
      <c r="E308">
        <f>Siam_Chart[[#This Row],[Chg%]]</f>
        <v>-2.34</v>
      </c>
      <c r="F308">
        <f>Siam_Chart[[#This Row],[Volume]]</f>
        <v>59645575</v>
      </c>
      <c r="G308">
        <f>Siam_Chart[[#This Row],[Value (k)]]</f>
        <v>149116067.19999999</v>
      </c>
      <c r="H308" cm="1">
        <f t="array" ref="H308:W308">Siam_Chart[[#This Row],[MCap (M)]:[CG]]</f>
        <v>51086048115</v>
      </c>
      <c r="I308">
        <v>4.83</v>
      </c>
      <c r="J308">
        <v>0.67</v>
      </c>
      <c r="K308">
        <v>1.749147</v>
      </c>
      <c r="L308">
        <v>0.01</v>
      </c>
      <c r="M308">
        <v>0.53</v>
      </c>
      <c r="N308">
        <v>8.0940890000000003</v>
      </c>
      <c r="O308">
        <v>14.802391</v>
      </c>
      <c r="P308">
        <v>6.4438380000000004</v>
      </c>
      <c r="Q308">
        <v>0.4</v>
      </c>
      <c r="R308" t="str">
        <v/>
      </c>
      <c r="S308" t="str">
        <v/>
      </c>
      <c r="T308">
        <v>551</v>
      </c>
      <c r="U308">
        <v>635</v>
      </c>
      <c r="V308">
        <v>-0.3</v>
      </c>
      <c r="W308">
        <v>5</v>
      </c>
      <c r="X308" s="5">
        <f t="shared" si="11"/>
        <v>3.7313432835820892</v>
      </c>
      <c r="Y308" s="6">
        <f t="shared" si="12"/>
        <v>20434419246</v>
      </c>
    </row>
    <row r="309" spans="2:25" x14ac:dyDescent="0.25">
      <c r="B309" t="str">
        <f>Siam_Chart[[#This Row],[Name]]</f>
        <v>IT</v>
      </c>
      <c r="C309">
        <f>Siam_Chart[[#This Row],[No.]]</f>
        <v>308</v>
      </c>
      <c r="D309">
        <f>Siam_Chart[[#This Row],[Last]]</f>
        <v>7.5</v>
      </c>
      <c r="E309">
        <f>Siam_Chart[[#This Row],[Chg%]]</f>
        <v>-1.96</v>
      </c>
      <c r="F309">
        <f>Siam_Chart[[#This Row],[Volume]]</f>
        <v>163870</v>
      </c>
      <c r="G309">
        <f>Siam_Chart[[#This Row],[Value (k)]]</f>
        <v>1240933.55</v>
      </c>
      <c r="H309" cm="1">
        <f t="array" ref="H309:W309">Siam_Chart[[#This Row],[MCap (M)]:[CG]]</f>
        <v>2747991442.5</v>
      </c>
      <c r="I309">
        <v>9.31</v>
      </c>
      <c r="J309">
        <v>1.93</v>
      </c>
      <c r="K309">
        <v>2.1586029999999998</v>
      </c>
      <c r="L309">
        <v>0.16</v>
      </c>
      <c r="M309">
        <v>0.55000000000000004</v>
      </c>
      <c r="N309">
        <v>10.036072000000001</v>
      </c>
      <c r="O309">
        <v>22.167740999999999</v>
      </c>
      <c r="P309">
        <v>3.4766279999999998</v>
      </c>
      <c r="Q309">
        <v>3.87</v>
      </c>
      <c r="R309" t="str">
        <v/>
      </c>
      <c r="S309" t="str">
        <v/>
      </c>
      <c r="T309">
        <v>448</v>
      </c>
      <c r="U309">
        <v>590</v>
      </c>
      <c r="V309">
        <v>0.17</v>
      </c>
      <c r="W309">
        <v>5</v>
      </c>
      <c r="X309" s="5">
        <f t="shared" si="11"/>
        <v>3.8860103626943006</v>
      </c>
      <c r="Y309" s="6">
        <f t="shared" si="12"/>
        <v>366398859</v>
      </c>
    </row>
    <row r="310" spans="2:25" x14ac:dyDescent="0.25">
      <c r="B310" t="str">
        <f>Siam_Chart[[#This Row],[Name]]</f>
        <v>ITC</v>
      </c>
      <c r="C310">
        <f>Siam_Chart[[#This Row],[No.]]</f>
        <v>309</v>
      </c>
      <c r="D310">
        <f>Siam_Chart[[#This Row],[Last]]</f>
        <v>17.7</v>
      </c>
      <c r="E310">
        <f>Siam_Chart[[#This Row],[Chg%]]</f>
        <v>0</v>
      </c>
      <c r="F310">
        <f>Siam_Chart[[#This Row],[Volume]]</f>
        <v>2041575</v>
      </c>
      <c r="G310">
        <f>Siam_Chart[[#This Row],[Value (k)]]</f>
        <v>36150671.899999999</v>
      </c>
      <c r="H310" cm="1">
        <f t="array" ref="H310:W310">Siam_Chart[[#This Row],[MCap (M)]:[CG]]</f>
        <v>53100000000</v>
      </c>
      <c r="I310">
        <v>15.99</v>
      </c>
      <c r="J310">
        <v>2.23</v>
      </c>
      <c r="K310">
        <v>0.181871</v>
      </c>
      <c r="L310">
        <v>0.55000000000000004</v>
      </c>
      <c r="M310">
        <v>0.56999999999999995</v>
      </c>
      <c r="N310">
        <v>12.878888999999999</v>
      </c>
      <c r="O310">
        <v>14.035833</v>
      </c>
      <c r="P310">
        <v>17.160526000000001</v>
      </c>
      <c r="Q310">
        <v>4.8</v>
      </c>
      <c r="R310" t="str">
        <v/>
      </c>
      <c r="S310" t="str">
        <v/>
      </c>
      <c r="T310">
        <v>632</v>
      </c>
      <c r="U310">
        <v>570</v>
      </c>
      <c r="V310">
        <v>-5.45</v>
      </c>
      <c r="W310">
        <v>5</v>
      </c>
      <c r="X310" s="5">
        <f t="shared" si="11"/>
        <v>7.9372197309417034</v>
      </c>
      <c r="Y310" s="6">
        <f t="shared" si="12"/>
        <v>3000000000</v>
      </c>
    </row>
    <row r="311" spans="2:25" x14ac:dyDescent="0.25">
      <c r="B311" t="str">
        <f>Siam_Chart[[#This Row],[Name]]</f>
        <v>ITD</v>
      </c>
      <c r="C311">
        <f>Siam_Chart[[#This Row],[No.]]</f>
        <v>310</v>
      </c>
      <c r="D311">
        <f>Siam_Chart[[#This Row],[Last]]</f>
        <v>0.36</v>
      </c>
      <c r="E311">
        <f>Siam_Chart[[#This Row],[Chg%]]</f>
        <v>-2.7</v>
      </c>
      <c r="F311">
        <f>Siam_Chart[[#This Row],[Volume]]</f>
        <v>13721302</v>
      </c>
      <c r="G311">
        <f>Siam_Chart[[#This Row],[Value (k)]]</f>
        <v>5008144.99</v>
      </c>
      <c r="H311" cm="1">
        <f t="array" ref="H311:W311">Siam_Chart[[#This Row],[MCap (M)]:[CG]]</f>
        <v>1900752819.8399999</v>
      </c>
      <c r="I311">
        <v>1795155440.96</v>
      </c>
      <c r="J311">
        <v>0.66</v>
      </c>
      <c r="K311">
        <v>25.325651000000001</v>
      </c>
      <c r="L311">
        <v>-0.1</v>
      </c>
      <c r="M311">
        <v>-0.1</v>
      </c>
      <c r="N311">
        <v>-6.3987290000000003</v>
      </c>
      <c r="O311">
        <v>-113.815021</v>
      </c>
      <c r="P311">
        <v>-3.25129</v>
      </c>
      <c r="Q311">
        <v>0.62</v>
      </c>
      <c r="R311" t="str">
        <v/>
      </c>
      <c r="S311" t="str">
        <v/>
      </c>
      <c r="T311">
        <v>0</v>
      </c>
      <c r="U311">
        <v>0</v>
      </c>
      <c r="V311">
        <v>0</v>
      </c>
      <c r="W311">
        <v>0</v>
      </c>
      <c r="X311" s="5">
        <f t="shared" si="11"/>
        <v>0.54545454545454541</v>
      </c>
      <c r="Y311" s="6">
        <f t="shared" si="12"/>
        <v>5279868944</v>
      </c>
    </row>
    <row r="312" spans="2:25" x14ac:dyDescent="0.25">
      <c r="B312" t="str">
        <f>Siam_Chart[[#This Row],[Name]]</f>
        <v>ITEL</v>
      </c>
      <c r="C312">
        <f>Siam_Chart[[#This Row],[No.]]</f>
        <v>311</v>
      </c>
      <c r="D312">
        <f>Siam_Chart[[#This Row],[Last]]</f>
        <v>1.52</v>
      </c>
      <c r="E312">
        <f>Siam_Chart[[#This Row],[Chg%]]</f>
        <v>1.33</v>
      </c>
      <c r="F312">
        <f>Siam_Chart[[#This Row],[Volume]]</f>
        <v>4006362</v>
      </c>
      <c r="G312">
        <f>Siam_Chart[[#This Row],[Value (k)]]</f>
        <v>6060504.2400000002</v>
      </c>
      <c r="H312" cm="1">
        <f t="array" ref="H312:W312">Siam_Chart[[#This Row],[MCap (M)]:[CG]]</f>
        <v>3169426279.3600001</v>
      </c>
      <c r="I312">
        <v>3231980745.4000001</v>
      </c>
      <c r="J312">
        <v>0.63</v>
      </c>
      <c r="K312">
        <v>0.91594799999999998</v>
      </c>
      <c r="L312">
        <v>6.9599999999999995E-2</v>
      </c>
      <c r="M312">
        <v>0.03</v>
      </c>
      <c r="N312">
        <v>-8.7610999999999994E-2</v>
      </c>
      <c r="O312">
        <v>-3.392744</v>
      </c>
      <c r="P312">
        <v>4.0048180000000002</v>
      </c>
      <c r="Q312">
        <v>0.64</v>
      </c>
      <c r="R312" t="str">
        <v/>
      </c>
      <c r="S312" t="str">
        <v/>
      </c>
      <c r="T312">
        <v>0</v>
      </c>
      <c r="U312">
        <v>0</v>
      </c>
      <c r="V312">
        <v>0</v>
      </c>
      <c r="W312">
        <v>5</v>
      </c>
      <c r="X312" s="5">
        <f t="shared" si="11"/>
        <v>2.4126984126984126</v>
      </c>
      <c r="Y312" s="6">
        <f t="shared" si="12"/>
        <v>2085148868</v>
      </c>
    </row>
    <row r="313" spans="2:25" x14ac:dyDescent="0.25">
      <c r="B313" t="str">
        <f>Siam_Chart[[#This Row],[Name]]</f>
        <v>ITNS</v>
      </c>
      <c r="C313">
        <f>Siam_Chart[[#This Row],[No.]]</f>
        <v>312</v>
      </c>
      <c r="D313">
        <f>Siam_Chart[[#This Row],[Last]]</f>
        <v>1.78</v>
      </c>
      <c r="E313">
        <f>Siam_Chart[[#This Row],[Chg%]]</f>
        <v>0.56000000000000005</v>
      </c>
      <c r="F313">
        <f>Siam_Chart[[#This Row],[Volume]]</f>
        <v>38900</v>
      </c>
      <c r="G313">
        <f>Siam_Chart[[#This Row],[Value (k)]]</f>
        <v>69093</v>
      </c>
      <c r="H313" cm="1">
        <f t="array" ref="H313:W313">Siam_Chart[[#This Row],[MCap (M)]:[CG]]</f>
        <v>372020000</v>
      </c>
      <c r="I313">
        <v>9.35</v>
      </c>
      <c r="J313">
        <v>0.84</v>
      </c>
      <c r="K313">
        <v>0.45043499999999997</v>
      </c>
      <c r="L313">
        <v>0.16700000000000001</v>
      </c>
      <c r="M313">
        <v>0.06</v>
      </c>
      <c r="N313">
        <v>8.4589739999999995</v>
      </c>
      <c r="O313">
        <v>8.988524</v>
      </c>
      <c r="P313">
        <v>3.640352</v>
      </c>
      <c r="Q313">
        <v>9.3800000000000008</v>
      </c>
      <c r="R313" t="str">
        <v/>
      </c>
      <c r="S313" t="str">
        <v/>
      </c>
      <c r="T313">
        <v>538</v>
      </c>
      <c r="U313">
        <v>469</v>
      </c>
      <c r="V313">
        <v>-3.02</v>
      </c>
      <c r="W313">
        <v>3</v>
      </c>
      <c r="X313" s="5">
        <f t="shared" si="11"/>
        <v>2.1190476190476191</v>
      </c>
      <c r="Y313" s="6">
        <f t="shared" si="12"/>
        <v>209000000</v>
      </c>
    </row>
    <row r="314" spans="2:25" x14ac:dyDescent="0.25">
      <c r="B314" t="str">
        <f>Siam_Chart[[#This Row],[Name]]</f>
        <v>ITTHI</v>
      </c>
      <c r="C314">
        <f>Siam_Chart[[#This Row],[No.]]</f>
        <v>313</v>
      </c>
      <c r="D314">
        <f>Siam_Chart[[#This Row],[Last]]</f>
        <v>1.24</v>
      </c>
      <c r="E314">
        <f>Siam_Chart[[#This Row],[Chg%]]</f>
        <v>0.81</v>
      </c>
      <c r="F314">
        <f>Siam_Chart[[#This Row],[Volume]]</f>
        <v>81400</v>
      </c>
      <c r="G314">
        <f>Siam_Chart[[#This Row],[Value (k)]]</f>
        <v>100326</v>
      </c>
      <c r="H314" cm="1">
        <f t="array" ref="H314:W314">Siam_Chart[[#This Row],[MCap (M)]:[CG]]</f>
        <v>335048000</v>
      </c>
      <c r="I314">
        <v>19.010000000000002</v>
      </c>
      <c r="J314">
        <v>0.94</v>
      </c>
      <c r="K314">
        <v>0.324347</v>
      </c>
      <c r="L314">
        <v>0.1</v>
      </c>
      <c r="M314">
        <v>0.03</v>
      </c>
      <c r="N314">
        <v>5.1903240000000004</v>
      </c>
      <c r="O314">
        <v>4.8826989999999997</v>
      </c>
      <c r="P314">
        <v>2.4777019999999998</v>
      </c>
      <c r="Q314">
        <v>8.06</v>
      </c>
      <c r="R314" t="str">
        <v/>
      </c>
      <c r="S314" t="str">
        <v/>
      </c>
      <c r="T314">
        <v>912</v>
      </c>
      <c r="U314">
        <v>808</v>
      </c>
      <c r="V314">
        <v>1.45</v>
      </c>
      <c r="W314">
        <v>5</v>
      </c>
      <c r="X314" s="5">
        <f t="shared" si="11"/>
        <v>1.3191489361702129</v>
      </c>
      <c r="Y314" s="6">
        <f t="shared" si="12"/>
        <v>270200000</v>
      </c>
    </row>
    <row r="315" spans="2:25" x14ac:dyDescent="0.25">
      <c r="B315" t="str">
        <f>Siam_Chart[[#This Row],[Name]]</f>
        <v>IVF</v>
      </c>
      <c r="C315">
        <f>Siam_Chart[[#This Row],[No.]]</f>
        <v>314</v>
      </c>
      <c r="D315">
        <f>Siam_Chart[[#This Row],[Last]]</f>
        <v>0.76</v>
      </c>
      <c r="E315">
        <f>Siam_Chart[[#This Row],[Chg%]]</f>
        <v>-1.3</v>
      </c>
      <c r="F315">
        <f>Siam_Chart[[#This Row],[Volume]]</f>
        <v>155709</v>
      </c>
      <c r="G315">
        <f>Siam_Chart[[#This Row],[Value (k)]]</f>
        <v>119325.84</v>
      </c>
      <c r="H315" cm="1">
        <f t="array" ref="H315:W315">Siam_Chart[[#This Row],[MCap (M)]:[CG]]</f>
        <v>334400308.56</v>
      </c>
      <c r="I315">
        <v>338800312.62</v>
      </c>
      <c r="J315">
        <v>0.65</v>
      </c>
      <c r="K315">
        <v>0.138659</v>
      </c>
      <c r="L315">
        <v>2.4E-2</v>
      </c>
      <c r="M315">
        <v>-0.04</v>
      </c>
      <c r="N315">
        <v>-4.491994</v>
      </c>
      <c r="O315">
        <v>-4.4071280000000002</v>
      </c>
      <c r="P315">
        <v>-51.515053000000002</v>
      </c>
      <c r="Q315">
        <v>0.66</v>
      </c>
      <c r="R315" t="str">
        <v/>
      </c>
      <c r="S315" t="str">
        <v/>
      </c>
      <c r="T315">
        <v>0</v>
      </c>
      <c r="U315">
        <v>0</v>
      </c>
      <c r="V315">
        <v>0</v>
      </c>
      <c r="W315">
        <v>3</v>
      </c>
      <c r="X315" s="5">
        <f t="shared" si="11"/>
        <v>1.1692307692307693</v>
      </c>
      <c r="Y315" s="6">
        <f t="shared" si="12"/>
        <v>440000406</v>
      </c>
    </row>
    <row r="316" spans="2:25" x14ac:dyDescent="0.25">
      <c r="B316" t="str">
        <f>Siam_Chart[[#This Row],[Name]]</f>
        <v>IVL</v>
      </c>
      <c r="C316">
        <f>Siam_Chart[[#This Row],[No.]]</f>
        <v>315</v>
      </c>
      <c r="D316">
        <f>Siam_Chart[[#This Row],[Last]]</f>
        <v>22.5</v>
      </c>
      <c r="E316">
        <f>Siam_Chart[[#This Row],[Chg%]]</f>
        <v>1.35</v>
      </c>
      <c r="F316">
        <f>Siam_Chart[[#This Row],[Volume]]</f>
        <v>45480995</v>
      </c>
      <c r="G316">
        <f>Siam_Chart[[#This Row],[Value (k)]]</f>
        <v>1016769190.9</v>
      </c>
      <c r="H316" cm="1">
        <f t="array" ref="H316:W316">Siam_Chart[[#This Row],[MCap (M)]:[CG]]</f>
        <v>126327417930</v>
      </c>
      <c r="I316">
        <v>123520141976</v>
      </c>
      <c r="J316">
        <v>0.95</v>
      </c>
      <c r="K316">
        <v>2.9092229999999999</v>
      </c>
      <c r="L316">
        <v>0.2</v>
      </c>
      <c r="M316">
        <v>0.48</v>
      </c>
      <c r="N316">
        <v>2.5129999999999999</v>
      </c>
      <c r="O316">
        <v>-1.7955650000000001</v>
      </c>
      <c r="P316">
        <v>1.6645989999999999</v>
      </c>
      <c r="Q316">
        <v>3.11</v>
      </c>
      <c r="R316" t="str">
        <v/>
      </c>
      <c r="S316" t="str">
        <v/>
      </c>
      <c r="T316">
        <v>0</v>
      </c>
      <c r="U316">
        <v>0</v>
      </c>
      <c r="V316">
        <v>0</v>
      </c>
      <c r="W316">
        <v>5</v>
      </c>
      <c r="X316" s="5">
        <f t="shared" si="11"/>
        <v>23.684210526315791</v>
      </c>
      <c r="Y316" s="6">
        <f t="shared" si="12"/>
        <v>5614551908</v>
      </c>
    </row>
    <row r="317" spans="2:25" x14ac:dyDescent="0.25">
      <c r="B317" t="str">
        <f>Siam_Chart[[#This Row],[Name]]</f>
        <v>J</v>
      </c>
      <c r="C317">
        <f>Siam_Chart[[#This Row],[No.]]</f>
        <v>316</v>
      </c>
      <c r="D317">
        <f>Siam_Chart[[#This Row],[Last]]</f>
        <v>0.86</v>
      </c>
      <c r="E317">
        <f>Siam_Chart[[#This Row],[Chg%]]</f>
        <v>-1.1499999999999999</v>
      </c>
      <c r="F317">
        <f>Siam_Chart[[#This Row],[Volume]]</f>
        <v>758101</v>
      </c>
      <c r="G317">
        <f>Siam_Chart[[#This Row],[Value (k)]]</f>
        <v>660969.87</v>
      </c>
      <c r="H317" cm="1">
        <f t="array" ref="H317:W317">Siam_Chart[[#This Row],[MCap (M)]:[CG]]</f>
        <v>1256228899.0799999</v>
      </c>
      <c r="I317">
        <v>1329265462.98</v>
      </c>
      <c r="J317">
        <v>0.44</v>
      </c>
      <c r="K317">
        <v>1.120722</v>
      </c>
      <c r="L317">
        <v>0.03</v>
      </c>
      <c r="M317">
        <v>-0.08</v>
      </c>
      <c r="N317">
        <v>-8.9364880000000007</v>
      </c>
      <c r="O317">
        <v>-23.614287000000001</v>
      </c>
      <c r="P317">
        <v>-31.962738000000002</v>
      </c>
      <c r="Q317">
        <v>0.46</v>
      </c>
      <c r="R317" t="str">
        <v/>
      </c>
      <c r="S317" t="str">
        <v/>
      </c>
      <c r="T317">
        <v>0</v>
      </c>
      <c r="U317">
        <v>0</v>
      </c>
      <c r="V317">
        <v>0</v>
      </c>
      <c r="W317">
        <v>5</v>
      </c>
      <c r="X317" s="5">
        <f t="shared" si="11"/>
        <v>1.9545454545454546</v>
      </c>
      <c r="Y317" s="6">
        <f t="shared" si="12"/>
        <v>1460731278</v>
      </c>
    </row>
    <row r="318" spans="2:25" x14ac:dyDescent="0.25">
      <c r="B318" t="str">
        <f>Siam_Chart[[#This Row],[Name]]</f>
        <v>JAK</v>
      </c>
      <c r="C318">
        <f>Siam_Chart[[#This Row],[No.]]</f>
        <v>317</v>
      </c>
      <c r="D318">
        <f>Siam_Chart[[#This Row],[Last]]</f>
        <v>1.23</v>
      </c>
      <c r="E318">
        <f>Siam_Chart[[#This Row],[Chg%]]</f>
        <v>0.82</v>
      </c>
      <c r="F318">
        <f>Siam_Chart[[#This Row],[Volume]]</f>
        <v>29100</v>
      </c>
      <c r="G318">
        <f>Siam_Chart[[#This Row],[Value (k)]]</f>
        <v>35152</v>
      </c>
      <c r="H318" cm="1">
        <f t="array" ref="H318:W318">Siam_Chart[[#This Row],[MCap (M)]:[CG]]</f>
        <v>393600000</v>
      </c>
      <c r="I318">
        <v>5.72</v>
      </c>
      <c r="J318">
        <v>0.74</v>
      </c>
      <c r="K318">
        <v>0.52734000000000003</v>
      </c>
      <c r="L318">
        <v>5.5E-2</v>
      </c>
      <c r="M318">
        <v>0.12</v>
      </c>
      <c r="N318">
        <v>12.282866</v>
      </c>
      <c r="O318">
        <v>13.517371000000001</v>
      </c>
      <c r="P318">
        <v>16.026423000000001</v>
      </c>
      <c r="Q318">
        <v>4.47</v>
      </c>
      <c r="R318" t="str">
        <v/>
      </c>
      <c r="S318" t="str">
        <v/>
      </c>
      <c r="T318">
        <v>355</v>
      </c>
      <c r="U318">
        <v>267</v>
      </c>
      <c r="V318">
        <v>0.03</v>
      </c>
      <c r="W318">
        <v>0</v>
      </c>
      <c r="X318" s="5">
        <f t="shared" si="11"/>
        <v>1.6621621621621621</v>
      </c>
      <c r="Y318" s="6">
        <f t="shared" si="12"/>
        <v>320000000</v>
      </c>
    </row>
    <row r="319" spans="2:25" x14ac:dyDescent="0.25">
      <c r="B319" t="str">
        <f>Siam_Chart[[#This Row],[Name]]</f>
        <v>JAS</v>
      </c>
      <c r="C319">
        <f>Siam_Chart[[#This Row],[No.]]</f>
        <v>318</v>
      </c>
      <c r="D319">
        <f>Siam_Chart[[#This Row],[Last]]</f>
        <v>0.93</v>
      </c>
      <c r="E319">
        <f>Siam_Chart[[#This Row],[Chg%]]</f>
        <v>-5.0999999999999996</v>
      </c>
      <c r="F319">
        <f>Siam_Chart[[#This Row],[Volume]]</f>
        <v>58351621</v>
      </c>
      <c r="G319">
        <f>Siam_Chart[[#This Row],[Value (k)]]</f>
        <v>55369586.359999999</v>
      </c>
      <c r="H319" cm="1">
        <f t="array" ref="H319:W319">Siam_Chart[[#This Row],[MCap (M)]:[CG]]</f>
        <v>7711629475.6499996</v>
      </c>
      <c r="I319">
        <v>8374995452.0500002</v>
      </c>
      <c r="J319">
        <v>1.49</v>
      </c>
      <c r="K319">
        <v>1.226418</v>
      </c>
      <c r="L319">
        <v>0.6</v>
      </c>
      <c r="M319">
        <v>-0.18</v>
      </c>
      <c r="N319">
        <v>-10.335262</v>
      </c>
      <c r="O319">
        <v>-28.976521999999999</v>
      </c>
      <c r="P319">
        <v>-53.023173</v>
      </c>
      <c r="Q319">
        <v>1.62</v>
      </c>
      <c r="R319" t="str">
        <v/>
      </c>
      <c r="S319" t="str">
        <v/>
      </c>
      <c r="T319">
        <v>0</v>
      </c>
      <c r="U319">
        <v>0</v>
      </c>
      <c r="V319">
        <v>0</v>
      </c>
      <c r="W319">
        <v>5</v>
      </c>
      <c r="X319" s="5">
        <f t="shared" si="11"/>
        <v>0.62416107382550334</v>
      </c>
      <c r="Y319" s="6">
        <f t="shared" si="12"/>
        <v>8292074704.999999</v>
      </c>
    </row>
    <row r="320" spans="2:25" x14ac:dyDescent="0.25">
      <c r="B320" t="str">
        <f>Siam_Chart[[#This Row],[Name]]</f>
        <v>JCK</v>
      </c>
      <c r="C320">
        <f>Siam_Chart[[#This Row],[No.]]</f>
        <v>319</v>
      </c>
      <c r="D320">
        <f>Siam_Chart[[#This Row],[Last]]</f>
        <v>0.12</v>
      </c>
      <c r="E320">
        <f>Siam_Chart[[#This Row],[Chg%]]</f>
        <v>0</v>
      </c>
      <c r="F320">
        <f>Siam_Chart[[#This Row],[Volume]]</f>
        <v>316859</v>
      </c>
      <c r="G320">
        <f>Siam_Chart[[#This Row],[Value (k)]]</f>
        <v>37021.629999999997</v>
      </c>
      <c r="H320" cm="1">
        <f t="array" ref="H320:W320">Siam_Chart[[#This Row],[MCap (M)]:[CG]]</f>
        <v>456329682.12</v>
      </c>
      <c r="I320">
        <v>456329682.12</v>
      </c>
      <c r="J320">
        <v>0.18</v>
      </c>
      <c r="K320">
        <v>2.8318469999999998</v>
      </c>
      <c r="L320">
        <v>-0.05</v>
      </c>
      <c r="M320">
        <v>-0.05</v>
      </c>
      <c r="N320">
        <v>1.2489779999999999</v>
      </c>
      <c r="O320">
        <v>-11.061833</v>
      </c>
      <c r="P320">
        <v>-46.338107000000001</v>
      </c>
      <c r="Q320">
        <v>0.18</v>
      </c>
      <c r="R320" t="str">
        <v/>
      </c>
      <c r="S320" t="str">
        <v/>
      </c>
      <c r="T320">
        <v>0</v>
      </c>
      <c r="U320">
        <v>0</v>
      </c>
      <c r="V320">
        <v>0</v>
      </c>
      <c r="W320">
        <v>3</v>
      </c>
      <c r="X320" s="5">
        <f t="shared" si="11"/>
        <v>0.66666666666666663</v>
      </c>
      <c r="Y320" s="6">
        <f t="shared" si="12"/>
        <v>3802747351</v>
      </c>
    </row>
    <row r="321" spans="2:25" x14ac:dyDescent="0.25">
      <c r="B321" t="str">
        <f>Siam_Chart[[#This Row],[Name]]</f>
        <v>JCT</v>
      </c>
      <c r="C321">
        <f>Siam_Chart[[#This Row],[No.]]</f>
        <v>320</v>
      </c>
      <c r="D321">
        <f>Siam_Chart[[#This Row],[Last]]</f>
        <v>84.5</v>
      </c>
      <c r="E321">
        <f>Siam_Chart[[#This Row],[Chg%]]</f>
        <v>0.9</v>
      </c>
      <c r="F321">
        <f>Siam_Chart[[#This Row],[Volume]]</f>
        <v>1</v>
      </c>
      <c r="G321">
        <f>Siam_Chart[[#This Row],[Value (k)]]</f>
        <v>83.75</v>
      </c>
      <c r="H321" cm="1">
        <f t="array" ref="H321:W321">Siam_Chart[[#This Row],[MCap (M)]:[CG]]</f>
        <v>1130625000</v>
      </c>
      <c r="I321">
        <v>9.0299999999999994</v>
      </c>
      <c r="J321">
        <v>0.78</v>
      </c>
      <c r="K321">
        <v>0.14027800000000001</v>
      </c>
      <c r="L321">
        <v>4.8</v>
      </c>
      <c r="M321">
        <v>5.54</v>
      </c>
      <c r="N321">
        <v>9.1988210000000006</v>
      </c>
      <c r="O321">
        <v>8.8067630000000001</v>
      </c>
      <c r="P321">
        <v>16.127452999999999</v>
      </c>
      <c r="Q321">
        <v>5.73</v>
      </c>
      <c r="R321" t="str">
        <v/>
      </c>
      <c r="S321" t="str">
        <v/>
      </c>
      <c r="T321">
        <v>518</v>
      </c>
      <c r="U321">
        <v>392</v>
      </c>
      <c r="V321">
        <v>0.56999999999999995</v>
      </c>
      <c r="W321">
        <v>0</v>
      </c>
      <c r="X321" s="5">
        <f t="shared" si="11"/>
        <v>108.33333333333333</v>
      </c>
      <c r="Y321" s="6">
        <f t="shared" si="12"/>
        <v>13380177.514792899</v>
      </c>
    </row>
    <row r="322" spans="2:25" x14ac:dyDescent="0.25">
      <c r="B322" t="str">
        <f>Siam_Chart[[#This Row],[Name]]</f>
        <v>JDF</v>
      </c>
      <c r="C322">
        <f>Siam_Chart[[#This Row],[No.]]</f>
        <v>321</v>
      </c>
      <c r="D322">
        <f>Siam_Chart[[#This Row],[Last]]</f>
        <v>2.02</v>
      </c>
      <c r="E322">
        <f>Siam_Chart[[#This Row],[Chg%]]</f>
        <v>0</v>
      </c>
      <c r="F322">
        <f>Siam_Chart[[#This Row],[Volume]]</f>
        <v>85101</v>
      </c>
      <c r="G322">
        <f>Siam_Chart[[#This Row],[Value (k)]]</f>
        <v>170312.02</v>
      </c>
      <c r="H322" cm="1">
        <f t="array" ref="H322:W322">Siam_Chart[[#This Row],[MCap (M)]:[CG]]</f>
        <v>1212000000</v>
      </c>
      <c r="I322">
        <v>10.54</v>
      </c>
      <c r="J322">
        <v>1.65</v>
      </c>
      <c r="K322">
        <v>0.18603</v>
      </c>
      <c r="L322">
        <v>0.18</v>
      </c>
      <c r="M322">
        <v>0.09</v>
      </c>
      <c r="N322">
        <v>15.461905</v>
      </c>
      <c r="O322">
        <v>15.673944000000001</v>
      </c>
      <c r="P322">
        <v>13.649222</v>
      </c>
      <c r="Q322">
        <v>8.91</v>
      </c>
      <c r="R322" t="str">
        <v/>
      </c>
      <c r="S322" t="str">
        <v/>
      </c>
      <c r="T322">
        <v>526</v>
      </c>
      <c r="U322">
        <v>464</v>
      </c>
      <c r="V322">
        <v>0.18</v>
      </c>
      <c r="W322">
        <v>4</v>
      </c>
      <c r="X322" s="5">
        <f t="shared" si="11"/>
        <v>1.2242424242424244</v>
      </c>
      <c r="Y322" s="6">
        <f t="shared" si="12"/>
        <v>600000000</v>
      </c>
    </row>
    <row r="323" spans="2:25" x14ac:dyDescent="0.25">
      <c r="B323" t="str">
        <f>Siam_Chart[[#This Row],[Name]]</f>
        <v>JMART</v>
      </c>
      <c r="C323">
        <f>Siam_Chart[[#This Row],[No.]]</f>
        <v>322</v>
      </c>
      <c r="D323">
        <f>Siam_Chart[[#This Row],[Last]]</f>
        <v>11.2</v>
      </c>
      <c r="E323">
        <f>Siam_Chart[[#This Row],[Chg%]]</f>
        <v>-0.88</v>
      </c>
      <c r="F323">
        <f>Siam_Chart[[#This Row],[Volume]]</f>
        <v>3628659</v>
      </c>
      <c r="G323">
        <f>Siam_Chart[[#This Row],[Value (k)]]</f>
        <v>40726203.399999999</v>
      </c>
      <c r="H323" cm="1">
        <f t="array" ref="H323:W323">Siam_Chart[[#This Row],[MCap (M)]:[CG]]</f>
        <v>16483170368</v>
      </c>
      <c r="I323">
        <v>16483170368</v>
      </c>
      <c r="J323">
        <v>0.9</v>
      </c>
      <c r="K323">
        <v>0.71380999999999994</v>
      </c>
      <c r="L323">
        <v>0.13500000000000001</v>
      </c>
      <c r="M323">
        <v>0.26</v>
      </c>
      <c r="N323">
        <v>2.7727520000000001</v>
      </c>
      <c r="O323">
        <v>-0.20075799999999999</v>
      </c>
      <c r="P323">
        <v>7.3276130000000004</v>
      </c>
      <c r="Q323">
        <v>3.21</v>
      </c>
      <c r="R323" t="str">
        <v/>
      </c>
      <c r="S323" t="str">
        <v/>
      </c>
      <c r="T323">
        <v>0</v>
      </c>
      <c r="U323">
        <v>0</v>
      </c>
      <c r="V323">
        <v>0</v>
      </c>
      <c r="W323">
        <v>5</v>
      </c>
      <c r="X323" s="5">
        <f t="shared" si="11"/>
        <v>12.444444444444443</v>
      </c>
      <c r="Y323" s="6">
        <f t="shared" si="12"/>
        <v>1471711640</v>
      </c>
    </row>
    <row r="324" spans="2:25" x14ac:dyDescent="0.25">
      <c r="B324" t="str">
        <f>Siam_Chart[[#This Row],[Name]]</f>
        <v>JMT</v>
      </c>
      <c r="C324">
        <f>Siam_Chart[[#This Row],[No.]]</f>
        <v>323</v>
      </c>
      <c r="D324">
        <f>Siam_Chart[[#This Row],[Last]]</f>
        <v>11.2</v>
      </c>
      <c r="E324">
        <f>Siam_Chart[[#This Row],[Chg%]]</f>
        <v>-1.75</v>
      </c>
      <c r="F324">
        <f>Siam_Chart[[#This Row],[Volume]]</f>
        <v>3325789</v>
      </c>
      <c r="G324">
        <f>Siam_Chart[[#This Row],[Value (k)]]</f>
        <v>37530115.799999997</v>
      </c>
      <c r="H324" cm="1">
        <f t="array" ref="H324:W324">Siam_Chart[[#This Row],[MCap (M)]:[CG]]</f>
        <v>16349083307.200001</v>
      </c>
      <c r="I324">
        <v>17.41</v>
      </c>
      <c r="J324">
        <v>0.61</v>
      </c>
      <c r="K324">
        <v>0.33337800000000001</v>
      </c>
      <c r="L324">
        <v>0.27</v>
      </c>
      <c r="M324">
        <v>0.33</v>
      </c>
      <c r="N324">
        <v>4.0843970000000001</v>
      </c>
      <c r="O324">
        <v>3.4766219999999999</v>
      </c>
      <c r="P324">
        <v>21.622626</v>
      </c>
      <c r="Q324">
        <v>5.98</v>
      </c>
      <c r="R324" t="str">
        <v/>
      </c>
      <c r="S324" t="str">
        <v/>
      </c>
      <c r="T324">
        <v>1089</v>
      </c>
      <c r="U324">
        <v>1121</v>
      </c>
      <c r="V324">
        <v>-4.54</v>
      </c>
      <c r="W324">
        <v>5</v>
      </c>
      <c r="X324" s="5">
        <f t="shared" ref="X324:X387" si="13">IFERROR(D324/J324,0)</f>
        <v>18.360655737704917</v>
      </c>
      <c r="Y324" s="6">
        <f t="shared" ref="Y324:Y387" si="14">IFERROR(H324/D324,0)</f>
        <v>1459739581.0000002</v>
      </c>
    </row>
    <row r="325" spans="2:25" x14ac:dyDescent="0.25">
      <c r="B325" t="str">
        <f>Siam_Chart[[#This Row],[Name]]</f>
        <v>JPARK</v>
      </c>
      <c r="C325">
        <f>Siam_Chart[[#This Row],[No.]]</f>
        <v>324</v>
      </c>
      <c r="D325">
        <f>Siam_Chart[[#This Row],[Last]]</f>
        <v>3.38</v>
      </c>
      <c r="E325">
        <f>Siam_Chart[[#This Row],[Chg%]]</f>
        <v>0</v>
      </c>
      <c r="F325">
        <f>Siam_Chart[[#This Row],[Volume]]</f>
        <v>141200</v>
      </c>
      <c r="G325">
        <f>Siam_Chart[[#This Row],[Value (k)]]</f>
        <v>477442</v>
      </c>
      <c r="H325" cm="1">
        <f t="array" ref="H325:W325">Siam_Chart[[#This Row],[MCap (M)]:[CG]]</f>
        <v>1352000000</v>
      </c>
      <c r="I325">
        <v>15.02</v>
      </c>
      <c r="J325">
        <v>1.66</v>
      </c>
      <c r="K325">
        <v>0.618116</v>
      </c>
      <c r="L325">
        <v>0.1</v>
      </c>
      <c r="M325">
        <v>0.12</v>
      </c>
      <c r="N325">
        <v>9.5851480000000002</v>
      </c>
      <c r="O325">
        <v>11.397024</v>
      </c>
      <c r="P325">
        <v>14.029047</v>
      </c>
      <c r="Q325">
        <v>2.96</v>
      </c>
      <c r="R325" t="str">
        <v/>
      </c>
      <c r="S325" t="str">
        <v/>
      </c>
      <c r="T325">
        <v>686</v>
      </c>
      <c r="U325">
        <v>639</v>
      </c>
      <c r="V325">
        <v>0.27</v>
      </c>
      <c r="W325">
        <v>4</v>
      </c>
      <c r="X325" s="5">
        <f t="shared" si="13"/>
        <v>2.036144578313253</v>
      </c>
      <c r="Y325" s="6">
        <f t="shared" si="14"/>
        <v>400000000</v>
      </c>
    </row>
    <row r="326" spans="2:25" x14ac:dyDescent="0.25">
      <c r="B326" t="str">
        <f>Siam_Chart[[#This Row],[Name]]</f>
        <v>JR</v>
      </c>
      <c r="C326">
        <f>Siam_Chart[[#This Row],[No.]]</f>
        <v>325</v>
      </c>
      <c r="D326">
        <f>Siam_Chart[[#This Row],[Last]]</f>
        <v>1.83</v>
      </c>
      <c r="E326">
        <f>Siam_Chart[[#This Row],[Chg%]]</f>
        <v>0</v>
      </c>
      <c r="F326">
        <f>Siam_Chart[[#This Row],[Volume]]</f>
        <v>20310</v>
      </c>
      <c r="G326">
        <f>Siam_Chart[[#This Row],[Value (k)]]</f>
        <v>37006.5</v>
      </c>
      <c r="H326" cm="1">
        <f t="array" ref="H326:W326">Siam_Chart[[#This Row],[MCap (M)]:[CG]]</f>
        <v>1390800000</v>
      </c>
      <c r="I326">
        <v>31.7</v>
      </c>
      <c r="J326">
        <v>0.82</v>
      </c>
      <c r="K326">
        <v>0.99830600000000003</v>
      </c>
      <c r="L326">
        <v>5.5E-2</v>
      </c>
      <c r="M326">
        <v>-0.05</v>
      </c>
      <c r="N326">
        <v>2.0516920000000001</v>
      </c>
      <c r="O326">
        <v>2.597985</v>
      </c>
      <c r="P326">
        <v>-6.3606179999999997</v>
      </c>
      <c r="Q326">
        <v>3.01</v>
      </c>
      <c r="R326" t="str">
        <v/>
      </c>
      <c r="S326" t="str">
        <v/>
      </c>
      <c r="T326">
        <v>929</v>
      </c>
      <c r="U326">
        <v>966</v>
      </c>
      <c r="V326">
        <v>-1.79</v>
      </c>
      <c r="W326">
        <v>0</v>
      </c>
      <c r="X326" s="5">
        <f t="shared" si="13"/>
        <v>2.2317073170731709</v>
      </c>
      <c r="Y326" s="6">
        <f t="shared" si="14"/>
        <v>760000000</v>
      </c>
    </row>
    <row r="327" spans="2:25" x14ac:dyDescent="0.25">
      <c r="B327" t="str">
        <f>Siam_Chart[[#This Row],[Name]]</f>
        <v>JSP</v>
      </c>
      <c r="C327">
        <f>Siam_Chart[[#This Row],[No.]]</f>
        <v>326</v>
      </c>
      <c r="D327">
        <f>Siam_Chart[[#This Row],[Last]]</f>
        <v>1.74</v>
      </c>
      <c r="E327">
        <f>Siam_Chart[[#This Row],[Chg%]]</f>
        <v>1.1599999999999999</v>
      </c>
      <c r="F327">
        <f>Siam_Chart[[#This Row],[Volume]]</f>
        <v>105700</v>
      </c>
      <c r="G327">
        <f>Siam_Chart[[#This Row],[Value (k)]]</f>
        <v>184549</v>
      </c>
      <c r="H327" cm="1">
        <f t="array" ref="H327:W327">Siam_Chart[[#This Row],[MCap (M)]:[CG]]</f>
        <v>825760385.15999997</v>
      </c>
      <c r="I327">
        <v>19.239999999999998</v>
      </c>
      <c r="J327">
        <v>0.92</v>
      </c>
      <c r="K327">
        <v>0.57247099999999995</v>
      </c>
      <c r="L327">
        <v>2.12E-2</v>
      </c>
      <c r="M327">
        <v>0.02</v>
      </c>
      <c r="N327">
        <v>6.3470209999999998</v>
      </c>
      <c r="O327">
        <v>4.8022580000000001</v>
      </c>
      <c r="P327">
        <v>2.4345669999999999</v>
      </c>
      <c r="Q327">
        <v>5.75</v>
      </c>
      <c r="R327" t="str">
        <v/>
      </c>
      <c r="S327" t="str">
        <v/>
      </c>
      <c r="T327">
        <v>835</v>
      </c>
      <c r="U327">
        <v>680</v>
      </c>
      <c r="V327">
        <v>0.08</v>
      </c>
      <c r="W327">
        <v>4</v>
      </c>
      <c r="X327" s="5">
        <f t="shared" si="13"/>
        <v>1.8913043478260869</v>
      </c>
      <c r="Y327" s="6">
        <f t="shared" si="14"/>
        <v>474574934</v>
      </c>
    </row>
    <row r="328" spans="2:25" x14ac:dyDescent="0.25">
      <c r="B328" t="str">
        <f>Siam_Chart[[#This Row],[Name]]</f>
        <v>JTS</v>
      </c>
      <c r="C328">
        <f>Siam_Chart[[#This Row],[No.]]</f>
        <v>327</v>
      </c>
      <c r="D328">
        <f>Siam_Chart[[#This Row],[Last]]</f>
        <v>29</v>
      </c>
      <c r="E328">
        <f>Siam_Chart[[#This Row],[Chg%]]</f>
        <v>0</v>
      </c>
      <c r="F328">
        <f>Siam_Chart[[#This Row],[Volume]]</f>
        <v>452933</v>
      </c>
      <c r="G328">
        <f>Siam_Chart[[#This Row],[Value (k)]]</f>
        <v>13218687.75</v>
      </c>
      <c r="H328" cm="1">
        <f t="array" ref="H328:W328">Siam_Chart[[#This Row],[MCap (M)]:[CG]]</f>
        <v>20263201900</v>
      </c>
      <c r="I328">
        <v>20088519125</v>
      </c>
      <c r="J328">
        <v>25.18</v>
      </c>
      <c r="K328">
        <v>2.3691759999999999</v>
      </c>
      <c r="L328">
        <v>-0.09</v>
      </c>
      <c r="M328">
        <v>-0.09</v>
      </c>
      <c r="N328">
        <v>-0.98943300000000001</v>
      </c>
      <c r="O328">
        <v>-16.728382</v>
      </c>
      <c r="P328">
        <v>-5.9182389999999998</v>
      </c>
      <c r="Q328">
        <v>24.96</v>
      </c>
      <c r="R328" t="str">
        <v/>
      </c>
      <c r="S328" t="str">
        <v/>
      </c>
      <c r="T328">
        <v>0</v>
      </c>
      <c r="U328">
        <v>0</v>
      </c>
      <c r="V328">
        <v>0</v>
      </c>
      <c r="W328">
        <v>5</v>
      </c>
      <c r="X328" s="5">
        <f t="shared" si="13"/>
        <v>1.1517077045274027</v>
      </c>
      <c r="Y328" s="6">
        <f t="shared" si="14"/>
        <v>698731100</v>
      </c>
    </row>
    <row r="329" spans="2:25" x14ac:dyDescent="0.25">
      <c r="B329" t="str">
        <f>Siam_Chart[[#This Row],[Name]]</f>
        <v>JUBILE</v>
      </c>
      <c r="C329">
        <f>Siam_Chart[[#This Row],[No.]]</f>
        <v>328</v>
      </c>
      <c r="D329">
        <f>Siam_Chart[[#This Row],[Last]]</f>
        <v>7.8</v>
      </c>
      <c r="E329">
        <f>Siam_Chart[[#This Row],[Chg%]]</f>
        <v>-1.27</v>
      </c>
      <c r="F329">
        <f>Siam_Chart[[#This Row],[Volume]]</f>
        <v>18619</v>
      </c>
      <c r="G329">
        <f>Siam_Chart[[#This Row],[Value (k)]]</f>
        <v>145198.20000000001</v>
      </c>
      <c r="H329" cm="1">
        <f t="array" ref="H329:W329">Siam_Chart[[#This Row],[MCap (M)]:[CG]]</f>
        <v>1359330375</v>
      </c>
      <c r="I329">
        <v>11.8</v>
      </c>
      <c r="J329">
        <v>0.77</v>
      </c>
      <c r="K329">
        <v>0.26236900000000002</v>
      </c>
      <c r="L329">
        <v>0.13</v>
      </c>
      <c r="M329">
        <v>0.32</v>
      </c>
      <c r="N329">
        <v>6.8488340000000001</v>
      </c>
      <c r="O329">
        <v>6.6551090000000004</v>
      </c>
      <c r="P329">
        <v>9.4696820000000006</v>
      </c>
      <c r="Q329">
        <v>3.08</v>
      </c>
      <c r="R329" t="str">
        <v/>
      </c>
      <c r="S329" t="str">
        <v/>
      </c>
      <c r="T329">
        <v>760</v>
      </c>
      <c r="U329">
        <v>641</v>
      </c>
      <c r="V329">
        <v>-0.9</v>
      </c>
      <c r="W329">
        <v>4</v>
      </c>
      <c r="X329" s="5">
        <f t="shared" si="13"/>
        <v>10.129870129870129</v>
      </c>
      <c r="Y329" s="6">
        <f t="shared" si="14"/>
        <v>174273125</v>
      </c>
    </row>
    <row r="330" spans="2:25" x14ac:dyDescent="0.25">
      <c r="B330" t="str">
        <f>Siam_Chart[[#This Row],[Name]]</f>
        <v>K</v>
      </c>
      <c r="C330">
        <f>Siam_Chart[[#This Row],[No.]]</f>
        <v>329</v>
      </c>
      <c r="D330">
        <f>Siam_Chart[[#This Row],[Last]]</f>
        <v>0.97</v>
      </c>
      <c r="E330">
        <f>Siam_Chart[[#This Row],[Chg%]]</f>
        <v>0</v>
      </c>
      <c r="F330">
        <f>Siam_Chart[[#This Row],[Volume]]</f>
        <v>25378</v>
      </c>
      <c r="G330">
        <f>Siam_Chart[[#This Row],[Value (k)]]</f>
        <v>23992.54</v>
      </c>
      <c r="H330" cm="1">
        <f t="array" ref="H330:W330">Siam_Chart[[#This Row],[MCap (M)]:[CG]]</f>
        <v>490052211.05000001</v>
      </c>
      <c r="I330">
        <v>22.76</v>
      </c>
      <c r="J330">
        <v>1.54</v>
      </c>
      <c r="K330">
        <v>0.90992499999999998</v>
      </c>
      <c r="L330">
        <v>0.03</v>
      </c>
      <c r="M330">
        <v>-0.03</v>
      </c>
      <c r="N330">
        <v>7.2759819999999999</v>
      </c>
      <c r="O330">
        <v>6.6608070000000001</v>
      </c>
      <c r="P330">
        <v>-4.1793009999999997</v>
      </c>
      <c r="Q330">
        <v>5.67</v>
      </c>
      <c r="R330" t="str">
        <v/>
      </c>
      <c r="S330" t="str">
        <v/>
      </c>
      <c r="T330">
        <v>0</v>
      </c>
      <c r="U330">
        <v>0</v>
      </c>
      <c r="V330">
        <v>0</v>
      </c>
      <c r="W330">
        <v>4</v>
      </c>
      <c r="X330" s="5">
        <f t="shared" si="13"/>
        <v>0.6298701298701298</v>
      </c>
      <c r="Y330" s="6">
        <f t="shared" si="14"/>
        <v>505208465</v>
      </c>
    </row>
    <row r="331" spans="2:25" x14ac:dyDescent="0.25">
      <c r="B331" t="str">
        <f>Siam_Chart[[#This Row],[Name]]</f>
        <v>KAMART</v>
      </c>
      <c r="C331">
        <f>Siam_Chart[[#This Row],[No.]]</f>
        <v>330</v>
      </c>
      <c r="D331">
        <f>Siam_Chart[[#This Row],[Last]]</f>
        <v>6.95</v>
      </c>
      <c r="E331">
        <f>Siam_Chart[[#This Row],[Chg%]]</f>
        <v>1.46</v>
      </c>
      <c r="F331">
        <f>Siam_Chart[[#This Row],[Volume]]</f>
        <v>632564</v>
      </c>
      <c r="G331">
        <f>Siam_Chart[[#This Row],[Value (k)]]</f>
        <v>4376951.7</v>
      </c>
      <c r="H331" cm="1">
        <f t="array" ref="H331:W331">Siam_Chart[[#This Row],[MCap (M)]:[CG]]</f>
        <v>8919147482.3500004</v>
      </c>
      <c r="I331">
        <v>13.55</v>
      </c>
      <c r="J331">
        <v>2.54</v>
      </c>
      <c r="K331">
        <v>0.41918499999999997</v>
      </c>
      <c r="L331">
        <v>0.11</v>
      </c>
      <c r="M331">
        <v>0.23</v>
      </c>
      <c r="N331">
        <v>16.426217999999999</v>
      </c>
      <c r="O331">
        <v>18.809974</v>
      </c>
      <c r="P331">
        <v>16.639424999999999</v>
      </c>
      <c r="Q331">
        <v>6.35</v>
      </c>
      <c r="R331" t="str">
        <v/>
      </c>
      <c r="S331" t="str">
        <v/>
      </c>
      <c r="T331">
        <v>514</v>
      </c>
      <c r="U331">
        <v>466</v>
      </c>
      <c r="V331">
        <v>0.45</v>
      </c>
      <c r="W331">
        <v>0</v>
      </c>
      <c r="X331" s="5">
        <f t="shared" si="13"/>
        <v>2.7362204724409449</v>
      </c>
      <c r="Y331" s="6">
        <f t="shared" si="14"/>
        <v>1283330573</v>
      </c>
    </row>
    <row r="332" spans="2:25" x14ac:dyDescent="0.25">
      <c r="B332" t="str">
        <f>Siam_Chart[[#This Row],[Name]]</f>
        <v>KASET</v>
      </c>
      <c r="C332">
        <f>Siam_Chart[[#This Row],[No.]]</f>
        <v>331</v>
      </c>
      <c r="D332">
        <f>Siam_Chart[[#This Row],[Last]]</f>
        <v>0.64</v>
      </c>
      <c r="E332">
        <f>Siam_Chart[[#This Row],[Chg%]]</f>
        <v>0</v>
      </c>
      <c r="F332">
        <f>Siam_Chart[[#This Row],[Volume]]</f>
        <v>215902</v>
      </c>
      <c r="G332">
        <f>Siam_Chart[[#This Row],[Value (k)]]</f>
        <v>138182.29</v>
      </c>
      <c r="H332" cm="1">
        <f t="array" ref="H332:W332">Siam_Chart[[#This Row],[MCap (M)]:[CG]]</f>
        <v>193827968</v>
      </c>
      <c r="I332">
        <v>184742282</v>
      </c>
      <c r="J332">
        <v>0.91</v>
      </c>
      <c r="K332">
        <v>1.956275</v>
      </c>
      <c r="L332">
        <v>-0.1</v>
      </c>
      <c r="M332">
        <v>-0.1</v>
      </c>
      <c r="N332">
        <v>-7.5791230000000001</v>
      </c>
      <c r="O332">
        <v>-27.503271000000002</v>
      </c>
      <c r="P332">
        <v>-16.978902000000001</v>
      </c>
      <c r="Q332">
        <v>0.87</v>
      </c>
      <c r="R332" t="str">
        <v/>
      </c>
      <c r="S332" t="str">
        <v/>
      </c>
      <c r="T332">
        <v>0</v>
      </c>
      <c r="U332">
        <v>0</v>
      </c>
      <c r="V332">
        <v>0</v>
      </c>
      <c r="W332">
        <v>0</v>
      </c>
      <c r="X332" s="5">
        <f t="shared" si="13"/>
        <v>0.70329670329670324</v>
      </c>
      <c r="Y332" s="6">
        <f t="shared" si="14"/>
        <v>302856200</v>
      </c>
    </row>
    <row r="333" spans="2:25" x14ac:dyDescent="0.25">
      <c r="B333" t="str">
        <f>Siam_Chart[[#This Row],[Name]]</f>
        <v>KBANK</v>
      </c>
      <c r="C333">
        <f>Siam_Chart[[#This Row],[No.]]</f>
        <v>332</v>
      </c>
      <c r="D333">
        <f>Siam_Chart[[#This Row],[Last]]</f>
        <v>248</v>
      </c>
      <c r="E333">
        <f>Siam_Chart[[#This Row],[Chg%]]</f>
        <v>-2.75</v>
      </c>
      <c r="F333">
        <f>Siam_Chart[[#This Row],[Volume]]</f>
        <v>16183370</v>
      </c>
      <c r="G333">
        <f>Siam_Chart[[#This Row],[Value (k)]]</f>
        <v>4085417125</v>
      </c>
      <c r="H333" cm="1">
        <f t="array" ref="H333:W333">Siam_Chart[[#This Row],[MCap (M)]:[CG]]</f>
        <v>587593243064</v>
      </c>
      <c r="I333">
        <v>11.56</v>
      </c>
      <c r="J333">
        <v>0.99</v>
      </c>
      <c r="K333">
        <v>5.8595759999999997</v>
      </c>
      <c r="L333">
        <v>12</v>
      </c>
      <c r="M333">
        <v>11.87</v>
      </c>
      <c r="N333">
        <v>2.3867970000000001</v>
      </c>
      <c r="O333">
        <v>8.9073349999999998</v>
      </c>
      <c r="P333">
        <v>25.085156000000001</v>
      </c>
      <c r="Q333">
        <v>5.65</v>
      </c>
      <c r="R333" t="str">
        <v/>
      </c>
      <c r="S333" t="str">
        <v/>
      </c>
      <c r="T333">
        <v>657</v>
      </c>
      <c r="U333">
        <v>994</v>
      </c>
      <c r="V333">
        <v>1.59</v>
      </c>
      <c r="W333">
        <v>5</v>
      </c>
      <c r="X333" s="5">
        <f t="shared" si="13"/>
        <v>250.50505050505052</v>
      </c>
      <c r="Y333" s="6">
        <f t="shared" si="14"/>
        <v>2369327593</v>
      </c>
    </row>
    <row r="334" spans="2:25" x14ac:dyDescent="0.25">
      <c r="B334" t="str">
        <f>Siam_Chart[[#This Row],[Name]]</f>
        <v>KBS</v>
      </c>
      <c r="C334">
        <f>Siam_Chart[[#This Row],[No.]]</f>
        <v>333</v>
      </c>
      <c r="D334">
        <f>Siam_Chart[[#This Row],[Last]]</f>
        <v>6.35</v>
      </c>
      <c r="E334">
        <f>Siam_Chart[[#This Row],[Chg%]]</f>
        <v>0.79</v>
      </c>
      <c r="F334">
        <f>Siam_Chart[[#This Row],[Volume]]</f>
        <v>174433</v>
      </c>
      <c r="G334">
        <f>Siam_Chart[[#This Row],[Value (k)]]</f>
        <v>1104525.6499999999</v>
      </c>
      <c r="H334" cm="1">
        <f t="array" ref="H334:W334">Siam_Chart[[#This Row],[MCap (M)]:[CG]]</f>
        <v>3810000000</v>
      </c>
      <c r="I334">
        <v>13.62</v>
      </c>
      <c r="J334">
        <v>0.72</v>
      </c>
      <c r="K334">
        <v>1.532513</v>
      </c>
      <c r="L334">
        <v>0.5</v>
      </c>
      <c r="M334">
        <v>1.03</v>
      </c>
      <c r="N334">
        <v>4.4314980000000004</v>
      </c>
      <c r="O334">
        <v>5.3073560000000004</v>
      </c>
      <c r="P334">
        <v>9.629175</v>
      </c>
      <c r="Q334">
        <v>7.87</v>
      </c>
      <c r="R334" t="str">
        <v/>
      </c>
      <c r="S334" t="str">
        <v/>
      </c>
      <c r="T334">
        <v>887</v>
      </c>
      <c r="U334">
        <v>866</v>
      </c>
      <c r="V334">
        <v>-0.13</v>
      </c>
      <c r="W334">
        <v>3</v>
      </c>
      <c r="X334" s="5">
        <f t="shared" si="13"/>
        <v>8.8194444444444446</v>
      </c>
      <c r="Y334" s="6">
        <f t="shared" si="14"/>
        <v>600000000</v>
      </c>
    </row>
    <row r="335" spans="2:25" x14ac:dyDescent="0.25">
      <c r="B335" t="str">
        <f>Siam_Chart[[#This Row],[Name]]</f>
        <v>KC</v>
      </c>
      <c r="C335">
        <f>Siam_Chart[[#This Row],[No.]]</f>
        <v>334</v>
      </c>
      <c r="D335">
        <f>Siam_Chart[[#This Row],[Last]]</f>
        <v>0.02</v>
      </c>
      <c r="E335">
        <f>Siam_Chart[[#This Row],[Chg%]]</f>
        <v>0</v>
      </c>
      <c r="F335">
        <f>Siam_Chart[[#This Row],[Volume]]</f>
        <v>707490</v>
      </c>
      <c r="G335">
        <f>Siam_Chart[[#This Row],[Value (k)]]</f>
        <v>14150.7</v>
      </c>
      <c r="H335" cm="1">
        <f t="array" ref="H335:W335">Siam_Chart[[#This Row],[MCap (M)]:[CG]]</f>
        <v>103509744.44</v>
      </c>
      <c r="I335">
        <v>103509744.44</v>
      </c>
      <c r="J335">
        <v>2.2200000000000002</v>
      </c>
      <c r="K335">
        <v>15.908053000000001</v>
      </c>
      <c r="L335">
        <v>-0.01</v>
      </c>
      <c r="M335">
        <v>-0.01</v>
      </c>
      <c r="N335">
        <v>-16.6435</v>
      </c>
      <c r="O335">
        <v>-134.73353299999999</v>
      </c>
      <c r="P335">
        <v>-787.61427400000002</v>
      </c>
      <c r="Q335">
        <v>2.2200000000000002</v>
      </c>
      <c r="R335" t="str">
        <v/>
      </c>
      <c r="S335" t="str">
        <v/>
      </c>
      <c r="T335">
        <v>0</v>
      </c>
      <c r="U335">
        <v>0</v>
      </c>
      <c r="V335">
        <v>0</v>
      </c>
      <c r="W335">
        <v>0</v>
      </c>
      <c r="X335" s="5">
        <f t="shared" si="13"/>
        <v>9.0090090090090089E-3</v>
      </c>
      <c r="Y335" s="6">
        <f t="shared" si="14"/>
        <v>5175487222</v>
      </c>
    </row>
    <row r="336" spans="2:25" x14ac:dyDescent="0.25">
      <c r="B336" t="str">
        <f>Siam_Chart[[#This Row],[Name]]</f>
        <v>KCAR</v>
      </c>
      <c r="C336">
        <f>Siam_Chart[[#This Row],[No.]]</f>
        <v>335</v>
      </c>
      <c r="D336">
        <f>Siam_Chart[[#This Row],[Last]]</f>
        <v>4.8600000000000003</v>
      </c>
      <c r="E336">
        <f>Siam_Chart[[#This Row],[Chg%]]</f>
        <v>0.41</v>
      </c>
      <c r="F336">
        <f>Siam_Chart[[#This Row],[Volume]]</f>
        <v>11306</v>
      </c>
      <c r="G336">
        <f>Siam_Chart[[#This Row],[Value (k)]]</f>
        <v>54857.16</v>
      </c>
      <c r="H336" cm="1">
        <f t="array" ref="H336:W336">Siam_Chart[[#This Row],[MCap (M)]:[CG]]</f>
        <v>1215000000</v>
      </c>
      <c r="I336">
        <v>7.92</v>
      </c>
      <c r="J336">
        <v>0.47</v>
      </c>
      <c r="K336">
        <v>0.97243500000000005</v>
      </c>
      <c r="L336">
        <v>0.16</v>
      </c>
      <c r="M336">
        <v>0.32</v>
      </c>
      <c r="N336">
        <v>5.1165520000000004</v>
      </c>
      <c r="O336">
        <v>6.0652309999999998</v>
      </c>
      <c r="P336">
        <v>7.2214340000000004</v>
      </c>
      <c r="Q336">
        <v>6.79</v>
      </c>
      <c r="R336" t="str">
        <v/>
      </c>
      <c r="S336" t="str">
        <v/>
      </c>
      <c r="T336">
        <v>561</v>
      </c>
      <c r="U336">
        <v>690</v>
      </c>
      <c r="V336">
        <v>2.5299999999999998</v>
      </c>
      <c r="W336">
        <v>5</v>
      </c>
      <c r="X336" s="5">
        <f t="shared" si="13"/>
        <v>10.340425531914894</v>
      </c>
      <c r="Y336" s="6">
        <f t="shared" si="14"/>
        <v>249999999.99999997</v>
      </c>
    </row>
    <row r="337" spans="2:25" x14ac:dyDescent="0.25">
      <c r="B337" t="str">
        <f>Siam_Chart[[#This Row],[Name]]</f>
        <v>KCC</v>
      </c>
      <c r="C337">
        <f>Siam_Chart[[#This Row],[No.]]</f>
        <v>336</v>
      </c>
      <c r="D337">
        <f>Siam_Chart[[#This Row],[Last]]</f>
        <v>2.52</v>
      </c>
      <c r="E337">
        <f>Siam_Chart[[#This Row],[Chg%]]</f>
        <v>-3.82</v>
      </c>
      <c r="F337">
        <f>Siam_Chart[[#This Row],[Volume]]</f>
        <v>772833</v>
      </c>
      <c r="G337">
        <f>Siam_Chart[[#This Row],[Value (k)]]</f>
        <v>1970774.68</v>
      </c>
      <c r="H337" cm="1">
        <f t="array" ref="H337:W337">Siam_Chart[[#This Row],[MCap (M)]:[CG]]</f>
        <v>1558202478.8399999</v>
      </c>
      <c r="I337">
        <v>3.34</v>
      </c>
      <c r="J337">
        <v>0.91</v>
      </c>
      <c r="K337">
        <v>0.87759799999999999</v>
      </c>
      <c r="L337">
        <v>6.5000000000000002E-2</v>
      </c>
      <c r="M337">
        <v>0.54</v>
      </c>
      <c r="N337">
        <v>23.319434999999999</v>
      </c>
      <c r="O337">
        <v>31.026403999999999</v>
      </c>
      <c r="P337">
        <v>61.159770999999999</v>
      </c>
      <c r="Q337">
        <v>3.97</v>
      </c>
      <c r="R337" t="str">
        <v/>
      </c>
      <c r="S337" t="str">
        <v/>
      </c>
      <c r="T337">
        <v>47</v>
      </c>
      <c r="U337">
        <v>54</v>
      </c>
      <c r="V337">
        <v>0.02</v>
      </c>
      <c r="W337">
        <v>5</v>
      </c>
      <c r="X337" s="5">
        <f t="shared" si="13"/>
        <v>2.7692307692307692</v>
      </c>
      <c r="Y337" s="6">
        <f t="shared" si="14"/>
        <v>618334317</v>
      </c>
    </row>
    <row r="338" spans="2:25" x14ac:dyDescent="0.25">
      <c r="B338" t="str">
        <f>Siam_Chart[[#This Row],[Name]]</f>
        <v>KCE</v>
      </c>
      <c r="C338">
        <f>Siam_Chart[[#This Row],[No.]]</f>
        <v>337</v>
      </c>
      <c r="D338">
        <f>Siam_Chart[[#This Row],[Last]]</f>
        <v>56.75</v>
      </c>
      <c r="E338">
        <f>Siam_Chart[[#This Row],[Chg%]]</f>
        <v>4.13</v>
      </c>
      <c r="F338">
        <f>Siam_Chart[[#This Row],[Volume]]</f>
        <v>24656802</v>
      </c>
      <c r="G338">
        <f>Siam_Chart[[#This Row],[Value (k)]]</f>
        <v>1382713326.25</v>
      </c>
      <c r="H338" cm="1">
        <f t="array" ref="H338:W338">Siam_Chart[[#This Row],[MCap (M)]:[CG]]</f>
        <v>67083527823</v>
      </c>
      <c r="I338">
        <v>72.06</v>
      </c>
      <c r="J338">
        <v>5.17</v>
      </c>
      <c r="K338">
        <v>0.43371300000000002</v>
      </c>
      <c r="L338">
        <v>0.6</v>
      </c>
      <c r="M338">
        <v>0.43</v>
      </c>
      <c r="N338">
        <v>6.0797020000000002</v>
      </c>
      <c r="O338">
        <v>7.0442270000000002</v>
      </c>
      <c r="P338">
        <v>7.5928190000000004</v>
      </c>
      <c r="Q338">
        <v>2.11</v>
      </c>
      <c r="R338" t="str">
        <v/>
      </c>
      <c r="S338" t="str">
        <v/>
      </c>
      <c r="T338">
        <v>1122</v>
      </c>
      <c r="U338">
        <v>1055</v>
      </c>
      <c r="V338">
        <v>-3</v>
      </c>
      <c r="W338">
        <v>5</v>
      </c>
      <c r="X338" s="5">
        <f t="shared" si="13"/>
        <v>10.976789168278531</v>
      </c>
      <c r="Y338" s="6">
        <f t="shared" si="14"/>
        <v>1182088596</v>
      </c>
    </row>
    <row r="339" spans="2:25" x14ac:dyDescent="0.25">
      <c r="B339" t="str">
        <f>Siam_Chart[[#This Row],[Name]]</f>
        <v>KCG</v>
      </c>
      <c r="C339">
        <f>Siam_Chart[[#This Row],[No.]]</f>
        <v>338</v>
      </c>
      <c r="D339">
        <f>Siam_Chart[[#This Row],[Last]]</f>
        <v>10.5</v>
      </c>
      <c r="E339">
        <f>Siam_Chart[[#This Row],[Chg%]]</f>
        <v>-0.94</v>
      </c>
      <c r="F339">
        <f>Siam_Chart[[#This Row],[Volume]]</f>
        <v>319608</v>
      </c>
      <c r="G339">
        <f>Siam_Chart[[#This Row],[Value (k)]]</f>
        <v>3358295.4</v>
      </c>
      <c r="H339" cm="1">
        <f t="array" ref="H339:W339">Siam_Chart[[#This Row],[MCap (M)]:[CG]]</f>
        <v>5722500000</v>
      </c>
      <c r="I339">
        <v>10.24</v>
      </c>
      <c r="J339">
        <v>1.79</v>
      </c>
      <c r="K339">
        <v>0.89235799999999998</v>
      </c>
      <c r="L339">
        <v>0.17</v>
      </c>
      <c r="M339">
        <v>0.51</v>
      </c>
      <c r="N339">
        <v>12.008817000000001</v>
      </c>
      <c r="O339">
        <v>18.227139000000001</v>
      </c>
      <c r="P339">
        <v>6.7376969999999998</v>
      </c>
      <c r="Q339">
        <v>4.8600000000000003</v>
      </c>
      <c r="R339" t="str">
        <v/>
      </c>
      <c r="S339" t="str">
        <v/>
      </c>
      <c r="T339">
        <v>412</v>
      </c>
      <c r="U339">
        <v>415</v>
      </c>
      <c r="V339">
        <v>0.39</v>
      </c>
      <c r="W339">
        <v>5</v>
      </c>
      <c r="X339" s="5">
        <f t="shared" si="13"/>
        <v>5.8659217877094969</v>
      </c>
      <c r="Y339" s="6">
        <f t="shared" si="14"/>
        <v>545000000</v>
      </c>
    </row>
    <row r="340" spans="2:25" x14ac:dyDescent="0.25">
      <c r="B340" t="str">
        <f>Siam_Chart[[#This Row],[Name]]</f>
        <v>KCM</v>
      </c>
      <c r="C340">
        <f>Siam_Chart[[#This Row],[No.]]</f>
        <v>339</v>
      </c>
      <c r="D340">
        <f>Siam_Chart[[#This Row],[Last]]</f>
        <v>0.3</v>
      </c>
      <c r="E340">
        <f>Siam_Chart[[#This Row],[Chg%]]</f>
        <v>0</v>
      </c>
      <c r="F340">
        <f>Siam_Chart[[#This Row],[Volume]]</f>
        <v>41110</v>
      </c>
      <c r="G340">
        <f>Siam_Chart[[#This Row],[Value (k)]]</f>
        <v>11957.8</v>
      </c>
      <c r="H340" cm="1">
        <f t="array" ref="H340:W340">Siam_Chart[[#This Row],[MCap (M)]:[CG]]</f>
        <v>204000000</v>
      </c>
      <c r="I340">
        <v>183600000</v>
      </c>
      <c r="J340">
        <v>0.52</v>
      </c>
      <c r="K340">
        <v>0.52447900000000003</v>
      </c>
      <c r="L340">
        <v>4.4999999999999997E-3</v>
      </c>
      <c r="M340">
        <v>0.01</v>
      </c>
      <c r="N340">
        <v>0.137013</v>
      </c>
      <c r="O340">
        <v>-1.66798</v>
      </c>
      <c r="P340">
        <v>2.5169670000000002</v>
      </c>
      <c r="Q340">
        <v>0.47</v>
      </c>
      <c r="R340" t="str">
        <v/>
      </c>
      <c r="S340" t="str">
        <v/>
      </c>
      <c r="T340">
        <v>0</v>
      </c>
      <c r="U340">
        <v>0</v>
      </c>
      <c r="V340">
        <v>0</v>
      </c>
      <c r="W340">
        <v>0</v>
      </c>
      <c r="X340" s="5">
        <f t="shared" si="13"/>
        <v>0.57692307692307687</v>
      </c>
      <c r="Y340" s="6">
        <f t="shared" si="14"/>
        <v>680000000</v>
      </c>
    </row>
    <row r="341" spans="2:25" x14ac:dyDescent="0.25">
      <c r="B341" t="str">
        <f>Siam_Chart[[#This Row],[Name]]</f>
        <v>KDH</v>
      </c>
      <c r="C341">
        <f>Siam_Chart[[#This Row],[No.]]</f>
        <v>340</v>
      </c>
      <c r="D341">
        <f>Siam_Chart[[#This Row],[Last]]</f>
        <v>84.5</v>
      </c>
      <c r="E341">
        <f>Siam_Chart[[#This Row],[Chg%]]</f>
        <v>-0.59</v>
      </c>
      <c r="F341">
        <f>Siam_Chart[[#This Row],[Volume]]</f>
        <v>123</v>
      </c>
      <c r="G341">
        <f>Siam_Chart[[#This Row],[Value (k)]]</f>
        <v>10394</v>
      </c>
      <c r="H341" cm="1">
        <f t="array" ref="H341:W341">Siam_Chart[[#This Row],[MCap (M)]:[CG]]</f>
        <v>1647659210</v>
      </c>
      <c r="I341">
        <v>10.48</v>
      </c>
      <c r="J341">
        <v>1.76</v>
      </c>
      <c r="K341">
        <v>0.20805399999999999</v>
      </c>
      <c r="L341">
        <v>2.7</v>
      </c>
      <c r="M341">
        <v>4.38</v>
      </c>
      <c r="N341">
        <v>17.841888000000001</v>
      </c>
      <c r="O341">
        <v>17.757026</v>
      </c>
      <c r="P341">
        <v>14.797541000000001</v>
      </c>
      <c r="Q341">
        <v>3.18</v>
      </c>
      <c r="R341" t="str">
        <v/>
      </c>
      <c r="S341" t="str">
        <v/>
      </c>
      <c r="T341">
        <v>384</v>
      </c>
      <c r="U341">
        <v>318</v>
      </c>
      <c r="V341">
        <v>0.22</v>
      </c>
      <c r="W341">
        <v>0</v>
      </c>
      <c r="X341" s="5">
        <f t="shared" si="13"/>
        <v>48.011363636363633</v>
      </c>
      <c r="Y341" s="6">
        <f t="shared" si="14"/>
        <v>19498925.562130179</v>
      </c>
    </row>
    <row r="342" spans="2:25" x14ac:dyDescent="0.25">
      <c r="B342" t="str">
        <f>Siam_Chart[[#This Row],[Name]]</f>
        <v>KGEN</v>
      </c>
      <c r="C342">
        <f>Siam_Chart[[#This Row],[No.]]</f>
        <v>341</v>
      </c>
      <c r="D342">
        <f>Siam_Chart[[#This Row],[Last]]</f>
        <v>1.58</v>
      </c>
      <c r="E342">
        <f>Siam_Chart[[#This Row],[Chg%]]</f>
        <v>-1.25</v>
      </c>
      <c r="F342">
        <f>Siam_Chart[[#This Row],[Volume]]</f>
        <v>2608604</v>
      </c>
      <c r="G342">
        <f>Siam_Chart[[#This Row],[Value (k)]]</f>
        <v>4171483.48</v>
      </c>
      <c r="H342" cm="1">
        <f t="array" ref="H342:W342">Siam_Chart[[#This Row],[MCap (M)]:[CG]]</f>
        <v>3516647356.5</v>
      </c>
      <c r="I342">
        <v>3739219974</v>
      </c>
      <c r="J342">
        <v>2.68</v>
      </c>
      <c r="K342">
        <v>0.69901800000000003</v>
      </c>
      <c r="L342">
        <v>-0.01</v>
      </c>
      <c r="M342">
        <v>-0.01</v>
      </c>
      <c r="N342">
        <v>-1.942814</v>
      </c>
      <c r="O342">
        <v>-4.068092</v>
      </c>
      <c r="P342">
        <v>-3.3774440000000001</v>
      </c>
      <c r="Q342">
        <v>2.85</v>
      </c>
      <c r="R342" t="str">
        <v/>
      </c>
      <c r="S342" t="str">
        <v/>
      </c>
      <c r="T342">
        <v>0</v>
      </c>
      <c r="U342">
        <v>0</v>
      </c>
      <c r="V342">
        <v>0</v>
      </c>
      <c r="W342">
        <v>0</v>
      </c>
      <c r="X342" s="5">
        <f t="shared" si="13"/>
        <v>0.58955223880597019</v>
      </c>
      <c r="Y342" s="6">
        <f t="shared" si="14"/>
        <v>2225726175</v>
      </c>
    </row>
    <row r="343" spans="2:25" x14ac:dyDescent="0.25">
      <c r="B343" t="str">
        <f>Siam_Chart[[#This Row],[Name]]</f>
        <v>KGI</v>
      </c>
      <c r="C343">
        <f>Siam_Chart[[#This Row],[No.]]</f>
        <v>342</v>
      </c>
      <c r="D343">
        <f>Siam_Chart[[#This Row],[Last]]</f>
        <v>5.0999999999999996</v>
      </c>
      <c r="E343">
        <f>Siam_Chart[[#This Row],[Chg%]]</f>
        <v>-0.97</v>
      </c>
      <c r="F343">
        <f>Siam_Chart[[#This Row],[Volume]]</f>
        <v>6730530</v>
      </c>
      <c r="G343">
        <f>Siam_Chart[[#This Row],[Value (k)]]</f>
        <v>34492480.5</v>
      </c>
      <c r="H343" cm="1">
        <f t="array" ref="H343:W343">Siam_Chart[[#This Row],[MCap (M)]:[CG]]</f>
        <v>10157991963</v>
      </c>
      <c r="I343">
        <v>8.2200000000000006</v>
      </c>
      <c r="J343">
        <v>1.23</v>
      </c>
      <c r="K343">
        <v>1.9833670000000001</v>
      </c>
      <c r="L343">
        <v>0.31</v>
      </c>
      <c r="M343">
        <v>0.36</v>
      </c>
      <c r="N343">
        <v>7.4753740000000004</v>
      </c>
      <c r="O343">
        <v>15.615729999999999</v>
      </c>
      <c r="P343">
        <v>29.692864</v>
      </c>
      <c r="Q343">
        <v>6.08</v>
      </c>
      <c r="R343" t="str">
        <v/>
      </c>
      <c r="S343" t="str">
        <v/>
      </c>
      <c r="T343">
        <v>480</v>
      </c>
      <c r="U343">
        <v>678</v>
      </c>
      <c r="V343">
        <v>-0.68</v>
      </c>
      <c r="W343">
        <v>4</v>
      </c>
      <c r="X343" s="5">
        <f t="shared" si="13"/>
        <v>4.1463414634146343</v>
      </c>
      <c r="Y343" s="6">
        <f t="shared" si="14"/>
        <v>1991763130.0000002</v>
      </c>
    </row>
    <row r="344" spans="2:25" x14ac:dyDescent="0.25">
      <c r="B344" t="str">
        <f>Siam_Chart[[#This Row],[Name]]</f>
        <v>KIAT</v>
      </c>
      <c r="C344">
        <f>Siam_Chart[[#This Row],[No.]]</f>
        <v>343</v>
      </c>
      <c r="D344">
        <f>Siam_Chart[[#This Row],[Last]]</f>
        <v>0.34</v>
      </c>
      <c r="E344">
        <f>Siam_Chart[[#This Row],[Chg%]]</f>
        <v>0</v>
      </c>
      <c r="F344">
        <f>Siam_Chart[[#This Row],[Volume]]</f>
        <v>275220</v>
      </c>
      <c r="G344">
        <f>Siam_Chart[[#This Row],[Value (k)]]</f>
        <v>93794.82</v>
      </c>
      <c r="H344" cm="1">
        <f t="array" ref="H344:W344">Siam_Chart[[#This Row],[MCap (M)]:[CG]]</f>
        <v>1050738951.2</v>
      </c>
      <c r="I344">
        <v>47.24</v>
      </c>
      <c r="J344">
        <v>0.96</v>
      </c>
      <c r="K344">
        <v>0.122806</v>
      </c>
      <c r="L344">
        <v>0.02</v>
      </c>
      <c r="M344">
        <v>0.01</v>
      </c>
      <c r="N344">
        <v>2.4883060000000001</v>
      </c>
      <c r="O344">
        <v>1.948704</v>
      </c>
      <c r="P344">
        <v>6.5813389999999998</v>
      </c>
      <c r="Q344">
        <v>6.05</v>
      </c>
      <c r="R344" t="str">
        <v/>
      </c>
      <c r="S344" t="str">
        <v/>
      </c>
      <c r="T344">
        <v>1275</v>
      </c>
      <c r="U344">
        <v>1249</v>
      </c>
      <c r="V344">
        <v>-3.22</v>
      </c>
      <c r="W344">
        <v>0</v>
      </c>
      <c r="X344" s="5">
        <f t="shared" si="13"/>
        <v>0.35416666666666669</v>
      </c>
      <c r="Y344" s="6">
        <f t="shared" si="14"/>
        <v>3090408680</v>
      </c>
    </row>
    <row r="345" spans="2:25" x14ac:dyDescent="0.25">
      <c r="B345" t="str">
        <f>Siam_Chart[[#This Row],[Name]]</f>
        <v>KISS</v>
      </c>
      <c r="C345">
        <f>Siam_Chart[[#This Row],[No.]]</f>
        <v>344</v>
      </c>
      <c r="D345">
        <f>Siam_Chart[[#This Row],[Last]]</f>
        <v>3.22</v>
      </c>
      <c r="E345">
        <f>Siam_Chart[[#This Row],[Chg%]]</f>
        <v>-2.42</v>
      </c>
      <c r="F345">
        <f>Siam_Chart[[#This Row],[Volume]]</f>
        <v>1263155</v>
      </c>
      <c r="G345">
        <f>Siam_Chart[[#This Row],[Value (k)]]</f>
        <v>4121305.8</v>
      </c>
      <c r="H345" cm="1">
        <f t="array" ref="H345:W345">Siam_Chart[[#This Row],[MCap (M)]:[CG]]</f>
        <v>1932032200</v>
      </c>
      <c r="I345">
        <v>10.199999999999999</v>
      </c>
      <c r="J345">
        <v>1.88</v>
      </c>
      <c r="K345">
        <v>0.37678800000000001</v>
      </c>
      <c r="L345">
        <v>0.06</v>
      </c>
      <c r="M345">
        <v>0.13</v>
      </c>
      <c r="N345">
        <v>19.55611</v>
      </c>
      <c r="O345">
        <v>18.605606999999999</v>
      </c>
      <c r="P345">
        <v>12.425454</v>
      </c>
      <c r="Q345">
        <v>7.21</v>
      </c>
      <c r="R345" t="str">
        <v/>
      </c>
      <c r="S345" t="str">
        <v/>
      </c>
      <c r="T345">
        <v>443</v>
      </c>
      <c r="U345">
        <v>369</v>
      </c>
      <c r="V345">
        <v>1.35</v>
      </c>
      <c r="W345">
        <v>3</v>
      </c>
      <c r="X345" s="5">
        <f t="shared" si="13"/>
        <v>1.7127659574468088</v>
      </c>
      <c r="Y345" s="6">
        <f t="shared" si="14"/>
        <v>600010000</v>
      </c>
    </row>
    <row r="346" spans="2:25" x14ac:dyDescent="0.25">
      <c r="B346" t="str">
        <f>Siam_Chart[[#This Row],[Name]]</f>
        <v>KJL</v>
      </c>
      <c r="C346">
        <f>Siam_Chart[[#This Row],[No.]]</f>
        <v>345</v>
      </c>
      <c r="D346">
        <f>Siam_Chart[[#This Row],[Last]]</f>
        <v>6.3</v>
      </c>
      <c r="E346">
        <f>Siam_Chart[[#This Row],[Chg%]]</f>
        <v>0</v>
      </c>
      <c r="F346">
        <f>Siam_Chart[[#This Row],[Volume]]</f>
        <v>72700</v>
      </c>
      <c r="G346">
        <f>Siam_Chart[[#This Row],[Value (k)]]</f>
        <v>460630</v>
      </c>
      <c r="H346" cm="1">
        <f t="array" ref="H346:W346">Siam_Chart[[#This Row],[MCap (M)]:[CG]]</f>
        <v>1461586140</v>
      </c>
      <c r="I346">
        <v>13.13</v>
      </c>
      <c r="J346">
        <v>2.11</v>
      </c>
      <c r="K346">
        <v>1.3349249999999999</v>
      </c>
      <c r="L346">
        <v>0.15</v>
      </c>
      <c r="M346">
        <v>0.28000000000000003</v>
      </c>
      <c r="N346">
        <v>9.8253149999999998</v>
      </c>
      <c r="O346">
        <v>16.118383999999999</v>
      </c>
      <c r="P346">
        <v>9.9285099999999993</v>
      </c>
      <c r="Q346">
        <v>7.14</v>
      </c>
      <c r="R346" t="str">
        <v/>
      </c>
      <c r="S346" t="str">
        <v/>
      </c>
      <c r="T346">
        <v>558</v>
      </c>
      <c r="U346">
        <v>596</v>
      </c>
      <c r="V346">
        <v>8.84</v>
      </c>
      <c r="W346">
        <v>5</v>
      </c>
      <c r="X346" s="5">
        <f t="shared" si="13"/>
        <v>2.985781990521327</v>
      </c>
      <c r="Y346" s="6">
        <f t="shared" si="14"/>
        <v>231997800</v>
      </c>
    </row>
    <row r="347" spans="2:25" x14ac:dyDescent="0.25">
      <c r="B347" t="str">
        <f>Siam_Chart[[#This Row],[Name]]</f>
        <v>KK</v>
      </c>
      <c r="C347">
        <f>Siam_Chart[[#This Row],[No.]]</f>
        <v>346</v>
      </c>
      <c r="D347">
        <f>Siam_Chart[[#This Row],[Last]]</f>
        <v>0.98</v>
      </c>
      <c r="E347">
        <f>Siam_Chart[[#This Row],[Chg%]]</f>
        <v>0</v>
      </c>
      <c r="F347">
        <f>Siam_Chart[[#This Row],[Volume]]</f>
        <v>48310</v>
      </c>
      <c r="G347">
        <f>Siam_Chart[[#This Row],[Value (k)]]</f>
        <v>47088.7</v>
      </c>
      <c r="H347" cm="1">
        <f t="array" ref="H347:W347">Siam_Chart[[#This Row],[MCap (M)]:[CG]]</f>
        <v>236669962.75999999</v>
      </c>
      <c r="I347">
        <v>5.74</v>
      </c>
      <c r="J347">
        <v>1.1200000000000001</v>
      </c>
      <c r="K347">
        <v>1.705965</v>
      </c>
      <c r="L347">
        <v>1.4999999999999999E-2</v>
      </c>
      <c r="M347">
        <v>0.05</v>
      </c>
      <c r="N347">
        <v>10.670316</v>
      </c>
      <c r="O347">
        <v>21.467851</v>
      </c>
      <c r="P347">
        <v>2.1576029999999999</v>
      </c>
      <c r="Q347">
        <v>1.53</v>
      </c>
      <c r="R347" t="str">
        <v/>
      </c>
      <c r="S347" t="str">
        <v/>
      </c>
      <c r="T347">
        <v>174</v>
      </c>
      <c r="U347">
        <v>255</v>
      </c>
      <c r="V347">
        <v>-0.08</v>
      </c>
      <c r="W347">
        <v>3</v>
      </c>
      <c r="X347" s="5">
        <f t="shared" si="13"/>
        <v>0.87499999999999989</v>
      </c>
      <c r="Y347" s="6">
        <f t="shared" si="14"/>
        <v>241499962</v>
      </c>
    </row>
    <row r="348" spans="2:25" x14ac:dyDescent="0.25">
      <c r="B348" t="str">
        <f>Siam_Chart[[#This Row],[Name]]</f>
        <v>KKC</v>
      </c>
      <c r="C348">
        <f>Siam_Chart[[#This Row],[No.]]</f>
        <v>347</v>
      </c>
      <c r="D348">
        <f>Siam_Chart[[#This Row],[Last]]</f>
        <v>2025</v>
      </c>
      <c r="E348">
        <f>Siam_Chart[[#This Row],[Chg%]]</f>
        <v>0</v>
      </c>
      <c r="F348">
        <f>Siam_Chart[[#This Row],[Volume]]</f>
        <v>0</v>
      </c>
      <c r="G348">
        <f>Siam_Chart[[#This Row],[Value (k)]]</f>
        <v>0</v>
      </c>
      <c r="H348" cm="1">
        <f t="array" ref="H348:W348">Siam_Chart[[#This Row],[MCap (M)]:[CG]]</f>
        <v>60</v>
      </c>
      <c r="I348">
        <v>0</v>
      </c>
      <c r="J348">
        <v>0</v>
      </c>
      <c r="K348">
        <v>0</v>
      </c>
      <c r="L348">
        <v>-0.78</v>
      </c>
      <c r="M348">
        <v>-0.78</v>
      </c>
      <c r="N348">
        <v>-13.927587000000001</v>
      </c>
      <c r="O348">
        <v>-55.149893232852982</v>
      </c>
      <c r="P348">
        <v>-55.149892999999999</v>
      </c>
      <c r="Q348">
        <v>0</v>
      </c>
      <c r="R348" t="str">
        <v/>
      </c>
      <c r="S348" t="str">
        <v/>
      </c>
      <c r="T348">
        <v>0</v>
      </c>
      <c r="U348">
        <v>0</v>
      </c>
      <c r="V348">
        <v>0</v>
      </c>
      <c r="W348">
        <v>0</v>
      </c>
      <c r="X348" s="5">
        <f t="shared" si="13"/>
        <v>0</v>
      </c>
      <c r="Y348" s="6">
        <f t="shared" si="14"/>
        <v>2.9629629629629631E-2</v>
      </c>
    </row>
    <row r="349" spans="2:25" x14ac:dyDescent="0.25">
      <c r="B349" t="str">
        <f>Siam_Chart[[#This Row],[Name]]</f>
        <v>KKP</v>
      </c>
      <c r="C349">
        <f>Siam_Chart[[#This Row],[No.]]</f>
        <v>348</v>
      </c>
      <c r="D349">
        <f>Siam_Chart[[#This Row],[Last]]</f>
        <v>117.5</v>
      </c>
      <c r="E349">
        <f>Siam_Chart[[#This Row],[Chg%]]</f>
        <v>-0.42</v>
      </c>
      <c r="F349">
        <f>Siam_Chart[[#This Row],[Volume]]</f>
        <v>13131848</v>
      </c>
      <c r="G349">
        <f>Siam_Chart[[#This Row],[Value (k)]]</f>
        <v>1537361104.5</v>
      </c>
      <c r="H349" cm="1">
        <f t="array" ref="H349:W349">Siam_Chart[[#This Row],[MCap (M)]:[CG]]</f>
        <v>105212308837.5</v>
      </c>
      <c r="I349">
        <v>13.45</v>
      </c>
      <c r="J349">
        <v>1.47</v>
      </c>
      <c r="K349">
        <v>6.6011170000000003</v>
      </c>
      <c r="L349">
        <v>4.2</v>
      </c>
      <c r="M349">
        <v>4.9400000000000004</v>
      </c>
      <c r="N349">
        <v>3.3188059999999999</v>
      </c>
      <c r="O349">
        <v>11.354213</v>
      </c>
      <c r="P349">
        <v>24.561903999999998</v>
      </c>
      <c r="Q349">
        <v>4.5999999999999996</v>
      </c>
      <c r="R349" t="str">
        <v/>
      </c>
      <c r="S349" t="str">
        <v/>
      </c>
      <c r="T349">
        <v>712</v>
      </c>
      <c r="U349">
        <v>1096</v>
      </c>
      <c r="V349">
        <v>30.79</v>
      </c>
      <c r="W349">
        <v>5</v>
      </c>
      <c r="X349" s="5">
        <f t="shared" si="13"/>
        <v>79.931972789115648</v>
      </c>
      <c r="Y349" s="6">
        <f t="shared" si="14"/>
        <v>895423905</v>
      </c>
    </row>
    <row r="350" spans="2:25" x14ac:dyDescent="0.25">
      <c r="B350" t="str">
        <f>Siam_Chart[[#This Row],[Name]]</f>
        <v>KLINIQ</v>
      </c>
      <c r="C350">
        <f>Siam_Chart[[#This Row],[No.]]</f>
        <v>349</v>
      </c>
      <c r="D350">
        <f>Siam_Chart[[#This Row],[Last]]</f>
        <v>30.25</v>
      </c>
      <c r="E350">
        <f>Siam_Chart[[#This Row],[Chg%]]</f>
        <v>-3.2</v>
      </c>
      <c r="F350">
        <f>Siam_Chart[[#This Row],[Volume]]</f>
        <v>511519</v>
      </c>
      <c r="G350">
        <f>Siam_Chart[[#This Row],[Value (k)]]</f>
        <v>15512444.75</v>
      </c>
      <c r="H350" cm="1">
        <f t="array" ref="H350:W350">Siam_Chart[[#This Row],[MCap (M)]:[CG]]</f>
        <v>6655000000</v>
      </c>
      <c r="I350">
        <v>15.76</v>
      </c>
      <c r="J350">
        <v>3.61</v>
      </c>
      <c r="K350">
        <v>0.86719299999999999</v>
      </c>
      <c r="L350">
        <v>0.88</v>
      </c>
      <c r="M350">
        <v>1.06</v>
      </c>
      <c r="N350">
        <v>17.043081000000001</v>
      </c>
      <c r="O350">
        <v>23.595825999999999</v>
      </c>
      <c r="P350">
        <v>10.475137999999999</v>
      </c>
      <c r="Q350">
        <v>4.79</v>
      </c>
      <c r="R350" t="str">
        <v/>
      </c>
      <c r="S350" t="str">
        <v/>
      </c>
      <c r="T350">
        <v>527</v>
      </c>
      <c r="U350">
        <v>524</v>
      </c>
      <c r="V350">
        <v>0.71</v>
      </c>
      <c r="W350">
        <v>0</v>
      </c>
      <c r="X350" s="5">
        <f t="shared" si="13"/>
        <v>8.3795013850415518</v>
      </c>
      <c r="Y350" s="6">
        <f t="shared" si="14"/>
        <v>220000000</v>
      </c>
    </row>
    <row r="351" spans="2:25" x14ac:dyDescent="0.25">
      <c r="B351" t="str">
        <f>Siam_Chart[[#This Row],[Name]]</f>
        <v>KOOL</v>
      </c>
      <c r="C351">
        <f>Siam_Chart[[#This Row],[No.]]</f>
        <v>350</v>
      </c>
      <c r="D351">
        <f>Siam_Chart[[#This Row],[Last]]</f>
        <v>0.28000000000000003</v>
      </c>
      <c r="E351">
        <f>Siam_Chart[[#This Row],[Chg%]]</f>
        <v>-3.45</v>
      </c>
      <c r="F351">
        <f>Siam_Chart[[#This Row],[Volume]]</f>
        <v>548133</v>
      </c>
      <c r="G351">
        <f>Siam_Chart[[#This Row],[Value (k)]]</f>
        <v>153759.57</v>
      </c>
      <c r="H351" cm="1">
        <f t="array" ref="H351:W351">Siam_Chart[[#This Row],[MCap (M)]:[CG]]</f>
        <v>630000000</v>
      </c>
      <c r="I351">
        <v>14.45</v>
      </c>
      <c r="J351">
        <v>0.46</v>
      </c>
      <c r="K351">
        <v>0.308666</v>
      </c>
      <c r="L351">
        <v>1.2500000000000001E-2</v>
      </c>
      <c r="M351">
        <v>0.01</v>
      </c>
      <c r="N351">
        <v>3.761352</v>
      </c>
      <c r="O351">
        <v>3.1815190000000002</v>
      </c>
      <c r="P351">
        <v>7.3837169999999999</v>
      </c>
      <c r="Q351">
        <v>4.46</v>
      </c>
      <c r="R351" t="str">
        <v/>
      </c>
      <c r="S351" t="str">
        <v/>
      </c>
      <c r="T351">
        <v>1176</v>
      </c>
      <c r="U351">
        <v>1140</v>
      </c>
      <c r="V351">
        <v>-0.33</v>
      </c>
      <c r="W351">
        <v>0</v>
      </c>
      <c r="X351" s="5">
        <f t="shared" si="13"/>
        <v>0.60869565217391308</v>
      </c>
      <c r="Y351" s="6">
        <f t="shared" si="14"/>
        <v>2250000000</v>
      </c>
    </row>
    <row r="352" spans="2:25" x14ac:dyDescent="0.25">
      <c r="B352" t="str">
        <f>Siam_Chart[[#This Row],[Name]]</f>
        <v>KSL</v>
      </c>
      <c r="C352">
        <f>Siam_Chart[[#This Row],[No.]]</f>
        <v>351</v>
      </c>
      <c r="D352">
        <f>Siam_Chart[[#This Row],[Last]]</f>
        <v>1.84</v>
      </c>
      <c r="E352">
        <f>Siam_Chart[[#This Row],[Chg%]]</f>
        <v>0</v>
      </c>
      <c r="F352">
        <f>Siam_Chart[[#This Row],[Volume]]</f>
        <v>1188601</v>
      </c>
      <c r="G352">
        <f>Siam_Chart[[#This Row],[Value (k)]]</f>
        <v>2192892.86</v>
      </c>
      <c r="H352" cm="1">
        <f t="array" ref="H352:W352">Siam_Chart[[#This Row],[MCap (M)]:[CG]]</f>
        <v>8114828018.96</v>
      </c>
      <c r="I352">
        <v>8379441976.1000004</v>
      </c>
      <c r="J352">
        <v>0.37</v>
      </c>
      <c r="K352">
        <v>1.3424799999999999</v>
      </c>
      <c r="L352">
        <v>0.04</v>
      </c>
      <c r="M352">
        <v>0.1</v>
      </c>
      <c r="N352">
        <v>0.38813199999999998</v>
      </c>
      <c r="O352">
        <v>-2.2831399999999999</v>
      </c>
      <c r="P352">
        <v>5.5543690000000003</v>
      </c>
      <c r="Q352">
        <v>2.17</v>
      </c>
      <c r="R352" t="str">
        <v/>
      </c>
      <c r="S352" t="str">
        <v/>
      </c>
      <c r="T352">
        <v>0</v>
      </c>
      <c r="U352">
        <v>0</v>
      </c>
      <c r="V352">
        <v>0</v>
      </c>
      <c r="W352">
        <v>5</v>
      </c>
      <c r="X352" s="5">
        <f t="shared" si="13"/>
        <v>4.9729729729729728</v>
      </c>
      <c r="Y352" s="6">
        <f t="shared" si="14"/>
        <v>4410232619</v>
      </c>
    </row>
    <row r="353" spans="2:25" x14ac:dyDescent="0.25">
      <c r="B353" t="str">
        <f>Siam_Chart[[#This Row],[Name]]</f>
        <v>KTB</v>
      </c>
      <c r="C353">
        <f>Siam_Chart[[#This Row],[No.]]</f>
        <v>352</v>
      </c>
      <c r="D353">
        <f>Siam_Chart[[#This Row],[Last]]</f>
        <v>43.5</v>
      </c>
      <c r="E353">
        <f>Siam_Chart[[#This Row],[Chg%]]</f>
        <v>-1.1399999999999999</v>
      </c>
      <c r="F353">
        <f>Siam_Chart[[#This Row],[Volume]]</f>
        <v>57582043</v>
      </c>
      <c r="G353">
        <f>Siam_Chart[[#This Row],[Value (k)]]</f>
        <v>2519422337.5</v>
      </c>
      <c r="H353" cm="1">
        <f t="array" ref="H353:W353">Siam_Chart[[#This Row],[MCap (M)]:[CG]]</f>
        <v>607958664375</v>
      </c>
      <c r="I353">
        <v>12.17</v>
      </c>
      <c r="J353">
        <v>1.34</v>
      </c>
      <c r="K353">
        <v>7.1485370000000001</v>
      </c>
      <c r="L353">
        <v>2.2400000000000002</v>
      </c>
      <c r="M353">
        <v>1.76</v>
      </c>
      <c r="N353">
        <v>2.7429579999999998</v>
      </c>
      <c r="O353">
        <v>11.127613999999999</v>
      </c>
      <c r="P353">
        <v>30.532074000000001</v>
      </c>
      <c r="Q353">
        <v>6.14</v>
      </c>
      <c r="R353" t="str">
        <v/>
      </c>
      <c r="S353" t="str">
        <v/>
      </c>
      <c r="T353">
        <v>630</v>
      </c>
      <c r="U353">
        <v>1028</v>
      </c>
      <c r="V353">
        <v>0.54</v>
      </c>
      <c r="W353">
        <v>5</v>
      </c>
      <c r="X353" s="5">
        <f t="shared" si="13"/>
        <v>32.462686567164177</v>
      </c>
      <c r="Y353" s="6">
        <f t="shared" si="14"/>
        <v>13976061250</v>
      </c>
    </row>
    <row r="354" spans="2:25" x14ac:dyDescent="0.25">
      <c r="B354" t="str">
        <f>Siam_Chart[[#This Row],[Name]]</f>
        <v>KTC</v>
      </c>
      <c r="C354">
        <f>Siam_Chart[[#This Row],[No.]]</f>
        <v>353</v>
      </c>
      <c r="D354">
        <f>Siam_Chart[[#This Row],[Last]]</f>
        <v>37.5</v>
      </c>
      <c r="E354">
        <f>Siam_Chart[[#This Row],[Chg%]]</f>
        <v>-1.32</v>
      </c>
      <c r="F354">
        <f>Siam_Chart[[#This Row],[Volume]]</f>
        <v>16951062</v>
      </c>
      <c r="G354">
        <f>Siam_Chart[[#This Row],[Value (k)]]</f>
        <v>637746655.75</v>
      </c>
      <c r="H354" cm="1">
        <f t="array" ref="H354:W354">Siam_Chart[[#This Row],[MCap (M)]:[CG]]</f>
        <v>96687527625</v>
      </c>
      <c r="I354">
        <v>11.48</v>
      </c>
      <c r="J354">
        <v>2.2000000000000002</v>
      </c>
      <c r="K354">
        <v>1.430186</v>
      </c>
      <c r="L354">
        <v>1.77</v>
      </c>
      <c r="M354">
        <v>1.71</v>
      </c>
      <c r="N354">
        <v>11.902431999999999</v>
      </c>
      <c r="O354">
        <v>20.019535999999999</v>
      </c>
      <c r="P354">
        <v>32.433742000000002</v>
      </c>
      <c r="Q354">
        <v>4.72</v>
      </c>
      <c r="R354" t="str">
        <v/>
      </c>
      <c r="S354" t="str">
        <v/>
      </c>
      <c r="T354">
        <v>454</v>
      </c>
      <c r="U354">
        <v>622</v>
      </c>
      <c r="V354">
        <v>1.62</v>
      </c>
      <c r="W354">
        <v>5</v>
      </c>
      <c r="X354" s="5">
        <f t="shared" si="13"/>
        <v>17.045454545454543</v>
      </c>
      <c r="Y354" s="6">
        <f t="shared" si="14"/>
        <v>2578334070</v>
      </c>
    </row>
    <row r="355" spans="2:25" x14ac:dyDescent="0.25">
      <c r="B355" t="str">
        <f>Siam_Chart[[#This Row],[Name]]</f>
        <v>KTIS</v>
      </c>
      <c r="C355">
        <f>Siam_Chart[[#This Row],[No.]]</f>
        <v>354</v>
      </c>
      <c r="D355">
        <f>Siam_Chart[[#This Row],[Last]]</f>
        <v>1.96</v>
      </c>
      <c r="E355">
        <f>Siam_Chart[[#This Row],[Chg%]]</f>
        <v>0</v>
      </c>
      <c r="F355">
        <f>Siam_Chart[[#This Row],[Volume]]</f>
        <v>6701</v>
      </c>
      <c r="G355">
        <f>Siam_Chart[[#This Row],[Value (k)]]</f>
        <v>13133.97</v>
      </c>
      <c r="H355" cm="1">
        <f t="array" ref="H355:W355">Siam_Chart[[#This Row],[MCap (M)]:[CG]]</f>
        <v>7565600019.6000004</v>
      </c>
      <c r="I355">
        <v>7218200018.6999998</v>
      </c>
      <c r="J355">
        <v>1.53</v>
      </c>
      <c r="K355">
        <v>2.281917</v>
      </c>
      <c r="L355">
        <v>0.05</v>
      </c>
      <c r="M355">
        <v>-0.09</v>
      </c>
      <c r="N355">
        <v>-3.802988</v>
      </c>
      <c r="O355">
        <v>-14.204319999999999</v>
      </c>
      <c r="P355">
        <v>-2.9165359999999998</v>
      </c>
      <c r="Q355">
        <v>1.46</v>
      </c>
      <c r="R355" t="str">
        <v/>
      </c>
      <c r="S355" t="str">
        <v/>
      </c>
      <c r="T355">
        <v>0</v>
      </c>
      <c r="U355">
        <v>0</v>
      </c>
      <c r="V355">
        <v>0</v>
      </c>
      <c r="W355">
        <v>4</v>
      </c>
      <c r="X355" s="5">
        <f t="shared" si="13"/>
        <v>1.2810457516339868</v>
      </c>
      <c r="Y355" s="6">
        <f t="shared" si="14"/>
        <v>3860000010.0000005</v>
      </c>
    </row>
    <row r="356" spans="2:25" x14ac:dyDescent="0.25">
      <c r="B356" t="str">
        <f>Siam_Chart[[#This Row],[Name]]</f>
        <v>KTMS</v>
      </c>
      <c r="C356">
        <f>Siam_Chart[[#This Row],[No.]]</f>
        <v>355</v>
      </c>
      <c r="D356">
        <f>Siam_Chart[[#This Row],[Last]]</f>
        <v>1.35</v>
      </c>
      <c r="E356">
        <f>Siam_Chart[[#This Row],[Chg%]]</f>
        <v>-0.74</v>
      </c>
      <c r="F356">
        <f>Siam_Chart[[#This Row],[Volume]]</f>
        <v>778103</v>
      </c>
      <c r="G356">
        <f>Siam_Chart[[#This Row],[Value (k)]]</f>
        <v>1051943.02</v>
      </c>
      <c r="H356" cm="1">
        <f t="array" ref="H356:W356">Siam_Chart[[#This Row],[MCap (M)]:[CG]]</f>
        <v>405000000</v>
      </c>
      <c r="I356">
        <v>11.21</v>
      </c>
      <c r="J356">
        <v>0.74</v>
      </c>
      <c r="K356">
        <v>0.57347700000000001</v>
      </c>
      <c r="L356">
        <v>1.2999999999999999E-2</v>
      </c>
      <c r="M356">
        <v>0.04</v>
      </c>
      <c r="N356">
        <v>6.4350040000000002</v>
      </c>
      <c r="O356">
        <v>6.7755530000000004</v>
      </c>
      <c r="P356">
        <v>3.6860780000000002</v>
      </c>
      <c r="Q356">
        <v>0.96</v>
      </c>
      <c r="R356" t="str">
        <v/>
      </c>
      <c r="S356" t="str">
        <v/>
      </c>
      <c r="T356">
        <v>652</v>
      </c>
      <c r="U356">
        <v>553</v>
      </c>
      <c r="V356">
        <v>0.23</v>
      </c>
      <c r="W356">
        <v>4</v>
      </c>
      <c r="X356" s="5">
        <f t="shared" si="13"/>
        <v>1.8243243243243246</v>
      </c>
      <c r="Y356" s="6">
        <f t="shared" si="14"/>
        <v>300000000</v>
      </c>
    </row>
    <row r="357" spans="2:25" x14ac:dyDescent="0.25">
      <c r="B357" t="str">
        <f>Siam_Chart[[#This Row],[Name]]</f>
        <v>KUMWEL</v>
      </c>
      <c r="C357">
        <f>Siam_Chart[[#This Row],[No.]]</f>
        <v>356</v>
      </c>
      <c r="D357">
        <f>Siam_Chart[[#This Row],[Last]]</f>
        <v>2.12</v>
      </c>
      <c r="E357">
        <f>Siam_Chart[[#This Row],[Chg%]]</f>
        <v>-2.75</v>
      </c>
      <c r="F357">
        <f>Siam_Chart[[#This Row],[Volume]]</f>
        <v>287401</v>
      </c>
      <c r="G357">
        <f>Siam_Chart[[#This Row],[Value (k)]]</f>
        <v>620844.16</v>
      </c>
      <c r="H357" cm="1">
        <f t="array" ref="H357:W357">Siam_Chart[[#This Row],[MCap (M)]:[CG]]</f>
        <v>911600000</v>
      </c>
      <c r="I357">
        <v>9.2100000000000009</v>
      </c>
      <c r="J357">
        <v>1.39</v>
      </c>
      <c r="K357">
        <v>0.62730600000000003</v>
      </c>
      <c r="L357">
        <v>0.06</v>
      </c>
      <c r="M357">
        <v>0.15</v>
      </c>
      <c r="N357">
        <v>14.057159</v>
      </c>
      <c r="O357">
        <v>15.950421</v>
      </c>
      <c r="P357">
        <v>12.325920999999999</v>
      </c>
      <c r="Q357">
        <v>2.83</v>
      </c>
      <c r="R357" t="str">
        <v/>
      </c>
      <c r="S357" t="str">
        <v/>
      </c>
      <c r="T357">
        <v>582</v>
      </c>
      <c r="U357">
        <v>510</v>
      </c>
      <c r="V357">
        <v>2.06</v>
      </c>
      <c r="W357">
        <v>5</v>
      </c>
      <c r="X357" s="5">
        <f t="shared" si="13"/>
        <v>1.5251798561151082</v>
      </c>
      <c r="Y357" s="6">
        <f t="shared" si="14"/>
        <v>430000000</v>
      </c>
    </row>
    <row r="358" spans="2:25" x14ac:dyDescent="0.25">
      <c r="B358" t="str">
        <f>Siam_Chart[[#This Row],[Name]]</f>
        <v>KUN</v>
      </c>
      <c r="C358">
        <f>Siam_Chart[[#This Row],[No.]]</f>
        <v>357</v>
      </c>
      <c r="D358">
        <f>Siam_Chart[[#This Row],[Last]]</f>
        <v>0.54</v>
      </c>
      <c r="E358">
        <f>Siam_Chart[[#This Row],[Chg%]]</f>
        <v>-1.82</v>
      </c>
      <c r="F358">
        <f>Siam_Chart[[#This Row],[Volume]]</f>
        <v>68010</v>
      </c>
      <c r="G358">
        <f>Siam_Chart[[#This Row],[Value (k)]]</f>
        <v>37101.599999999999</v>
      </c>
      <c r="H358" cm="1">
        <f t="array" ref="H358:W358">Siam_Chart[[#This Row],[MCap (M)]:[CG]]</f>
        <v>442467507.42000002</v>
      </c>
      <c r="I358">
        <v>570.1</v>
      </c>
      <c r="J358">
        <v>0.51</v>
      </c>
      <c r="K358">
        <v>2.2398189999999998</v>
      </c>
      <c r="L358">
        <v>0.01</v>
      </c>
      <c r="M358">
        <v>0.01</v>
      </c>
      <c r="N358">
        <v>0.510239</v>
      </c>
      <c r="O358">
        <v>8.9954000000000006E-2</v>
      </c>
      <c r="P358">
        <v>3.8863560000000001</v>
      </c>
      <c r="Q358">
        <v>0.51</v>
      </c>
      <c r="R358" t="str">
        <v/>
      </c>
      <c r="S358" t="str">
        <v/>
      </c>
      <c r="T358">
        <v>1372</v>
      </c>
      <c r="U358">
        <v>1389</v>
      </c>
      <c r="V358">
        <v>-11.29</v>
      </c>
      <c r="W358">
        <v>4</v>
      </c>
      <c r="X358" s="5">
        <f t="shared" si="13"/>
        <v>1.0588235294117647</v>
      </c>
      <c r="Y358" s="6">
        <f t="shared" si="14"/>
        <v>819384273</v>
      </c>
    </row>
    <row r="359" spans="2:25" x14ac:dyDescent="0.25">
      <c r="B359" t="str">
        <f>Siam_Chart[[#This Row],[Name]]</f>
        <v>KWC</v>
      </c>
      <c r="C359">
        <f>Siam_Chart[[#This Row],[No.]]</f>
        <v>358</v>
      </c>
      <c r="D359">
        <f>Siam_Chart[[#This Row],[Last]]</f>
        <v>280</v>
      </c>
      <c r="E359">
        <f>Siam_Chart[[#This Row],[Chg%]]</f>
        <v>0</v>
      </c>
      <c r="F359">
        <f>Siam_Chart[[#This Row],[Volume]]</f>
        <v>101</v>
      </c>
      <c r="G359">
        <f>Siam_Chart[[#This Row],[Value (k)]]</f>
        <v>28289</v>
      </c>
      <c r="H359" cm="1">
        <f t="array" ref="H359:W359">Siam_Chart[[#This Row],[MCap (M)]:[CG]]</f>
        <v>1680000000</v>
      </c>
      <c r="I359">
        <v>16.95</v>
      </c>
      <c r="J359">
        <v>2.02</v>
      </c>
      <c r="K359">
        <v>0.17442299999999999</v>
      </c>
      <c r="L359">
        <v>11.5</v>
      </c>
      <c r="M359">
        <v>8.18</v>
      </c>
      <c r="N359">
        <v>13.049336</v>
      </c>
      <c r="O359">
        <v>12.13593</v>
      </c>
      <c r="P359">
        <v>25.566977000000001</v>
      </c>
      <c r="Q359">
        <v>4.1100000000000003</v>
      </c>
      <c r="R359" t="str">
        <v/>
      </c>
      <c r="S359" t="str">
        <v/>
      </c>
      <c r="T359">
        <v>712</v>
      </c>
      <c r="U359">
        <v>602</v>
      </c>
      <c r="V359">
        <v>4.9400000000000004</v>
      </c>
      <c r="W359">
        <v>3</v>
      </c>
      <c r="X359" s="5">
        <f t="shared" si="13"/>
        <v>138.61386138613861</v>
      </c>
      <c r="Y359" s="6">
        <f t="shared" si="14"/>
        <v>6000000</v>
      </c>
    </row>
    <row r="360" spans="2:25" x14ac:dyDescent="0.25">
      <c r="B360" t="str">
        <f>Siam_Chart[[#This Row],[Name]]</f>
        <v>KWI</v>
      </c>
      <c r="C360">
        <f>Siam_Chart[[#This Row],[No.]]</f>
        <v>359</v>
      </c>
      <c r="D360">
        <f>Siam_Chart[[#This Row],[Last]]</f>
        <v>2024</v>
      </c>
      <c r="E360">
        <f>Siam_Chart[[#This Row],[Chg%]]</f>
        <v>0</v>
      </c>
      <c r="F360">
        <f>Siam_Chart[[#This Row],[Volume]]</f>
        <v>0</v>
      </c>
      <c r="G360">
        <f>Siam_Chart[[#This Row],[Value (k)]]</f>
        <v>0</v>
      </c>
      <c r="H360" cm="1">
        <f t="array" ref="H360:W360">Siam_Chart[[#This Row],[MCap (M)]:[CG]]</f>
        <v>145</v>
      </c>
      <c r="I360">
        <v>0</v>
      </c>
      <c r="J360">
        <v>9.298754885415633</v>
      </c>
      <c r="K360">
        <v>9.2987549999999999</v>
      </c>
      <c r="L360">
        <v>-0.35</v>
      </c>
      <c r="M360">
        <v>-0.35</v>
      </c>
      <c r="N360">
        <v>-6.0622309999999997</v>
      </c>
      <c r="O360">
        <v>-94.867739999999998</v>
      </c>
      <c r="P360">
        <v>-35.275176000000002</v>
      </c>
      <c r="Q360">
        <v>0</v>
      </c>
      <c r="R360" t="str">
        <v/>
      </c>
      <c r="S360" t="str">
        <v/>
      </c>
      <c r="T360">
        <v>0</v>
      </c>
      <c r="U360">
        <v>0</v>
      </c>
      <c r="V360">
        <v>0</v>
      </c>
      <c r="W360">
        <v>0</v>
      </c>
      <c r="X360" s="5">
        <f t="shared" si="13"/>
        <v>217.66355011405722</v>
      </c>
      <c r="Y360" s="6">
        <f t="shared" si="14"/>
        <v>7.16403162055336E-2</v>
      </c>
    </row>
    <row r="361" spans="2:25" x14ac:dyDescent="0.25">
      <c r="B361" t="str">
        <f>Siam_Chart[[#This Row],[Name]]</f>
        <v>KWM</v>
      </c>
      <c r="C361">
        <f>Siam_Chart[[#This Row],[No.]]</f>
        <v>360</v>
      </c>
      <c r="D361">
        <f>Siam_Chart[[#This Row],[Last]]</f>
        <v>0.9</v>
      </c>
      <c r="E361">
        <f>Siam_Chart[[#This Row],[Chg%]]</f>
        <v>-3.23</v>
      </c>
      <c r="F361">
        <f>Siam_Chart[[#This Row],[Volume]]</f>
        <v>342000</v>
      </c>
      <c r="G361">
        <f>Siam_Chart[[#This Row],[Value (k)]]</f>
        <v>312491</v>
      </c>
      <c r="H361" cm="1">
        <f t="array" ref="H361:W361">Siam_Chart[[#This Row],[MCap (M)]:[CG]]</f>
        <v>439690943.69999999</v>
      </c>
      <c r="I361">
        <v>32.79</v>
      </c>
      <c r="J361">
        <v>0.84</v>
      </c>
      <c r="K361">
        <v>0.17391400000000001</v>
      </c>
      <c r="L361">
        <v>3.0700000000000002E-2</v>
      </c>
      <c r="M361">
        <v>0.01</v>
      </c>
      <c r="N361">
        <v>2.1665760000000001</v>
      </c>
      <c r="O361">
        <v>2.5735100000000002</v>
      </c>
      <c r="P361">
        <v>3.3719579999999998</v>
      </c>
      <c r="Q361">
        <v>3.41</v>
      </c>
      <c r="R361" t="str">
        <v/>
      </c>
      <c r="S361" t="str">
        <v/>
      </c>
      <c r="T361">
        <v>1028</v>
      </c>
      <c r="U361">
        <v>1013</v>
      </c>
      <c r="V361">
        <v>7.72</v>
      </c>
      <c r="W361">
        <v>3</v>
      </c>
      <c r="X361" s="5">
        <f t="shared" si="13"/>
        <v>1.0714285714285714</v>
      </c>
      <c r="Y361" s="6">
        <f t="shared" si="14"/>
        <v>488545493</v>
      </c>
    </row>
    <row r="362" spans="2:25" x14ac:dyDescent="0.25">
      <c r="B362" t="str">
        <f>Siam_Chart[[#This Row],[Name]]</f>
        <v>KYE</v>
      </c>
      <c r="C362">
        <f>Siam_Chart[[#This Row],[No.]]</f>
        <v>361</v>
      </c>
      <c r="D362">
        <f>Siam_Chart[[#This Row],[Last]]</f>
        <v>283</v>
      </c>
      <c r="E362">
        <f>Siam_Chart[[#This Row],[Chg%]]</f>
        <v>-1.05</v>
      </c>
      <c r="F362">
        <f>Siam_Chart[[#This Row],[Volume]]</f>
        <v>2608</v>
      </c>
      <c r="G362">
        <f>Siam_Chart[[#This Row],[Value (k)]]</f>
        <v>742188</v>
      </c>
      <c r="H362" cm="1">
        <f t="array" ref="H362:W362">Siam_Chart[[#This Row],[MCap (M)]:[CG]]</f>
        <v>5603400000</v>
      </c>
      <c r="I362">
        <v>9.7799999999999994</v>
      </c>
      <c r="J362">
        <v>0.61</v>
      </c>
      <c r="K362">
        <v>0.162166</v>
      </c>
      <c r="L362">
        <v>16</v>
      </c>
      <c r="M362">
        <v>-2.4900000000000002</v>
      </c>
      <c r="N362">
        <v>5.2752590000000001</v>
      </c>
      <c r="O362">
        <v>5.9231980000000002</v>
      </c>
      <c r="P362">
        <v>-3.8797570000000001</v>
      </c>
      <c r="Q362">
        <v>5.65</v>
      </c>
      <c r="R362" t="str">
        <v/>
      </c>
      <c r="S362" t="str">
        <v/>
      </c>
      <c r="T362">
        <v>719</v>
      </c>
      <c r="U362">
        <v>658</v>
      </c>
      <c r="V362">
        <v>0.17</v>
      </c>
      <c r="W362">
        <v>0</v>
      </c>
      <c r="X362" s="5">
        <f t="shared" si="13"/>
        <v>463.93442622950823</v>
      </c>
      <c r="Y362" s="6">
        <f t="shared" si="14"/>
        <v>19800000</v>
      </c>
    </row>
    <row r="363" spans="2:25" x14ac:dyDescent="0.25">
      <c r="B363" t="str">
        <f>Siam_Chart[[#This Row],[Name]]</f>
        <v>L&amp;E</v>
      </c>
      <c r="C363">
        <f>Siam_Chart[[#This Row],[No.]]</f>
        <v>362</v>
      </c>
      <c r="D363">
        <f>Siam_Chart[[#This Row],[Last]]</f>
        <v>1.1000000000000001</v>
      </c>
      <c r="E363">
        <f>Siam_Chart[[#This Row],[Chg%]]</f>
        <v>-5.98</v>
      </c>
      <c r="F363">
        <f>Siam_Chart[[#This Row],[Volume]]</f>
        <v>88015</v>
      </c>
      <c r="G363">
        <f>Siam_Chart[[#This Row],[Value (k)]]</f>
        <v>95686.9</v>
      </c>
      <c r="H363" cm="1">
        <f t="array" ref="H363:W363">Siam_Chart[[#This Row],[MCap (M)]:[CG]]</f>
        <v>541244081.39999998</v>
      </c>
      <c r="I363">
        <v>570766485.84000003</v>
      </c>
      <c r="J363">
        <v>0.54</v>
      </c>
      <c r="K363">
        <v>1.798136</v>
      </c>
      <c r="L363">
        <v>0.04</v>
      </c>
      <c r="M363">
        <v>-0.09</v>
      </c>
      <c r="N363">
        <v>2.2847770000000001</v>
      </c>
      <c r="O363">
        <v>-0.22220999999999999</v>
      </c>
      <c r="P363">
        <v>-4.1211880000000001</v>
      </c>
      <c r="Q363">
        <v>3.64</v>
      </c>
      <c r="R363" t="str">
        <v/>
      </c>
      <c r="S363" t="str">
        <v/>
      </c>
      <c r="T363">
        <v>0</v>
      </c>
      <c r="U363">
        <v>0</v>
      </c>
      <c r="V363">
        <v>0</v>
      </c>
      <c r="W363">
        <v>3</v>
      </c>
      <c r="X363" s="5">
        <f t="shared" si="13"/>
        <v>2.0370370370370372</v>
      </c>
      <c r="Y363" s="6">
        <f t="shared" si="14"/>
        <v>492040073.99999994</v>
      </c>
    </row>
    <row r="364" spans="2:25" x14ac:dyDescent="0.25">
      <c r="B364" t="str">
        <f>Siam_Chart[[#This Row],[Name]]</f>
        <v>LALIN</v>
      </c>
      <c r="C364">
        <f>Siam_Chart[[#This Row],[No.]]</f>
        <v>363</v>
      </c>
      <c r="D364">
        <f>Siam_Chart[[#This Row],[Last]]</f>
        <v>4.4800000000000004</v>
      </c>
      <c r="E364">
        <f>Siam_Chart[[#This Row],[Chg%]]</f>
        <v>0.9</v>
      </c>
      <c r="F364">
        <f>Siam_Chart[[#This Row],[Volume]]</f>
        <v>93036</v>
      </c>
      <c r="G364">
        <f>Siam_Chart[[#This Row],[Value (k)]]</f>
        <v>415370.4</v>
      </c>
      <c r="H364" cm="1">
        <f t="array" ref="H364:W364">Siam_Chart[[#This Row],[MCap (M)]:[CG]]</f>
        <v>4143997495.6799998</v>
      </c>
      <c r="I364">
        <v>10.1</v>
      </c>
      <c r="J364">
        <v>0.43</v>
      </c>
      <c r="K364">
        <v>0.825824</v>
      </c>
      <c r="L364">
        <v>0.16</v>
      </c>
      <c r="M364">
        <v>0.18</v>
      </c>
      <c r="N364">
        <v>3.1038600000000001</v>
      </c>
      <c r="O364">
        <v>4.2919770000000002</v>
      </c>
      <c r="P364">
        <v>13.383091</v>
      </c>
      <c r="Q364">
        <v>6.7</v>
      </c>
      <c r="R364" t="str">
        <v/>
      </c>
      <c r="S364" t="str">
        <v/>
      </c>
      <c r="T364">
        <v>721</v>
      </c>
      <c r="U364">
        <v>739</v>
      </c>
      <c r="V364">
        <v>-0.39</v>
      </c>
      <c r="W364">
        <v>4</v>
      </c>
      <c r="X364" s="5">
        <f t="shared" si="13"/>
        <v>10.418604651162791</v>
      </c>
      <c r="Y364" s="6">
        <f t="shared" si="14"/>
        <v>924999440.99999988</v>
      </c>
    </row>
    <row r="365" spans="2:25" x14ac:dyDescent="0.25">
      <c r="B365" t="str">
        <f>Siam_Chart[[#This Row],[Name]]</f>
        <v>LANNA</v>
      </c>
      <c r="C365">
        <f>Siam_Chart[[#This Row],[No.]]</f>
        <v>364</v>
      </c>
      <c r="D365">
        <f>Siam_Chart[[#This Row],[Last]]</f>
        <v>15.3</v>
      </c>
      <c r="E365">
        <f>Siam_Chart[[#This Row],[Chg%]]</f>
        <v>0</v>
      </c>
      <c r="F365">
        <f>Siam_Chart[[#This Row],[Volume]]</f>
        <v>824989</v>
      </c>
      <c r="G365">
        <f>Siam_Chart[[#This Row],[Value (k)]]</f>
        <v>12627719.300000001</v>
      </c>
      <c r="H365" cm="1">
        <f t="array" ref="H365:W365">Siam_Chart[[#This Row],[MCap (M)]:[CG]]</f>
        <v>8032495088.6999998</v>
      </c>
      <c r="I365">
        <v>9.4</v>
      </c>
      <c r="J365">
        <v>0.94</v>
      </c>
      <c r="K365">
        <v>0.374114</v>
      </c>
      <c r="L365">
        <v>0.5</v>
      </c>
      <c r="M365">
        <v>1.0900000000000001</v>
      </c>
      <c r="N365">
        <v>13.642863</v>
      </c>
      <c r="O365">
        <v>10.204110999999999</v>
      </c>
      <c r="P365">
        <v>11.928952000000001</v>
      </c>
      <c r="Q365">
        <v>6.54</v>
      </c>
      <c r="R365" t="str">
        <v/>
      </c>
      <c r="S365" t="str">
        <v/>
      </c>
      <c r="T365">
        <v>479</v>
      </c>
      <c r="U365">
        <v>294</v>
      </c>
      <c r="V365">
        <v>-1.86</v>
      </c>
      <c r="W365">
        <v>4</v>
      </c>
      <c r="X365" s="5">
        <f t="shared" si="13"/>
        <v>16.276595744680854</v>
      </c>
      <c r="Y365" s="6">
        <f t="shared" si="14"/>
        <v>524999678.99999994</v>
      </c>
    </row>
    <row r="366" spans="2:25" x14ac:dyDescent="0.25">
      <c r="B366" t="str">
        <f>Siam_Chart[[#This Row],[Name]]</f>
        <v>LDC</v>
      </c>
      <c r="C366">
        <f>Siam_Chart[[#This Row],[No.]]</f>
        <v>365</v>
      </c>
      <c r="D366">
        <f>Siam_Chart[[#This Row],[Last]]</f>
        <v>0.24</v>
      </c>
      <c r="E366">
        <f>Siam_Chart[[#This Row],[Chg%]]</f>
        <v>0</v>
      </c>
      <c r="F366">
        <f>Siam_Chart[[#This Row],[Volume]]</f>
        <v>71318</v>
      </c>
      <c r="G366">
        <f>Siam_Chart[[#This Row],[Value (k)]]</f>
        <v>16414.12</v>
      </c>
      <c r="H366" cm="1">
        <f t="array" ref="H366:W366">Siam_Chart[[#This Row],[MCap (M)]:[CG]]</f>
        <v>144000000</v>
      </c>
      <c r="I366">
        <v>144000000</v>
      </c>
      <c r="J366">
        <v>0.64</v>
      </c>
      <c r="K366">
        <v>1.1798059999999999</v>
      </c>
      <c r="L366">
        <v>1.0999999999999999E-2</v>
      </c>
      <c r="M366">
        <v>-0.01</v>
      </c>
      <c r="N366">
        <v>3.3019E-2</v>
      </c>
      <c r="O366">
        <v>-7.9424159999999997</v>
      </c>
      <c r="P366">
        <v>-3.5682010000000002</v>
      </c>
      <c r="Q366">
        <v>0.64</v>
      </c>
      <c r="R366" t="str">
        <v/>
      </c>
      <c r="S366" t="str">
        <v/>
      </c>
      <c r="T366">
        <v>0</v>
      </c>
      <c r="U366">
        <v>0</v>
      </c>
      <c r="V366">
        <v>0</v>
      </c>
      <c r="W366">
        <v>3</v>
      </c>
      <c r="X366" s="5">
        <f t="shared" si="13"/>
        <v>0.375</v>
      </c>
      <c r="Y366" s="6">
        <f t="shared" si="14"/>
        <v>600000000</v>
      </c>
    </row>
    <row r="367" spans="2:25" x14ac:dyDescent="0.25">
      <c r="B367" t="str">
        <f>Siam_Chart[[#This Row],[Name]]</f>
        <v>LEE</v>
      </c>
      <c r="C367">
        <f>Siam_Chart[[#This Row],[No.]]</f>
        <v>366</v>
      </c>
      <c r="D367">
        <f>Siam_Chart[[#This Row],[Last]]</f>
        <v>2.46</v>
      </c>
      <c r="E367">
        <f>Siam_Chart[[#This Row],[Chg%]]</f>
        <v>-0.81</v>
      </c>
      <c r="F367">
        <f>Siam_Chart[[#This Row],[Volume]]</f>
        <v>20410</v>
      </c>
      <c r="G367">
        <f>Siam_Chart[[#This Row],[Value (k)]]</f>
        <v>50577</v>
      </c>
      <c r="H367" cm="1">
        <f t="array" ref="H367:W367">Siam_Chart[[#This Row],[MCap (M)]:[CG]]</f>
        <v>2268563417.46</v>
      </c>
      <c r="I367">
        <v>10.99</v>
      </c>
      <c r="J367">
        <v>0.79</v>
      </c>
      <c r="K367">
        <v>0.12642600000000001</v>
      </c>
      <c r="L367">
        <v>0.2</v>
      </c>
      <c r="M367">
        <v>0.08</v>
      </c>
      <c r="N367">
        <v>7.3962709999999996</v>
      </c>
      <c r="O367">
        <v>7.1909530000000004</v>
      </c>
      <c r="P367">
        <v>5.3776609999999998</v>
      </c>
      <c r="Q367">
        <v>8.1300000000000008</v>
      </c>
      <c r="R367" t="str">
        <v/>
      </c>
      <c r="S367" t="str">
        <v/>
      </c>
      <c r="T367">
        <v>723</v>
      </c>
      <c r="U367">
        <v>592</v>
      </c>
      <c r="V367">
        <v>0.18</v>
      </c>
      <c r="W367">
        <v>3</v>
      </c>
      <c r="X367" s="5">
        <f t="shared" si="13"/>
        <v>3.1139240506329111</v>
      </c>
      <c r="Y367" s="6">
        <f t="shared" si="14"/>
        <v>922180251</v>
      </c>
    </row>
    <row r="368" spans="2:25" x14ac:dyDescent="0.25">
      <c r="B368" t="str">
        <f>Siam_Chart[[#This Row],[Name]]</f>
        <v>LEO</v>
      </c>
      <c r="C368">
        <f>Siam_Chart[[#This Row],[No.]]</f>
        <v>367</v>
      </c>
      <c r="D368">
        <f>Siam_Chart[[#This Row],[Last]]</f>
        <v>1.93</v>
      </c>
      <c r="E368">
        <f>Siam_Chart[[#This Row],[Chg%]]</f>
        <v>0.52</v>
      </c>
      <c r="F368">
        <f>Siam_Chart[[#This Row],[Volume]]</f>
        <v>37703</v>
      </c>
      <c r="G368">
        <f>Siam_Chart[[#This Row],[Value (k)]]</f>
        <v>72697.8</v>
      </c>
      <c r="H368" cm="1">
        <f t="array" ref="H368:W368">Siam_Chart[[#This Row],[MCap (M)]:[CG]]</f>
        <v>608070046</v>
      </c>
      <c r="I368">
        <v>64.89</v>
      </c>
      <c r="J368">
        <v>0.7</v>
      </c>
      <c r="K368">
        <v>1.3985570000000001</v>
      </c>
      <c r="L368">
        <v>0.06</v>
      </c>
      <c r="M368">
        <v>0.05</v>
      </c>
      <c r="N368">
        <v>1.8598440000000001</v>
      </c>
      <c r="O368">
        <v>1.07958</v>
      </c>
      <c r="P368">
        <v>1.319874</v>
      </c>
      <c r="Q368">
        <v>3.11</v>
      </c>
      <c r="R368" t="str">
        <v/>
      </c>
      <c r="S368" t="str">
        <v/>
      </c>
      <c r="T368">
        <v>1336</v>
      </c>
      <c r="U368">
        <v>1305</v>
      </c>
      <c r="V368">
        <v>-2.17</v>
      </c>
      <c r="W368">
        <v>4</v>
      </c>
      <c r="X368" s="5">
        <f t="shared" si="13"/>
        <v>2.7571428571428571</v>
      </c>
      <c r="Y368" s="6">
        <f t="shared" si="14"/>
        <v>315062200</v>
      </c>
    </row>
    <row r="369" spans="2:25" x14ac:dyDescent="0.25">
      <c r="B369" t="str">
        <f>Siam_Chart[[#This Row],[Name]]</f>
        <v>LH</v>
      </c>
      <c r="C369">
        <f>Siam_Chart[[#This Row],[No.]]</f>
        <v>368</v>
      </c>
      <c r="D369">
        <f>Siam_Chart[[#This Row],[Last]]</f>
        <v>3.68</v>
      </c>
      <c r="E369">
        <f>Siam_Chart[[#This Row],[Chg%]]</f>
        <v>0.55000000000000004</v>
      </c>
      <c r="F369">
        <f>Siam_Chart[[#This Row],[Volume]]</f>
        <v>9515162</v>
      </c>
      <c r="G369">
        <f>Siam_Chart[[#This Row],[Value (k)]]</f>
        <v>34922684.920000002</v>
      </c>
      <c r="H369" cm="1">
        <f t="array" ref="H369:W369">Siam_Chart[[#This Row],[MCap (M)]:[CG]]</f>
        <v>43974944487.68</v>
      </c>
      <c r="I369">
        <v>16.14</v>
      </c>
      <c r="J369">
        <v>0.85</v>
      </c>
      <c r="K369">
        <v>1.7046650000000001</v>
      </c>
      <c r="L369">
        <v>0.12</v>
      </c>
      <c r="M369">
        <v>0.1</v>
      </c>
      <c r="N369">
        <v>3.3656600000000001</v>
      </c>
      <c r="O369">
        <v>5.2749940000000004</v>
      </c>
      <c r="P369">
        <v>13.112962</v>
      </c>
      <c r="Q369">
        <v>6.79</v>
      </c>
      <c r="R369" t="str">
        <v/>
      </c>
      <c r="S369" t="str">
        <v/>
      </c>
      <c r="T369">
        <v>781</v>
      </c>
      <c r="U369">
        <v>866</v>
      </c>
      <c r="V369">
        <v>-1.03</v>
      </c>
      <c r="W369">
        <v>5</v>
      </c>
      <c r="X369" s="5">
        <f t="shared" si="13"/>
        <v>4.329411764705883</v>
      </c>
      <c r="Y369" s="6">
        <f t="shared" si="14"/>
        <v>11949713176</v>
      </c>
    </row>
    <row r="370" spans="2:25" x14ac:dyDescent="0.25">
      <c r="B370" t="str">
        <f>Siam_Chart[[#This Row],[Name]]</f>
        <v>LHFG</v>
      </c>
      <c r="C370">
        <f>Siam_Chart[[#This Row],[No.]]</f>
        <v>369</v>
      </c>
      <c r="D370">
        <f>Siam_Chart[[#This Row],[Last]]</f>
        <v>1.26</v>
      </c>
      <c r="E370">
        <f>Siam_Chart[[#This Row],[Chg%]]</f>
        <v>0</v>
      </c>
      <c r="F370">
        <f>Siam_Chart[[#This Row],[Volume]]</f>
        <v>2273908</v>
      </c>
      <c r="G370">
        <f>Siam_Chart[[#This Row],[Value (k)]]</f>
        <v>2841779.83</v>
      </c>
      <c r="H370" cm="1">
        <f t="array" ref="H370:W370">Siam_Chart[[#This Row],[MCap (M)]:[CG]]</f>
        <v>26691412348.439999</v>
      </c>
      <c r="I370">
        <v>8.08</v>
      </c>
      <c r="J370">
        <v>0.63</v>
      </c>
      <c r="K370">
        <v>9.0860620000000001</v>
      </c>
      <c r="L370">
        <v>0.05</v>
      </c>
      <c r="M370">
        <v>7.0000000000000007E-2</v>
      </c>
      <c r="N370">
        <v>2.6014900000000001</v>
      </c>
      <c r="O370">
        <v>8.0304339999999996</v>
      </c>
      <c r="P370">
        <v>19.631267999999999</v>
      </c>
      <c r="Q370">
        <v>4.76</v>
      </c>
      <c r="R370" t="str">
        <v/>
      </c>
      <c r="S370" t="str">
        <v/>
      </c>
      <c r="T370">
        <v>543</v>
      </c>
      <c r="U370">
        <v>858</v>
      </c>
      <c r="V370">
        <v>0.4</v>
      </c>
      <c r="W370">
        <v>5</v>
      </c>
      <c r="X370" s="5">
        <f t="shared" si="13"/>
        <v>2</v>
      </c>
      <c r="Y370" s="6">
        <f t="shared" si="14"/>
        <v>21183660594</v>
      </c>
    </row>
    <row r="371" spans="2:25" x14ac:dyDescent="0.25">
      <c r="B371" t="str">
        <f>Siam_Chart[[#This Row],[Name]]</f>
        <v>LHK</v>
      </c>
      <c r="C371">
        <f>Siam_Chart[[#This Row],[No.]]</f>
        <v>370</v>
      </c>
      <c r="D371">
        <f>Siam_Chart[[#This Row],[Last]]</f>
        <v>3.58</v>
      </c>
      <c r="E371">
        <f>Siam_Chart[[#This Row],[Chg%]]</f>
        <v>0</v>
      </c>
      <c r="F371">
        <f>Siam_Chart[[#This Row],[Volume]]</f>
        <v>88100</v>
      </c>
      <c r="G371">
        <f>Siam_Chart[[#This Row],[Value (k)]]</f>
        <v>313984</v>
      </c>
      <c r="H371" cm="1">
        <f t="array" ref="H371:W371">Siam_Chart[[#This Row],[MCap (M)]:[CG]]</f>
        <v>1371140000</v>
      </c>
      <c r="I371">
        <v>10.45</v>
      </c>
      <c r="J371">
        <v>0.96</v>
      </c>
      <c r="K371">
        <v>0.436502</v>
      </c>
      <c r="L371">
        <v>0.14000000000000001</v>
      </c>
      <c r="M371">
        <v>0.11</v>
      </c>
      <c r="N371">
        <v>10.413463999999999</v>
      </c>
      <c r="O371">
        <v>9.2641100000000005</v>
      </c>
      <c r="P371">
        <v>6.8731140000000002</v>
      </c>
      <c r="Q371">
        <v>7.26</v>
      </c>
      <c r="R371" t="str">
        <v/>
      </c>
      <c r="S371" t="str">
        <v/>
      </c>
      <c r="T371">
        <v>644</v>
      </c>
      <c r="U371">
        <v>484</v>
      </c>
      <c r="V371">
        <v>0.68</v>
      </c>
      <c r="W371">
        <v>4</v>
      </c>
      <c r="X371" s="5">
        <f t="shared" si="13"/>
        <v>3.729166666666667</v>
      </c>
      <c r="Y371" s="6">
        <f t="shared" si="14"/>
        <v>383000000</v>
      </c>
    </row>
    <row r="372" spans="2:25" x14ac:dyDescent="0.25">
      <c r="B372" t="str">
        <f>Siam_Chart[[#This Row],[Name]]</f>
        <v>LIT</v>
      </c>
      <c r="C372">
        <f>Siam_Chart[[#This Row],[No.]]</f>
        <v>371</v>
      </c>
      <c r="D372">
        <f>Siam_Chart[[#This Row],[Last]]</f>
        <v>0.74</v>
      </c>
      <c r="E372">
        <f>Siam_Chart[[#This Row],[Chg%]]</f>
        <v>-1.33</v>
      </c>
      <c r="F372">
        <f>Siam_Chart[[#This Row],[Volume]]</f>
        <v>251700</v>
      </c>
      <c r="G372">
        <f>Siam_Chart[[#This Row],[Value (k)]]</f>
        <v>187526</v>
      </c>
      <c r="H372" cm="1">
        <f t="array" ref="H372:W372">Siam_Chart[[#This Row],[MCap (M)]:[CG]]</f>
        <v>327769130.92000002</v>
      </c>
      <c r="I372">
        <v>42.2</v>
      </c>
      <c r="J372">
        <v>0.59</v>
      </c>
      <c r="K372">
        <v>1.0127170000000001</v>
      </c>
      <c r="L372">
        <v>0.18</v>
      </c>
      <c r="M372">
        <v>0.01</v>
      </c>
      <c r="N372">
        <v>4.6128770000000001</v>
      </c>
      <c r="O372">
        <v>1.407009</v>
      </c>
      <c r="P372">
        <v>3.0394619999999999</v>
      </c>
      <c r="Q372">
        <v>0.57999999999999996</v>
      </c>
      <c r="R372" t="str">
        <v/>
      </c>
      <c r="S372" t="str">
        <v/>
      </c>
      <c r="T372">
        <v>1282</v>
      </c>
      <c r="U372">
        <v>1338</v>
      </c>
      <c r="V372">
        <v>0.86</v>
      </c>
      <c r="W372">
        <v>5</v>
      </c>
      <c r="X372" s="5">
        <f t="shared" si="13"/>
        <v>1.2542372881355932</v>
      </c>
      <c r="Y372" s="6">
        <f t="shared" si="14"/>
        <v>442931258</v>
      </c>
    </row>
    <row r="373" spans="2:25" x14ac:dyDescent="0.25">
      <c r="B373" t="str">
        <f>Siam_Chart[[#This Row],[Name]]</f>
        <v>LOXLEY</v>
      </c>
      <c r="C373">
        <f>Siam_Chart[[#This Row],[No.]]</f>
        <v>372</v>
      </c>
      <c r="D373">
        <f>Siam_Chart[[#This Row],[Last]]</f>
        <v>1.77</v>
      </c>
      <c r="E373">
        <f>Siam_Chart[[#This Row],[Chg%]]</f>
        <v>-1.67</v>
      </c>
      <c r="F373">
        <f>Siam_Chart[[#This Row],[Volume]]</f>
        <v>2344001</v>
      </c>
      <c r="G373">
        <f>Siam_Chart[[#This Row],[Value (k)]]</f>
        <v>4146981.78</v>
      </c>
      <c r="H373" cm="1">
        <f t="array" ref="H373:W373">Siam_Chart[[#This Row],[MCap (M)]:[CG]]</f>
        <v>4008970208.4000001</v>
      </c>
      <c r="I373">
        <v>5.9</v>
      </c>
      <c r="J373">
        <v>0.61</v>
      </c>
      <c r="K373">
        <v>0.93840000000000001</v>
      </c>
      <c r="L373">
        <v>0.08</v>
      </c>
      <c r="M373">
        <v>0.16</v>
      </c>
      <c r="N373">
        <v>7.6125990000000003</v>
      </c>
      <c r="O373">
        <v>10.754737</v>
      </c>
      <c r="P373">
        <v>6.3359220000000001</v>
      </c>
      <c r="Q373">
        <v>4.5199999999999996</v>
      </c>
      <c r="R373" t="str">
        <v/>
      </c>
      <c r="S373" t="str">
        <v/>
      </c>
      <c r="T373">
        <v>358</v>
      </c>
      <c r="U373">
        <v>350</v>
      </c>
      <c r="V373">
        <v>0.02</v>
      </c>
      <c r="W373">
        <v>5</v>
      </c>
      <c r="X373" s="5">
        <f t="shared" si="13"/>
        <v>2.901639344262295</v>
      </c>
      <c r="Y373" s="6">
        <f t="shared" si="14"/>
        <v>2264954920</v>
      </c>
    </row>
    <row r="374" spans="2:25" x14ac:dyDescent="0.25">
      <c r="B374" t="str">
        <f>Siam_Chart[[#This Row],[Name]]</f>
        <v>LPH</v>
      </c>
      <c r="C374">
        <f>Siam_Chart[[#This Row],[No.]]</f>
        <v>373</v>
      </c>
      <c r="D374">
        <f>Siam_Chart[[#This Row],[Last]]</f>
        <v>3.6</v>
      </c>
      <c r="E374">
        <f>Siam_Chart[[#This Row],[Chg%]]</f>
        <v>-0.55000000000000004</v>
      </c>
      <c r="F374">
        <f>Siam_Chart[[#This Row],[Volume]]</f>
        <v>48500</v>
      </c>
      <c r="G374">
        <f>Siam_Chart[[#This Row],[Value (k)]]</f>
        <v>174600</v>
      </c>
      <c r="H374" cm="1">
        <f t="array" ref="H374:W374">Siam_Chart[[#This Row],[MCap (M)]:[CG]]</f>
        <v>2592000000</v>
      </c>
      <c r="I374">
        <v>13.57</v>
      </c>
      <c r="J374">
        <v>1.32</v>
      </c>
      <c r="K374">
        <v>0.38266</v>
      </c>
      <c r="L374">
        <v>0.05</v>
      </c>
      <c r="M374">
        <v>0.12</v>
      </c>
      <c r="N374">
        <v>8.1891090000000002</v>
      </c>
      <c r="O374">
        <v>9.8189270000000004</v>
      </c>
      <c r="P374">
        <v>8.3883980000000005</v>
      </c>
      <c r="Q374">
        <v>5</v>
      </c>
      <c r="R374" t="str">
        <v/>
      </c>
      <c r="S374" t="str">
        <v/>
      </c>
      <c r="T374">
        <v>654</v>
      </c>
      <c r="U374">
        <v>582</v>
      </c>
      <c r="V374">
        <v>0.81</v>
      </c>
      <c r="W374">
        <v>0</v>
      </c>
      <c r="X374" s="5">
        <f t="shared" si="13"/>
        <v>2.7272727272727271</v>
      </c>
      <c r="Y374" s="6">
        <f t="shared" si="14"/>
        <v>720000000</v>
      </c>
    </row>
    <row r="375" spans="2:25" x14ac:dyDescent="0.25">
      <c r="B375" t="str">
        <f>Siam_Chart[[#This Row],[Name]]</f>
        <v>LPN</v>
      </c>
      <c r="C375">
        <f>Siam_Chart[[#This Row],[No.]]</f>
        <v>374</v>
      </c>
      <c r="D375">
        <f>Siam_Chart[[#This Row],[Last]]</f>
        <v>1.58</v>
      </c>
      <c r="E375">
        <f>Siam_Chart[[#This Row],[Chg%]]</f>
        <v>-0.63</v>
      </c>
      <c r="F375">
        <f>Siam_Chart[[#This Row],[Volume]]</f>
        <v>183623</v>
      </c>
      <c r="G375">
        <f>Siam_Chart[[#This Row],[Value (k)]]</f>
        <v>289570.84000000003</v>
      </c>
      <c r="H375" cm="1">
        <f t="array" ref="H375:W375">Siam_Chart[[#This Row],[MCap (M)]:[CG]]</f>
        <v>2297634053.4400001</v>
      </c>
      <c r="I375">
        <v>2355802004.1599998</v>
      </c>
      <c r="J375">
        <v>0.19</v>
      </c>
      <c r="K375">
        <v>0.94483799999999996</v>
      </c>
      <c r="L375">
        <v>0.05</v>
      </c>
      <c r="M375">
        <v>-0.01</v>
      </c>
      <c r="N375">
        <v>1.2047049999999999</v>
      </c>
      <c r="O375">
        <v>-0.213814</v>
      </c>
      <c r="P375">
        <v>-0.40343299999999999</v>
      </c>
      <c r="Q375">
        <v>6.45</v>
      </c>
      <c r="R375" t="str">
        <v/>
      </c>
      <c r="S375" t="str">
        <v/>
      </c>
      <c r="T375">
        <v>1370</v>
      </c>
      <c r="U375">
        <v>1358</v>
      </c>
      <c r="V375">
        <v>-13.2</v>
      </c>
      <c r="W375">
        <v>4</v>
      </c>
      <c r="X375" s="5">
        <f t="shared" si="13"/>
        <v>8.3157894736842106</v>
      </c>
      <c r="Y375" s="6">
        <f t="shared" si="14"/>
        <v>1454198768</v>
      </c>
    </row>
    <row r="376" spans="2:25" x14ac:dyDescent="0.25">
      <c r="B376" t="str">
        <f>Siam_Chart[[#This Row],[Name]]</f>
        <v>LRH</v>
      </c>
      <c r="C376">
        <f>Siam_Chart[[#This Row],[No.]]</f>
        <v>375</v>
      </c>
      <c r="D376">
        <f>Siam_Chart[[#This Row],[Last]]</f>
        <v>2026</v>
      </c>
      <c r="E376">
        <f>Siam_Chart[[#This Row],[Chg%]]</f>
        <v>0</v>
      </c>
      <c r="F376">
        <f>Siam_Chart[[#This Row],[Volume]]</f>
        <v>0</v>
      </c>
      <c r="G376">
        <f>Siam_Chart[[#This Row],[Value (k)]]</f>
        <v>0</v>
      </c>
      <c r="H376" cm="1">
        <f t="array" ref="H376:W376">Siam_Chart[[#This Row],[MCap (M)]:[CG]]</f>
        <v>5417</v>
      </c>
      <c r="I376">
        <v>0</v>
      </c>
      <c r="J376">
        <v>0.96263437161883292</v>
      </c>
      <c r="K376">
        <v>0.96263399999999999</v>
      </c>
      <c r="L376">
        <v>1.45</v>
      </c>
      <c r="M376">
        <v>3.79</v>
      </c>
      <c r="N376">
        <v>7.9326429999999997</v>
      </c>
      <c r="O376">
        <v>12.117941</v>
      </c>
      <c r="P376">
        <v>13.517984</v>
      </c>
      <c r="Q376">
        <v>0</v>
      </c>
      <c r="R376" t="str">
        <v/>
      </c>
      <c r="S376" t="str">
        <v/>
      </c>
      <c r="T376">
        <v>285</v>
      </c>
      <c r="U376">
        <v>334</v>
      </c>
      <c r="V376">
        <v>0</v>
      </c>
      <c r="W376">
        <v>5</v>
      </c>
      <c r="X376" s="5">
        <f t="shared" si="13"/>
        <v>2104.6412425445992</v>
      </c>
      <c r="Y376" s="6">
        <f t="shared" si="14"/>
        <v>2.6737413622902269</v>
      </c>
    </row>
    <row r="377" spans="2:25" x14ac:dyDescent="0.25">
      <c r="B377" t="str">
        <f>Siam_Chart[[#This Row],[Name]]</f>
        <v>LST</v>
      </c>
      <c r="C377">
        <f>Siam_Chart[[#This Row],[No.]]</f>
        <v>376</v>
      </c>
      <c r="D377">
        <f>Siam_Chart[[#This Row],[Last]]</f>
        <v>4.62</v>
      </c>
      <c r="E377">
        <f>Siam_Chart[[#This Row],[Chg%]]</f>
        <v>-0.43</v>
      </c>
      <c r="F377">
        <f>Siam_Chart[[#This Row],[Volume]]</f>
        <v>16133</v>
      </c>
      <c r="G377">
        <f>Siam_Chart[[#This Row],[Value (k)]]</f>
        <v>74685.320000000007</v>
      </c>
      <c r="H377" cm="1">
        <f t="array" ref="H377:W377">Siam_Chart[[#This Row],[MCap (M)]:[CG]]</f>
        <v>3788400000</v>
      </c>
      <c r="I377">
        <v>7.38</v>
      </c>
      <c r="J377">
        <v>0.68</v>
      </c>
      <c r="K377">
        <v>0.57340999999999998</v>
      </c>
      <c r="L377">
        <v>0.22</v>
      </c>
      <c r="M377">
        <v>0.26</v>
      </c>
      <c r="N377">
        <v>8.2548840000000006</v>
      </c>
      <c r="O377">
        <v>9.4952539999999992</v>
      </c>
      <c r="P377">
        <v>3.5432429999999999</v>
      </c>
      <c r="Q377">
        <v>4.76</v>
      </c>
      <c r="R377" t="str">
        <v/>
      </c>
      <c r="S377" t="str">
        <v/>
      </c>
      <c r="T377">
        <v>413</v>
      </c>
      <c r="U377">
        <v>352</v>
      </c>
      <c r="V377">
        <v>-29.74</v>
      </c>
      <c r="W377">
        <v>5</v>
      </c>
      <c r="X377" s="5">
        <f t="shared" si="13"/>
        <v>6.7941176470588234</v>
      </c>
      <c r="Y377" s="6">
        <f t="shared" si="14"/>
        <v>820000000</v>
      </c>
    </row>
    <row r="378" spans="2:25" x14ac:dyDescent="0.25">
      <c r="B378" t="str">
        <f>Siam_Chart[[#This Row],[Name]]</f>
        <v>LTMH</v>
      </c>
      <c r="C378">
        <f>Siam_Chart[[#This Row],[No.]]</f>
        <v>377</v>
      </c>
      <c r="D378">
        <f>Siam_Chart[[#This Row],[Last]]</f>
        <v>7.6</v>
      </c>
      <c r="E378">
        <f>Siam_Chart[[#This Row],[Chg%]]</f>
        <v>-1.3</v>
      </c>
      <c r="F378">
        <f>Siam_Chart[[#This Row],[Volume]]</f>
        <v>105104</v>
      </c>
      <c r="G378">
        <f>Siam_Chart[[#This Row],[Value (k)]]</f>
        <v>796111</v>
      </c>
      <c r="H378" cm="1">
        <f t="array" ref="H378:W378">Siam_Chart[[#This Row],[MCap (M)]:[CG]]</f>
        <v>1520000000</v>
      </c>
      <c r="I378">
        <v>74.08</v>
      </c>
      <c r="J378">
        <v>4.29</v>
      </c>
      <c r="K378">
        <v>0.270677</v>
      </c>
      <c r="L378">
        <v>0.15</v>
      </c>
      <c r="M378">
        <v>-0.01</v>
      </c>
      <c r="N378">
        <v>7.6608429999999998</v>
      </c>
      <c r="O378">
        <v>5.6535869999999999</v>
      </c>
      <c r="P378">
        <v>-1.291666</v>
      </c>
      <c r="Q378">
        <v>1.99</v>
      </c>
      <c r="R378" t="str">
        <v/>
      </c>
      <c r="S378" t="str">
        <v/>
      </c>
      <c r="T378">
        <v>1154</v>
      </c>
      <c r="U378">
        <v>929</v>
      </c>
      <c r="V378">
        <v>-7.64</v>
      </c>
      <c r="W378">
        <v>0</v>
      </c>
      <c r="X378" s="5">
        <f t="shared" si="13"/>
        <v>1.7715617715617715</v>
      </c>
      <c r="Y378" s="6">
        <f t="shared" si="14"/>
        <v>200000000</v>
      </c>
    </row>
    <row r="379" spans="2:25" x14ac:dyDescent="0.25">
      <c r="B379" t="str">
        <f>Siam_Chart[[#This Row],[Name]]</f>
        <v>LTS</v>
      </c>
      <c r="C379">
        <f>Siam_Chart[[#This Row],[No.]]</f>
        <v>378</v>
      </c>
      <c r="D379">
        <f>Siam_Chart[[#This Row],[Last]]</f>
        <v>2.68</v>
      </c>
      <c r="E379">
        <f>Siam_Chart[[#This Row],[Chg%]]</f>
        <v>1.52</v>
      </c>
      <c r="F379">
        <f>Siam_Chart[[#This Row],[Volume]]</f>
        <v>1797100</v>
      </c>
      <c r="G379">
        <f>Siam_Chart[[#This Row],[Value (k)]]</f>
        <v>4856664</v>
      </c>
      <c r="H379" cm="1">
        <f t="array" ref="H379:W379">Siam_Chart[[#This Row],[MCap (M)]:[CG]]</f>
        <v>639448000</v>
      </c>
      <c r="I379">
        <v>644220000</v>
      </c>
      <c r="J379">
        <v>1.35</v>
      </c>
      <c r="K379">
        <v>0.78030299999999997</v>
      </c>
      <c r="L379">
        <v>0.08</v>
      </c>
      <c r="M379">
        <v>0.08</v>
      </c>
      <c r="N379">
        <v>-2.4141029999999999</v>
      </c>
      <c r="O379">
        <v>-5.9322819999999998</v>
      </c>
      <c r="P379">
        <v>6.5051449999999997</v>
      </c>
      <c r="Q379">
        <v>1.36</v>
      </c>
      <c r="R379" t="str">
        <v/>
      </c>
      <c r="S379" t="str">
        <v/>
      </c>
      <c r="T379">
        <v>0</v>
      </c>
      <c r="U379">
        <v>0</v>
      </c>
      <c r="V379">
        <v>0</v>
      </c>
      <c r="W379">
        <v>0</v>
      </c>
      <c r="X379" s="5">
        <f t="shared" si="13"/>
        <v>1.9851851851851852</v>
      </c>
      <c r="Y379" s="6">
        <f t="shared" si="14"/>
        <v>238600000</v>
      </c>
    </row>
    <row r="380" spans="2:25" x14ac:dyDescent="0.25">
      <c r="B380" t="str">
        <f>Siam_Chart[[#This Row],[Name]]</f>
        <v>M</v>
      </c>
      <c r="C380">
        <f>Siam_Chart[[#This Row],[No.]]</f>
        <v>379</v>
      </c>
      <c r="D380">
        <f>Siam_Chart[[#This Row],[Last]]</f>
        <v>21.1</v>
      </c>
      <c r="E380">
        <f>Siam_Chart[[#This Row],[Chg%]]</f>
        <v>-1.86</v>
      </c>
      <c r="F380">
        <f>Siam_Chart[[#This Row],[Volume]]</f>
        <v>1509505</v>
      </c>
      <c r="G380">
        <f>Siam_Chart[[#This Row],[Value (k)]]</f>
        <v>32030821.600000001</v>
      </c>
      <c r="H380" cm="1">
        <f t="array" ref="H380:W380">Siam_Chart[[#This Row],[MCap (M)]:[CG]]</f>
        <v>19430527910</v>
      </c>
      <c r="I380">
        <v>26.72</v>
      </c>
      <c r="J380">
        <v>1.48</v>
      </c>
      <c r="K380">
        <v>0.41510999999999998</v>
      </c>
      <c r="L380">
        <v>0.4</v>
      </c>
      <c r="M380">
        <v>0.43</v>
      </c>
      <c r="N380">
        <v>4.7840009999999999</v>
      </c>
      <c r="O380">
        <v>5.5137650000000002</v>
      </c>
      <c r="P380">
        <v>4.4517499999999997</v>
      </c>
      <c r="Q380">
        <v>4.74</v>
      </c>
      <c r="R380" t="str">
        <v/>
      </c>
      <c r="S380" t="str">
        <v/>
      </c>
      <c r="T380">
        <v>1080</v>
      </c>
      <c r="U380">
        <v>1026</v>
      </c>
      <c r="V380">
        <v>0.11</v>
      </c>
      <c r="W380">
        <v>5</v>
      </c>
      <c r="X380" s="5">
        <f t="shared" si="13"/>
        <v>14.256756756756758</v>
      </c>
      <c r="Y380" s="6">
        <f t="shared" si="14"/>
        <v>920878099.99999988</v>
      </c>
    </row>
    <row r="381" spans="2:25" x14ac:dyDescent="0.25">
      <c r="B381" t="str">
        <f>Siam_Chart[[#This Row],[Name]]</f>
        <v>M-CHAI</v>
      </c>
      <c r="C381">
        <f>Siam_Chart[[#This Row],[No.]]</f>
        <v>380</v>
      </c>
      <c r="D381">
        <f>Siam_Chart[[#This Row],[Last]]</f>
        <v>19</v>
      </c>
      <c r="E381">
        <f>Siam_Chart[[#This Row],[Chg%]]</f>
        <v>0</v>
      </c>
      <c r="F381">
        <f>Siam_Chart[[#This Row],[Volume]]</f>
        <v>200</v>
      </c>
      <c r="G381">
        <f>Siam_Chart[[#This Row],[Value (k)]]</f>
        <v>3800</v>
      </c>
      <c r="H381" cm="1">
        <f t="array" ref="H381:W381">Siam_Chart[[#This Row],[MCap (M)]:[CG]]</f>
        <v>3040000000</v>
      </c>
      <c r="I381">
        <v>18.63</v>
      </c>
      <c r="J381">
        <v>1.36</v>
      </c>
      <c r="K381">
        <v>2.2605080000000002</v>
      </c>
      <c r="L381">
        <v>0.4</v>
      </c>
      <c r="M381">
        <v>0.45</v>
      </c>
      <c r="N381">
        <v>5.0516389999999998</v>
      </c>
      <c r="O381">
        <v>7.4440730000000004</v>
      </c>
      <c r="P381">
        <v>2.9154789999999999</v>
      </c>
      <c r="Q381">
        <v>2.11</v>
      </c>
      <c r="R381" t="str">
        <v/>
      </c>
      <c r="S381" t="str">
        <v/>
      </c>
      <c r="T381">
        <v>941</v>
      </c>
      <c r="U381">
        <v>991</v>
      </c>
      <c r="V381">
        <v>6.4</v>
      </c>
      <c r="W381">
        <v>4</v>
      </c>
      <c r="X381" s="5">
        <f t="shared" si="13"/>
        <v>13.970588235294116</v>
      </c>
      <c r="Y381" s="6">
        <f t="shared" si="14"/>
        <v>160000000</v>
      </c>
    </row>
    <row r="382" spans="2:25" x14ac:dyDescent="0.25">
      <c r="B382" t="str">
        <f>Siam_Chart[[#This Row],[Name]]</f>
        <v>MADAME</v>
      </c>
      <c r="C382">
        <f>Siam_Chart[[#This Row],[No.]]</f>
        <v>381</v>
      </c>
      <c r="D382">
        <f>Siam_Chart[[#This Row],[Last]]</f>
        <v>1.07</v>
      </c>
      <c r="E382">
        <f>Siam_Chart[[#This Row],[Chg%]]</f>
        <v>-0.93</v>
      </c>
      <c r="F382">
        <f>Siam_Chart[[#This Row],[Volume]]</f>
        <v>245700</v>
      </c>
      <c r="G382">
        <f>Siam_Chart[[#This Row],[Value (k)]]</f>
        <v>256552.61</v>
      </c>
      <c r="H382" cm="1">
        <f t="array" ref="H382:W382">Siam_Chart[[#This Row],[MCap (M)]:[CG]]</f>
        <v>864355459.87</v>
      </c>
      <c r="I382">
        <v>920902078.74000001</v>
      </c>
      <c r="J382">
        <v>1.07</v>
      </c>
      <c r="K382">
        <v>0.55880200000000002</v>
      </c>
      <c r="L382">
        <v>7.0000000000000007E-2</v>
      </c>
      <c r="M382">
        <v>7.0000000000000007E-2</v>
      </c>
      <c r="N382">
        <v>-9.0861450000000001</v>
      </c>
      <c r="O382">
        <v>-18.201753</v>
      </c>
      <c r="P382">
        <v>6.9092469999999997</v>
      </c>
      <c r="Q382">
        <v>1.1399999999999999</v>
      </c>
      <c r="R382" t="str">
        <v/>
      </c>
      <c r="S382" t="str">
        <v/>
      </c>
      <c r="T382">
        <v>0</v>
      </c>
      <c r="U382">
        <v>0</v>
      </c>
      <c r="V382">
        <v>0</v>
      </c>
      <c r="W382">
        <v>0</v>
      </c>
      <c r="X382" s="5">
        <f t="shared" si="13"/>
        <v>1</v>
      </c>
      <c r="Y382" s="6">
        <f t="shared" si="14"/>
        <v>807808841</v>
      </c>
    </row>
    <row r="383" spans="2:25" x14ac:dyDescent="0.25">
      <c r="B383" t="str">
        <f>Siam_Chart[[#This Row],[Name]]</f>
        <v>MAGURO</v>
      </c>
      <c r="C383">
        <f>Siam_Chart[[#This Row],[No.]]</f>
        <v>382</v>
      </c>
      <c r="D383">
        <f>Siam_Chart[[#This Row],[Last]]</f>
        <v>19.100000000000001</v>
      </c>
      <c r="E383">
        <f>Siam_Chart[[#This Row],[Chg%]]</f>
        <v>-1.04</v>
      </c>
      <c r="F383">
        <f>Siam_Chart[[#This Row],[Volume]]</f>
        <v>245507</v>
      </c>
      <c r="G383">
        <f>Siam_Chart[[#This Row],[Value (k)]]</f>
        <v>4714914</v>
      </c>
      <c r="H383" cm="1">
        <f t="array" ref="H383:W383">Siam_Chart[[#This Row],[MCap (M)]:[CG]]</f>
        <v>2406600000</v>
      </c>
      <c r="I383">
        <v>15.26</v>
      </c>
      <c r="J383">
        <v>3.22</v>
      </c>
      <c r="K383">
        <v>1.654182</v>
      </c>
      <c r="L383">
        <v>0.46</v>
      </c>
      <c r="M383">
        <v>0.59</v>
      </c>
      <c r="N383">
        <v>14.03105</v>
      </c>
      <c r="O383">
        <v>22.109383000000001</v>
      </c>
      <c r="P383">
        <v>6.460413</v>
      </c>
      <c r="Q383">
        <v>3.72</v>
      </c>
      <c r="R383" t="str">
        <v/>
      </c>
      <c r="S383" t="str">
        <v/>
      </c>
      <c r="T383">
        <v>540</v>
      </c>
      <c r="U383">
        <v>545</v>
      </c>
      <c r="V383">
        <v>0.35</v>
      </c>
      <c r="W383">
        <v>4</v>
      </c>
      <c r="X383" s="5">
        <f t="shared" si="13"/>
        <v>5.9316770186335406</v>
      </c>
      <c r="Y383" s="6">
        <f t="shared" si="14"/>
        <v>125999999.99999999</v>
      </c>
    </row>
    <row r="384" spans="2:25" x14ac:dyDescent="0.25">
      <c r="B384" t="str">
        <f>Siam_Chart[[#This Row],[Name]]</f>
        <v>MAJOR</v>
      </c>
      <c r="C384">
        <f>Siam_Chart[[#This Row],[No.]]</f>
        <v>383</v>
      </c>
      <c r="D384">
        <f>Siam_Chart[[#This Row],[Last]]</f>
        <v>7.2</v>
      </c>
      <c r="E384">
        <f>Siam_Chart[[#This Row],[Chg%]]</f>
        <v>0</v>
      </c>
      <c r="F384">
        <f>Siam_Chart[[#This Row],[Volume]]</f>
        <v>693845</v>
      </c>
      <c r="G384">
        <f>Siam_Chart[[#This Row],[Value (k)]]</f>
        <v>4970392</v>
      </c>
      <c r="H384" cm="1">
        <f t="array" ref="H384:W384">Siam_Chart[[#This Row],[MCap (M)]:[CG]]</f>
        <v>5457011774.3999996</v>
      </c>
      <c r="I384">
        <v>7.91</v>
      </c>
      <c r="J384">
        <v>1.1000000000000001</v>
      </c>
      <c r="K384">
        <v>1.71469</v>
      </c>
      <c r="L384">
        <v>0.25</v>
      </c>
      <c r="M384">
        <v>0.21</v>
      </c>
      <c r="N384">
        <v>7.4950549999999998</v>
      </c>
      <c r="O384">
        <v>13.526354</v>
      </c>
      <c r="P384">
        <v>4.5460779999999996</v>
      </c>
      <c r="Q384">
        <v>3.67</v>
      </c>
      <c r="R384" t="str">
        <v/>
      </c>
      <c r="S384" t="str">
        <v/>
      </c>
      <c r="T384">
        <v>318</v>
      </c>
      <c r="U384">
        <v>398</v>
      </c>
      <c r="V384">
        <v>0.17</v>
      </c>
      <c r="W384">
        <v>5</v>
      </c>
      <c r="X384" s="5">
        <f t="shared" si="13"/>
        <v>6.545454545454545</v>
      </c>
      <c r="Y384" s="6">
        <f t="shared" si="14"/>
        <v>757918301.99999988</v>
      </c>
    </row>
    <row r="385" spans="2:25" x14ac:dyDescent="0.25">
      <c r="B385" t="str">
        <f>Siam_Chart[[#This Row],[Name]]</f>
        <v>MALEE</v>
      </c>
      <c r="C385">
        <f>Siam_Chart[[#This Row],[No.]]</f>
        <v>384</v>
      </c>
      <c r="D385">
        <f>Siam_Chart[[#This Row],[Last]]</f>
        <v>4.0199999999999996</v>
      </c>
      <c r="E385">
        <f>Siam_Chart[[#This Row],[Chg%]]</f>
        <v>0.5</v>
      </c>
      <c r="F385">
        <f>Siam_Chart[[#This Row],[Volume]]</f>
        <v>181701</v>
      </c>
      <c r="G385">
        <f>Siam_Chart[[#This Row],[Value (k)]]</f>
        <v>727354</v>
      </c>
      <c r="H385" cm="1">
        <f t="array" ref="H385:W385">Siam_Chart[[#This Row],[MCap (M)]:[CG]]</f>
        <v>2193839725.5</v>
      </c>
      <c r="I385">
        <v>26.54</v>
      </c>
      <c r="J385">
        <v>0.87</v>
      </c>
      <c r="K385">
        <v>1.0756110000000001</v>
      </c>
      <c r="L385">
        <v>0.1</v>
      </c>
      <c r="M385">
        <v>7.0000000000000007E-2</v>
      </c>
      <c r="N385">
        <v>3.9886349999999999</v>
      </c>
      <c r="O385">
        <v>3.3410869999999999</v>
      </c>
      <c r="P385">
        <v>0.88953000000000004</v>
      </c>
      <c r="Q385">
        <v>0.87</v>
      </c>
      <c r="R385" t="str">
        <v/>
      </c>
      <c r="S385" t="str">
        <v/>
      </c>
      <c r="T385">
        <v>922</v>
      </c>
      <c r="U385">
        <v>857</v>
      </c>
      <c r="V385">
        <v>0.31</v>
      </c>
      <c r="W385">
        <v>5</v>
      </c>
      <c r="X385" s="5">
        <f t="shared" si="13"/>
        <v>4.6206896551724137</v>
      </c>
      <c r="Y385" s="6">
        <f t="shared" si="14"/>
        <v>545731275</v>
      </c>
    </row>
    <row r="386" spans="2:25" x14ac:dyDescent="0.25">
      <c r="B386" t="str">
        <f>Siam_Chart[[#This Row],[Name]]</f>
        <v>MANRIN</v>
      </c>
      <c r="C386">
        <f>Siam_Chart[[#This Row],[No.]]</f>
        <v>385</v>
      </c>
      <c r="D386">
        <f>Siam_Chart[[#This Row],[Last]]</f>
        <v>2026</v>
      </c>
      <c r="E386">
        <f>Siam_Chart[[#This Row],[Chg%]]</f>
        <v>-12.083333333333329</v>
      </c>
      <c r="F386">
        <f>Siam_Chart[[#This Row],[Volume]]</f>
        <v>1</v>
      </c>
      <c r="G386">
        <f>Siam_Chart[[#This Row],[Value (k)]]</f>
        <v>20.9</v>
      </c>
      <c r="H386" cm="1">
        <f t="array" ref="H386:W386">Siam_Chart[[#This Row],[MCap (M)]:[CG]]</f>
        <v>567707738</v>
      </c>
      <c r="I386">
        <v>14.29</v>
      </c>
      <c r="J386">
        <v>1.1599999999999999</v>
      </c>
      <c r="K386">
        <v>0.26966099999999998</v>
      </c>
      <c r="L386">
        <v>0.25</v>
      </c>
      <c r="M386">
        <v>0.66</v>
      </c>
      <c r="N386">
        <v>8.635783</v>
      </c>
      <c r="O386">
        <v>8.4184269999999994</v>
      </c>
      <c r="P386">
        <v>10.457967</v>
      </c>
      <c r="Q386">
        <v>1.18</v>
      </c>
      <c r="R386" t="str">
        <v/>
      </c>
      <c r="S386" t="str">
        <v/>
      </c>
      <c r="T386">
        <v>787</v>
      </c>
      <c r="U386">
        <v>661</v>
      </c>
      <c r="V386">
        <v>-0.34</v>
      </c>
      <c r="W386">
        <v>0</v>
      </c>
      <c r="X386" s="5">
        <f t="shared" si="13"/>
        <v>1746.5517241379312</v>
      </c>
      <c r="Y386" s="6">
        <f t="shared" si="14"/>
        <v>280211.12438302074</v>
      </c>
    </row>
    <row r="387" spans="2:25" x14ac:dyDescent="0.25">
      <c r="B387" t="str">
        <f>Siam_Chart[[#This Row],[Name]]</f>
        <v>MASTEC</v>
      </c>
      <c r="C387">
        <f>Siam_Chart[[#This Row],[No.]]</f>
        <v>386</v>
      </c>
      <c r="D387">
        <f>Siam_Chart[[#This Row],[Last]]</f>
        <v>1.77</v>
      </c>
      <c r="E387">
        <f>Siam_Chart[[#This Row],[Chg%]]</f>
        <v>-0.56000000000000005</v>
      </c>
      <c r="F387">
        <f>Siam_Chart[[#This Row],[Volume]]</f>
        <v>1217900</v>
      </c>
      <c r="G387">
        <f>Siam_Chart[[#This Row],[Value (k)]]</f>
        <v>2177070</v>
      </c>
      <c r="H387" cm="1">
        <f t="array" ref="H387:W387">Siam_Chart[[#This Row],[MCap (M)]:[CG]]</f>
        <v>531000000</v>
      </c>
      <c r="I387">
        <v>10.42</v>
      </c>
      <c r="J387">
        <v>1.35</v>
      </c>
      <c r="K387">
        <v>1.367837</v>
      </c>
      <c r="L387">
        <v>0.14000000000000001</v>
      </c>
      <c r="M387">
        <v>0.11</v>
      </c>
      <c r="N387">
        <v>8.9976459999999996</v>
      </c>
      <c r="O387">
        <v>15.269952</v>
      </c>
      <c r="P387">
        <v>6.2942530000000003</v>
      </c>
      <c r="Q387">
        <v>7.91</v>
      </c>
      <c r="R387" t="str">
        <v/>
      </c>
      <c r="S387" t="str">
        <v/>
      </c>
      <c r="T387">
        <v>0</v>
      </c>
      <c r="U387">
        <v>0</v>
      </c>
      <c r="V387">
        <v>-0.37</v>
      </c>
      <c r="W387">
        <v>0</v>
      </c>
      <c r="X387" s="5">
        <f t="shared" si="13"/>
        <v>1.3111111111111111</v>
      </c>
      <c r="Y387" s="6">
        <f t="shared" si="14"/>
        <v>300000000</v>
      </c>
    </row>
    <row r="388" spans="2:25" x14ac:dyDescent="0.25">
      <c r="B388" t="str">
        <f>Siam_Chart[[#This Row],[Name]]</f>
        <v>MASTER</v>
      </c>
      <c r="C388">
        <f>Siam_Chart[[#This Row],[No.]]</f>
        <v>387</v>
      </c>
      <c r="D388">
        <f>Siam_Chart[[#This Row],[Last]]</f>
        <v>9.1999999999999993</v>
      </c>
      <c r="E388">
        <f>Siam_Chart[[#This Row],[Chg%]]</f>
        <v>0</v>
      </c>
      <c r="F388">
        <f>Siam_Chart[[#This Row],[Volume]]</f>
        <v>162745</v>
      </c>
      <c r="G388">
        <f>Siam_Chart[[#This Row],[Value (k)]]</f>
        <v>1490424</v>
      </c>
      <c r="H388" cm="1">
        <f t="array" ref="H388:W388">Siam_Chart[[#This Row],[MCap (M)]:[CG]]</f>
        <v>2775747971.1999998</v>
      </c>
      <c r="I388">
        <v>12.89</v>
      </c>
      <c r="J388">
        <v>0.8</v>
      </c>
      <c r="K388">
        <v>0.22592100000000001</v>
      </c>
      <c r="L388">
        <v>0.4</v>
      </c>
      <c r="M388">
        <v>0.42</v>
      </c>
      <c r="N388">
        <v>6.8231780000000004</v>
      </c>
      <c r="O388">
        <v>6.3163039999999997</v>
      </c>
      <c r="P388">
        <v>13.916259</v>
      </c>
      <c r="Q388">
        <v>4.3499999999999996</v>
      </c>
      <c r="R388" t="str">
        <v/>
      </c>
      <c r="S388" t="str">
        <v/>
      </c>
      <c r="T388">
        <v>885</v>
      </c>
      <c r="U388">
        <v>750</v>
      </c>
      <c r="V388">
        <v>-57.74</v>
      </c>
      <c r="W388">
        <v>0</v>
      </c>
      <c r="X388" s="5">
        <f t="shared" ref="X388:X451" si="15">IFERROR(D388/J388,0)</f>
        <v>11.499999999999998</v>
      </c>
      <c r="Y388" s="6">
        <f t="shared" ref="Y388:Y451" si="16">IFERROR(H388/D388,0)</f>
        <v>301711736</v>
      </c>
    </row>
    <row r="389" spans="2:25" x14ac:dyDescent="0.25">
      <c r="B389" t="str">
        <f>Siam_Chart[[#This Row],[Name]]</f>
        <v>MATCH</v>
      </c>
      <c r="C389">
        <f>Siam_Chart[[#This Row],[No.]]</f>
        <v>388</v>
      </c>
      <c r="D389">
        <f>Siam_Chart[[#This Row],[Last]]</f>
        <v>0.8</v>
      </c>
      <c r="E389">
        <f>Siam_Chart[[#This Row],[Chg%]]</f>
        <v>1.27</v>
      </c>
      <c r="F389">
        <f>Siam_Chart[[#This Row],[Volume]]</f>
        <v>4</v>
      </c>
      <c r="G389">
        <f>Siam_Chart[[#This Row],[Value (k)]]</f>
        <v>2.7</v>
      </c>
      <c r="H389" cm="1">
        <f t="array" ref="H389:W389">Siam_Chart[[#This Row],[MCap (M)]:[CG]]</f>
        <v>625302986.39999998</v>
      </c>
      <c r="I389">
        <v>633119273.73000002</v>
      </c>
      <c r="J389">
        <v>0.52</v>
      </c>
      <c r="K389">
        <v>0.13597300000000001</v>
      </c>
      <c r="L389">
        <v>-0.03</v>
      </c>
      <c r="M389">
        <v>-0.03</v>
      </c>
      <c r="N389">
        <v>-2.4738150000000001</v>
      </c>
      <c r="O389">
        <v>-3.6794790000000002</v>
      </c>
      <c r="P389">
        <v>-17.730169</v>
      </c>
      <c r="Q389">
        <v>0.52</v>
      </c>
      <c r="R389" t="str">
        <v/>
      </c>
      <c r="S389" t="str">
        <v/>
      </c>
      <c r="T389">
        <v>0</v>
      </c>
      <c r="U389">
        <v>0</v>
      </c>
      <c r="V389">
        <v>0</v>
      </c>
      <c r="W389">
        <v>4</v>
      </c>
      <c r="X389" s="5">
        <f t="shared" si="15"/>
        <v>1.5384615384615385</v>
      </c>
      <c r="Y389" s="6">
        <f t="shared" si="16"/>
        <v>781628732.99999988</v>
      </c>
    </row>
    <row r="390" spans="2:25" x14ac:dyDescent="0.25">
      <c r="B390" t="str">
        <f>Siam_Chart[[#This Row],[Name]]</f>
        <v>MATI</v>
      </c>
      <c r="C390">
        <f>Siam_Chart[[#This Row],[No.]]</f>
        <v>389</v>
      </c>
      <c r="D390">
        <f>Siam_Chart[[#This Row],[Last]]</f>
        <v>3.16</v>
      </c>
      <c r="E390">
        <f>Siam_Chart[[#This Row],[Chg%]]</f>
        <v>2.6</v>
      </c>
      <c r="F390">
        <f>Siam_Chart[[#This Row],[Volume]]</f>
        <v>21201</v>
      </c>
      <c r="G390">
        <f>Siam_Chart[[#This Row],[Value (k)]]</f>
        <v>70371.320000000007</v>
      </c>
      <c r="H390" cm="1">
        <f t="array" ref="H390:W390">Siam_Chart[[#This Row],[MCap (M)]:[CG]]</f>
        <v>585703472</v>
      </c>
      <c r="I390">
        <v>611652360</v>
      </c>
      <c r="J390">
        <v>0.46</v>
      </c>
      <c r="K390">
        <v>0.22442500000000001</v>
      </c>
      <c r="L390">
        <v>0.1</v>
      </c>
      <c r="M390">
        <v>-0.12</v>
      </c>
      <c r="N390">
        <v>-4.2017329999999999</v>
      </c>
      <c r="O390">
        <v>-6.306114</v>
      </c>
      <c r="P390">
        <v>-9.4901169999999997</v>
      </c>
      <c r="Q390">
        <v>3.16</v>
      </c>
      <c r="R390" t="str">
        <v/>
      </c>
      <c r="S390" t="str">
        <v/>
      </c>
      <c r="T390">
        <v>0</v>
      </c>
      <c r="U390">
        <v>0</v>
      </c>
      <c r="V390">
        <v>0</v>
      </c>
      <c r="W390">
        <v>0</v>
      </c>
      <c r="X390" s="5">
        <f t="shared" si="15"/>
        <v>6.8695652173913047</v>
      </c>
      <c r="Y390" s="6">
        <f t="shared" si="16"/>
        <v>185349200</v>
      </c>
    </row>
    <row r="391" spans="2:25" x14ac:dyDescent="0.25">
      <c r="B391" t="str">
        <f>Siam_Chart[[#This Row],[Name]]</f>
        <v>MBAX</v>
      </c>
      <c r="C391">
        <f>Siam_Chart[[#This Row],[No.]]</f>
        <v>390</v>
      </c>
      <c r="D391">
        <f>Siam_Chart[[#This Row],[Last]]</f>
        <v>2.04</v>
      </c>
      <c r="E391">
        <f>Siam_Chart[[#This Row],[Chg%]]</f>
        <v>0</v>
      </c>
      <c r="F391">
        <f>Siam_Chart[[#This Row],[Volume]]</f>
        <v>94600</v>
      </c>
      <c r="G391">
        <f>Siam_Chart[[#This Row],[Value (k)]]</f>
        <v>193594</v>
      </c>
      <c r="H391" cm="1">
        <f t="array" ref="H391:W391">Siam_Chart[[#This Row],[MCap (M)]:[CG]]</f>
        <v>405506273.39999998</v>
      </c>
      <c r="I391">
        <v>6.84</v>
      </c>
      <c r="J391">
        <v>0.76</v>
      </c>
      <c r="K391">
        <v>2.0281359999999999</v>
      </c>
      <c r="L391">
        <v>0.1</v>
      </c>
      <c r="M391">
        <v>0.19</v>
      </c>
      <c r="N391">
        <v>6.1344310000000002</v>
      </c>
      <c r="O391">
        <v>11.49179</v>
      </c>
      <c r="P391">
        <v>5.0165949999999997</v>
      </c>
      <c r="Q391">
        <v>4.9000000000000004</v>
      </c>
      <c r="R391" t="str">
        <v/>
      </c>
      <c r="S391" t="str">
        <v/>
      </c>
      <c r="T391">
        <v>535</v>
      </c>
      <c r="U391">
        <v>623</v>
      </c>
      <c r="V391">
        <v>-0.1</v>
      </c>
      <c r="W391">
        <v>4</v>
      </c>
      <c r="X391" s="5">
        <f t="shared" si="15"/>
        <v>2.6842105263157894</v>
      </c>
      <c r="Y391" s="6">
        <f t="shared" si="16"/>
        <v>198777584.99999997</v>
      </c>
    </row>
    <row r="392" spans="2:25" x14ac:dyDescent="0.25">
      <c r="B392" t="str">
        <f>Siam_Chart[[#This Row],[Name]]</f>
        <v>MBK</v>
      </c>
      <c r="C392">
        <f>Siam_Chart[[#This Row],[No.]]</f>
        <v>391</v>
      </c>
      <c r="D392">
        <f>Siam_Chart[[#This Row],[Last]]</f>
        <v>22.3</v>
      </c>
      <c r="E392">
        <f>Siam_Chart[[#This Row],[Chg%]]</f>
        <v>-0.45</v>
      </c>
      <c r="F392">
        <f>Siam_Chart[[#This Row],[Volume]]</f>
        <v>990087</v>
      </c>
      <c r="G392">
        <f>Siam_Chart[[#This Row],[Value (k)]]</f>
        <v>22135977.600000001</v>
      </c>
      <c r="H392" cm="1">
        <f t="array" ref="H392:W392">Siam_Chart[[#This Row],[MCap (M)]:[CG]]</f>
        <v>44189649359.800003</v>
      </c>
      <c r="I392">
        <v>9.44</v>
      </c>
      <c r="J392">
        <v>1.46</v>
      </c>
      <c r="K392">
        <v>1.1623779999999999</v>
      </c>
      <c r="L392">
        <v>0.6</v>
      </c>
      <c r="M392">
        <v>1.55</v>
      </c>
      <c r="N392">
        <v>9.1109030000000004</v>
      </c>
      <c r="O392">
        <v>17.065928</v>
      </c>
      <c r="P392">
        <v>40.631062999999997</v>
      </c>
      <c r="Q392">
        <v>4.93</v>
      </c>
      <c r="R392" t="str">
        <v/>
      </c>
      <c r="S392" t="str">
        <v/>
      </c>
      <c r="T392">
        <v>386</v>
      </c>
      <c r="U392">
        <v>482</v>
      </c>
      <c r="V392">
        <v>0.11</v>
      </c>
      <c r="W392">
        <v>5</v>
      </c>
      <c r="X392" s="5">
        <f t="shared" si="15"/>
        <v>15.273972602739727</v>
      </c>
      <c r="Y392" s="6">
        <f t="shared" si="16"/>
        <v>1981598626</v>
      </c>
    </row>
    <row r="393" spans="2:25" x14ac:dyDescent="0.25">
      <c r="B393" t="str">
        <f>Siam_Chart[[#This Row],[Name]]</f>
        <v>MC</v>
      </c>
      <c r="C393">
        <f>Siam_Chart[[#This Row],[No.]]</f>
        <v>392</v>
      </c>
      <c r="D393">
        <f>Siam_Chart[[#This Row],[Last]]</f>
        <v>11.8</v>
      </c>
      <c r="E393">
        <f>Siam_Chart[[#This Row],[Chg%]]</f>
        <v>0</v>
      </c>
      <c r="F393">
        <f>Siam_Chart[[#This Row],[Volume]]</f>
        <v>776168</v>
      </c>
      <c r="G393">
        <f>Siam_Chart[[#This Row],[Value (k)]]</f>
        <v>9169034.4000000004</v>
      </c>
      <c r="H393" cm="1">
        <f t="array" ref="H393:W393">Siam_Chart[[#This Row],[MCap (M)]:[CG]]</f>
        <v>9345600000</v>
      </c>
      <c r="I393">
        <v>12.8</v>
      </c>
      <c r="J393">
        <v>2.61</v>
      </c>
      <c r="K393">
        <v>0.53054599999999996</v>
      </c>
      <c r="L393">
        <v>0.52</v>
      </c>
      <c r="M393">
        <v>0.75</v>
      </c>
      <c r="N393">
        <v>17.256508</v>
      </c>
      <c r="O393">
        <v>20.337410999999999</v>
      </c>
      <c r="P393">
        <v>16.888824</v>
      </c>
      <c r="Q393">
        <v>8.14</v>
      </c>
      <c r="R393" t="str">
        <v/>
      </c>
      <c r="S393" t="str">
        <v/>
      </c>
      <c r="T393">
        <v>451</v>
      </c>
      <c r="U393">
        <v>418</v>
      </c>
      <c r="V393">
        <v>0.86</v>
      </c>
      <c r="W393">
        <v>5</v>
      </c>
      <c r="X393" s="5">
        <f t="shared" si="15"/>
        <v>4.5210727969348667</v>
      </c>
      <c r="Y393" s="6">
        <f t="shared" si="16"/>
        <v>792000000</v>
      </c>
    </row>
    <row r="394" spans="2:25" x14ac:dyDescent="0.25">
      <c r="B394" t="str">
        <f>Siam_Chart[[#This Row],[Name]]</f>
        <v>MCA</v>
      </c>
      <c r="C394">
        <f>Siam_Chart[[#This Row],[No.]]</f>
        <v>393</v>
      </c>
      <c r="D394">
        <f>Siam_Chart[[#This Row],[Last]]</f>
        <v>1.27</v>
      </c>
      <c r="E394">
        <f>Siam_Chart[[#This Row],[Chg%]]</f>
        <v>-0.78</v>
      </c>
      <c r="F394">
        <f>Siam_Chart[[#This Row],[Volume]]</f>
        <v>18600</v>
      </c>
      <c r="G394">
        <f>Siam_Chart[[#This Row],[Value (k)]]</f>
        <v>23793</v>
      </c>
      <c r="H394" cm="1">
        <f t="array" ref="H394:W394">Siam_Chart[[#This Row],[MCap (M)]:[CG]]</f>
        <v>292100000</v>
      </c>
      <c r="I394">
        <v>22.95</v>
      </c>
      <c r="J394">
        <v>0.94</v>
      </c>
      <c r="K394">
        <v>0.409246</v>
      </c>
      <c r="L394">
        <v>4.3999999999999997E-2</v>
      </c>
      <c r="M394">
        <v>0.02</v>
      </c>
      <c r="N394">
        <v>4.72227</v>
      </c>
      <c r="O394">
        <v>4.1322289999999997</v>
      </c>
      <c r="P394">
        <v>1.0917619999999999</v>
      </c>
      <c r="Q394">
        <v>3.46</v>
      </c>
      <c r="R394" t="str">
        <v/>
      </c>
      <c r="S394" t="str">
        <v/>
      </c>
      <c r="T394">
        <v>1128</v>
      </c>
      <c r="U394">
        <v>1034</v>
      </c>
      <c r="V394">
        <v>-1.68</v>
      </c>
      <c r="W394">
        <v>3</v>
      </c>
      <c r="X394" s="5">
        <f t="shared" si="15"/>
        <v>1.3510638297872342</v>
      </c>
      <c r="Y394" s="6">
        <f t="shared" si="16"/>
        <v>230000000</v>
      </c>
    </row>
    <row r="395" spans="2:25" x14ac:dyDescent="0.25">
      <c r="B395" t="str">
        <f>Siam_Chart[[#This Row],[Name]]</f>
        <v>MCOT</v>
      </c>
      <c r="C395">
        <f>Siam_Chart[[#This Row],[No.]]</f>
        <v>394</v>
      </c>
      <c r="D395">
        <f>Siam_Chart[[#This Row],[Last]]</f>
        <v>5.75</v>
      </c>
      <c r="E395">
        <f>Siam_Chart[[#This Row],[Chg%]]</f>
        <v>-0.86</v>
      </c>
      <c r="F395">
        <f>Siam_Chart[[#This Row],[Volume]]</f>
        <v>111000</v>
      </c>
      <c r="G395">
        <f>Siam_Chart[[#This Row],[Value (k)]]</f>
        <v>634045</v>
      </c>
      <c r="H395" cm="1">
        <f t="array" ref="H395:W395">Siam_Chart[[#This Row],[MCap (M)]:[CG]]</f>
        <v>3950820457.5</v>
      </c>
      <c r="I395">
        <v>3950820457.5</v>
      </c>
      <c r="J395">
        <v>0.6</v>
      </c>
      <c r="K395">
        <v>0.55711699999999997</v>
      </c>
      <c r="L395">
        <v>-0.19</v>
      </c>
      <c r="M395">
        <v>-0.19</v>
      </c>
      <c r="N395">
        <v>-2.5803020000000001</v>
      </c>
      <c r="O395">
        <v>-4.3595160000000002</v>
      </c>
      <c r="P395">
        <v>-27.107904000000001</v>
      </c>
      <c r="Q395">
        <v>0.6</v>
      </c>
      <c r="R395" t="str">
        <v/>
      </c>
      <c r="S395" t="str">
        <v/>
      </c>
      <c r="T395">
        <v>0</v>
      </c>
      <c r="U395">
        <v>0</v>
      </c>
      <c r="V395">
        <v>0</v>
      </c>
      <c r="W395">
        <v>4</v>
      </c>
      <c r="X395" s="5">
        <f t="shared" si="15"/>
        <v>9.5833333333333339</v>
      </c>
      <c r="Y395" s="6">
        <f t="shared" si="16"/>
        <v>687099210</v>
      </c>
    </row>
    <row r="396" spans="2:25" x14ac:dyDescent="0.25">
      <c r="B396" t="str">
        <f>Siam_Chart[[#This Row],[Name]]</f>
        <v>MCS</v>
      </c>
      <c r="C396">
        <f>Siam_Chart[[#This Row],[No.]]</f>
        <v>395</v>
      </c>
      <c r="D396">
        <f>Siam_Chart[[#This Row],[Last]]</f>
        <v>7.85</v>
      </c>
      <c r="E396">
        <f>Siam_Chart[[#This Row],[Chg%]]</f>
        <v>0.64</v>
      </c>
      <c r="F396">
        <f>Siam_Chart[[#This Row],[Volume]]</f>
        <v>138751</v>
      </c>
      <c r="G396">
        <f>Siam_Chart[[#This Row],[Value (k)]]</f>
        <v>1084420.3500000001</v>
      </c>
      <c r="H396" cm="1">
        <f t="array" ref="H396:W396">Siam_Chart[[#This Row],[MCap (M)]:[CG]]</f>
        <v>3744450000</v>
      </c>
      <c r="I396">
        <v>4.99</v>
      </c>
      <c r="J396">
        <v>0.93</v>
      </c>
      <c r="K396">
        <v>0.38218000000000002</v>
      </c>
      <c r="L396">
        <v>0.7</v>
      </c>
      <c r="M396">
        <v>0.53</v>
      </c>
      <c r="N396">
        <v>13.173486</v>
      </c>
      <c r="O396">
        <v>18.735624999999999</v>
      </c>
      <c r="P396">
        <v>12.102969999999999</v>
      </c>
      <c r="Q396">
        <v>12.1</v>
      </c>
      <c r="R396" t="str">
        <v/>
      </c>
      <c r="S396" t="str">
        <v/>
      </c>
      <c r="T396">
        <v>144</v>
      </c>
      <c r="U396">
        <v>143</v>
      </c>
      <c r="V396">
        <v>7.0000000000000007E-2</v>
      </c>
      <c r="W396">
        <v>0</v>
      </c>
      <c r="X396" s="5">
        <f t="shared" si="15"/>
        <v>8.4408602150537622</v>
      </c>
      <c r="Y396" s="6">
        <f t="shared" si="16"/>
        <v>477000000</v>
      </c>
    </row>
    <row r="397" spans="2:25" x14ac:dyDescent="0.25">
      <c r="B397" t="str">
        <f>Siam_Chart[[#This Row],[Name]]</f>
        <v>MDX</v>
      </c>
      <c r="C397">
        <f>Siam_Chart[[#This Row],[No.]]</f>
        <v>396</v>
      </c>
      <c r="D397">
        <f>Siam_Chart[[#This Row],[Last]]</f>
        <v>3.64</v>
      </c>
      <c r="E397">
        <f>Siam_Chart[[#This Row],[Chg%]]</f>
        <v>0</v>
      </c>
      <c r="F397">
        <f>Siam_Chart[[#This Row],[Volume]]</f>
        <v>804503</v>
      </c>
      <c r="G397">
        <f>Siam_Chart[[#This Row],[Value (k)]]</f>
        <v>2941198.9</v>
      </c>
      <c r="H397" cm="1">
        <f t="array" ref="H397:W397">Siam_Chart[[#This Row],[MCap (M)]:[CG]]</f>
        <v>1731159036.8800001</v>
      </c>
      <c r="I397">
        <v>4.6399999999999997</v>
      </c>
      <c r="J397">
        <v>0.34</v>
      </c>
      <c r="K397">
        <v>8.2508999999999999E-2</v>
      </c>
      <c r="L397">
        <v>0.37</v>
      </c>
      <c r="M397">
        <v>0.37</v>
      </c>
      <c r="N397">
        <v>7.129588</v>
      </c>
      <c r="O397">
        <v>8.7604550000000003</v>
      </c>
      <c r="P397">
        <v>160.63478599999999</v>
      </c>
      <c r="Q397">
        <v>0.32</v>
      </c>
      <c r="R397" t="str">
        <v/>
      </c>
      <c r="S397" t="str">
        <v/>
      </c>
      <c r="T397">
        <v>393</v>
      </c>
      <c r="U397">
        <v>353</v>
      </c>
      <c r="V397">
        <v>0.12</v>
      </c>
      <c r="W397">
        <v>0</v>
      </c>
      <c r="X397" s="5">
        <f t="shared" si="15"/>
        <v>10.705882352941176</v>
      </c>
      <c r="Y397" s="6">
        <f t="shared" si="16"/>
        <v>475593142</v>
      </c>
    </row>
    <row r="398" spans="2:25" x14ac:dyDescent="0.25">
      <c r="B398" t="str">
        <f>Siam_Chart[[#This Row],[Name]]</f>
        <v>MEB</v>
      </c>
      <c r="C398">
        <f>Siam_Chart[[#This Row],[No.]]</f>
        <v>397</v>
      </c>
      <c r="D398">
        <f>Siam_Chart[[#This Row],[Last]]</f>
        <v>11.6</v>
      </c>
      <c r="E398">
        <f>Siam_Chart[[#This Row],[Chg%]]</f>
        <v>0.87</v>
      </c>
      <c r="F398">
        <f>Siam_Chart[[#This Row],[Volume]]</f>
        <v>599428</v>
      </c>
      <c r="G398">
        <f>Siam_Chart[[#This Row],[Value (k)]]</f>
        <v>6970098.7999999998</v>
      </c>
      <c r="H398" cm="1">
        <f t="array" ref="H398:W398">Siam_Chart[[#This Row],[MCap (M)]:[CG]]</f>
        <v>3480000000</v>
      </c>
      <c r="I398">
        <v>9.14</v>
      </c>
      <c r="J398">
        <v>2.56</v>
      </c>
      <c r="K398">
        <v>0.24004200000000001</v>
      </c>
      <c r="L398">
        <v>1.1000000000000001</v>
      </c>
      <c r="M398">
        <v>0.64</v>
      </c>
      <c r="N398">
        <v>28.211514999999999</v>
      </c>
      <c r="O398">
        <v>28.539294000000002</v>
      </c>
      <c r="P398">
        <v>19.196539000000001</v>
      </c>
      <c r="Q398">
        <v>9.48</v>
      </c>
      <c r="R398" t="str">
        <v/>
      </c>
      <c r="S398" t="str">
        <v/>
      </c>
      <c r="T398">
        <v>278</v>
      </c>
      <c r="U398">
        <v>242</v>
      </c>
      <c r="V398">
        <v>1.29</v>
      </c>
      <c r="W398">
        <v>3</v>
      </c>
      <c r="X398" s="5">
        <f t="shared" si="15"/>
        <v>4.53125</v>
      </c>
      <c r="Y398" s="6">
        <f t="shared" si="16"/>
        <v>300000000</v>
      </c>
    </row>
    <row r="399" spans="2:25" x14ac:dyDescent="0.25">
      <c r="B399" t="str">
        <f>Siam_Chart[[#This Row],[Name]]</f>
        <v>MEDEZE</v>
      </c>
      <c r="C399">
        <f>Siam_Chart[[#This Row],[No.]]</f>
        <v>398</v>
      </c>
      <c r="D399">
        <f>Siam_Chart[[#This Row],[Last]]</f>
        <v>6.45</v>
      </c>
      <c r="E399">
        <f>Siam_Chart[[#This Row],[Chg%]]</f>
        <v>0.78</v>
      </c>
      <c r="F399">
        <f>Siam_Chart[[#This Row],[Volume]]</f>
        <v>81300</v>
      </c>
      <c r="G399">
        <f>Siam_Chart[[#This Row],[Value (k)]]</f>
        <v>523585</v>
      </c>
      <c r="H399" cm="1">
        <f t="array" ref="H399:W399">Siam_Chart[[#This Row],[MCap (M)]:[CG]]</f>
        <v>6888600000</v>
      </c>
      <c r="I399">
        <v>48.68</v>
      </c>
      <c r="J399">
        <v>2.34</v>
      </c>
      <c r="K399">
        <v>0.18398100000000001</v>
      </c>
      <c r="L399">
        <v>0.08</v>
      </c>
      <c r="M399">
        <v>7.0000000000000007E-2</v>
      </c>
      <c r="N399">
        <v>4.7509230000000002</v>
      </c>
      <c r="O399">
        <v>4.7868069999999996</v>
      </c>
      <c r="P399">
        <v>20.668469000000002</v>
      </c>
      <c r="Q399">
        <v>2.48</v>
      </c>
      <c r="R399" t="str">
        <v/>
      </c>
      <c r="S399" t="str">
        <v/>
      </c>
      <c r="T399">
        <v>1152</v>
      </c>
      <c r="U399">
        <v>1047</v>
      </c>
      <c r="V399">
        <v>-143.22</v>
      </c>
      <c r="W399">
        <v>3</v>
      </c>
      <c r="X399" s="5">
        <f t="shared" si="15"/>
        <v>2.7564102564102568</v>
      </c>
      <c r="Y399" s="6">
        <f t="shared" si="16"/>
        <v>1068000000</v>
      </c>
    </row>
    <row r="400" spans="2:25" x14ac:dyDescent="0.25">
      <c r="B400" t="str">
        <f>Siam_Chart[[#This Row],[Name]]</f>
        <v>MEGA</v>
      </c>
      <c r="C400">
        <f>Siam_Chart[[#This Row],[No.]]</f>
        <v>399</v>
      </c>
      <c r="D400">
        <f>Siam_Chart[[#This Row],[Last]]</f>
        <v>36</v>
      </c>
      <c r="E400">
        <f>Siam_Chart[[#This Row],[Chg%]]</f>
        <v>0.7</v>
      </c>
      <c r="F400">
        <f>Siam_Chart[[#This Row],[Volume]]</f>
        <v>473482</v>
      </c>
      <c r="G400">
        <f>Siam_Chart[[#This Row],[Value (k)]]</f>
        <v>17033469.25</v>
      </c>
      <c r="H400" cm="1">
        <f t="array" ref="H400:W400">Siam_Chart[[#This Row],[MCap (M)]:[CG]]</f>
        <v>31387302288</v>
      </c>
      <c r="I400">
        <v>14.33</v>
      </c>
      <c r="J400">
        <v>3.03</v>
      </c>
      <c r="K400">
        <v>0.54935199999999995</v>
      </c>
      <c r="L400">
        <v>0.85</v>
      </c>
      <c r="M400">
        <v>1.28</v>
      </c>
      <c r="N400">
        <v>18.892153</v>
      </c>
      <c r="O400">
        <v>21.590326999999998</v>
      </c>
      <c r="P400">
        <v>15.977964</v>
      </c>
      <c r="Q400">
        <v>4.4400000000000004</v>
      </c>
      <c r="R400" t="str">
        <v/>
      </c>
      <c r="S400" t="str">
        <v/>
      </c>
      <c r="T400">
        <v>571</v>
      </c>
      <c r="U400">
        <v>525</v>
      </c>
      <c r="V400">
        <v>1624</v>
      </c>
      <c r="W400">
        <v>5</v>
      </c>
      <c r="X400" s="5">
        <f t="shared" si="15"/>
        <v>11.881188118811881</v>
      </c>
      <c r="Y400" s="6">
        <f t="shared" si="16"/>
        <v>871869508</v>
      </c>
    </row>
    <row r="401" spans="2:25" x14ac:dyDescent="0.25">
      <c r="B401" t="str">
        <f>Siam_Chart[[#This Row],[Name]]</f>
        <v>MENA</v>
      </c>
      <c r="C401">
        <f>Siam_Chart[[#This Row],[No.]]</f>
        <v>400</v>
      </c>
      <c r="D401">
        <f>Siam_Chart[[#This Row],[Last]]</f>
        <v>0.83</v>
      </c>
      <c r="E401">
        <f>Siam_Chart[[#This Row],[Chg%]]</f>
        <v>-2.35</v>
      </c>
      <c r="F401">
        <f>Siam_Chart[[#This Row],[Volume]]</f>
        <v>647100</v>
      </c>
      <c r="G401">
        <f>Siam_Chart[[#This Row],[Value (k)]]</f>
        <v>540506</v>
      </c>
      <c r="H401" cm="1">
        <f t="array" ref="H401:W401">Siam_Chart[[#This Row],[MCap (M)]:[CG]]</f>
        <v>609220000</v>
      </c>
      <c r="I401">
        <v>8.9</v>
      </c>
      <c r="J401">
        <v>0.6</v>
      </c>
      <c r="K401">
        <v>0.43317499999999998</v>
      </c>
      <c r="L401">
        <v>1.4999999999999999E-2</v>
      </c>
      <c r="M401">
        <v>0.05</v>
      </c>
      <c r="N401">
        <v>6.0507210000000002</v>
      </c>
      <c r="O401">
        <v>6.9799379999999998</v>
      </c>
      <c r="P401">
        <v>7.9584530000000004</v>
      </c>
      <c r="Q401">
        <v>1.81</v>
      </c>
      <c r="R401" t="str">
        <v/>
      </c>
      <c r="S401" t="str">
        <v/>
      </c>
      <c r="T401">
        <v>566</v>
      </c>
      <c r="U401">
        <v>522</v>
      </c>
      <c r="V401">
        <v>0.39</v>
      </c>
      <c r="W401">
        <v>3</v>
      </c>
      <c r="X401" s="5">
        <f t="shared" si="15"/>
        <v>1.3833333333333333</v>
      </c>
      <c r="Y401" s="6">
        <f t="shared" si="16"/>
        <v>734000000</v>
      </c>
    </row>
    <row r="402" spans="2:25" x14ac:dyDescent="0.25">
      <c r="B402" t="str">
        <f>Siam_Chart[[#This Row],[Name]]</f>
        <v>META</v>
      </c>
      <c r="C402">
        <f>Siam_Chart[[#This Row],[No.]]</f>
        <v>401</v>
      </c>
      <c r="D402">
        <f>Siam_Chart[[#This Row],[Last]]</f>
        <v>2025</v>
      </c>
      <c r="E402">
        <f>Siam_Chart[[#This Row],[Chg%]]</f>
        <v>-66.666666666666657</v>
      </c>
      <c r="F402">
        <f>Siam_Chart[[#This Row],[Volume]]</f>
        <v>418950679</v>
      </c>
      <c r="G402">
        <f>Siam_Chart[[#This Row],[Value (k)]]</f>
        <v>10728.203380000001</v>
      </c>
      <c r="H402" cm="1">
        <f t="array" ref="H402:W402">Siam_Chart[[#This Row],[MCap (M)]:[CG]]</f>
        <v>61</v>
      </c>
      <c r="I402">
        <v>0</v>
      </c>
      <c r="J402">
        <v>1.0527102127164967</v>
      </c>
      <c r="K402">
        <v>1.05271</v>
      </c>
      <c r="L402">
        <v>-0.02</v>
      </c>
      <c r="M402">
        <v>-0.02</v>
      </c>
      <c r="N402">
        <v>-0.65409700000000004</v>
      </c>
      <c r="O402">
        <v>-3.9644629999999998</v>
      </c>
      <c r="P402">
        <v>-36.983981999999997</v>
      </c>
      <c r="Q402">
        <v>0</v>
      </c>
      <c r="R402" t="str">
        <v/>
      </c>
      <c r="S402" t="str">
        <v/>
      </c>
      <c r="T402">
        <v>0</v>
      </c>
      <c r="U402">
        <v>0</v>
      </c>
      <c r="V402">
        <v>0</v>
      </c>
      <c r="W402">
        <v>0</v>
      </c>
      <c r="X402" s="5">
        <f t="shared" si="15"/>
        <v>1923.6063026068018</v>
      </c>
      <c r="Y402" s="6">
        <f t="shared" si="16"/>
        <v>3.0123456790123456E-2</v>
      </c>
    </row>
    <row r="403" spans="2:25" x14ac:dyDescent="0.25">
      <c r="B403" t="str">
        <f>Siam_Chart[[#This Row],[Name]]</f>
        <v>METCO</v>
      </c>
      <c r="C403">
        <f>Siam_Chart[[#This Row],[No.]]</f>
        <v>402</v>
      </c>
      <c r="D403">
        <f>Siam_Chart[[#This Row],[Last]]</f>
        <v>299</v>
      </c>
      <c r="E403">
        <f>Siam_Chart[[#This Row],[Chg%]]</f>
        <v>-0.33</v>
      </c>
      <c r="F403">
        <f>Siam_Chart[[#This Row],[Volume]]</f>
        <v>6102</v>
      </c>
      <c r="G403">
        <f>Siam_Chart[[#This Row],[Value (k)]]</f>
        <v>1831900</v>
      </c>
      <c r="H403" cm="1">
        <f t="array" ref="H403:W403">Siam_Chart[[#This Row],[MCap (M)]:[CG]]</f>
        <v>6248531900</v>
      </c>
      <c r="I403">
        <v>5.74</v>
      </c>
      <c r="J403">
        <v>0.85</v>
      </c>
      <c r="K403">
        <v>0.37507299999999999</v>
      </c>
      <c r="L403">
        <v>30</v>
      </c>
      <c r="M403">
        <v>36.17</v>
      </c>
      <c r="N403">
        <v>13.884698</v>
      </c>
      <c r="O403">
        <v>15.221218</v>
      </c>
      <c r="P403">
        <v>6.274991</v>
      </c>
      <c r="Q403">
        <v>10.029999999999999</v>
      </c>
      <c r="R403" t="str">
        <v/>
      </c>
      <c r="S403" t="str">
        <v/>
      </c>
      <c r="T403">
        <v>179</v>
      </c>
      <c r="U403">
        <v>117</v>
      </c>
      <c r="V403">
        <v>0.09</v>
      </c>
      <c r="W403">
        <v>4</v>
      </c>
      <c r="X403" s="5">
        <f t="shared" si="15"/>
        <v>351.76470588235293</v>
      </c>
      <c r="Y403" s="6">
        <f t="shared" si="16"/>
        <v>20898100</v>
      </c>
    </row>
    <row r="404" spans="2:25" x14ac:dyDescent="0.25">
      <c r="B404" t="str">
        <f>Siam_Chart[[#This Row],[Name]]</f>
        <v>MFC</v>
      </c>
      <c r="C404">
        <f>Siam_Chart[[#This Row],[No.]]</f>
        <v>403</v>
      </c>
      <c r="D404">
        <f>Siam_Chart[[#This Row],[Last]]</f>
        <v>22</v>
      </c>
      <c r="E404">
        <f>Siam_Chart[[#This Row],[Chg%]]</f>
        <v>0</v>
      </c>
      <c r="F404">
        <f>Siam_Chart[[#This Row],[Volume]]</f>
        <v>19554</v>
      </c>
      <c r="G404">
        <f>Siam_Chart[[#This Row],[Value (k)]]</f>
        <v>430838</v>
      </c>
      <c r="H404" cm="1">
        <f t="array" ref="H404:W404">Siam_Chart[[#This Row],[MCap (M)]:[CG]]</f>
        <v>2763545576</v>
      </c>
      <c r="I404">
        <v>7.82</v>
      </c>
      <c r="J404">
        <v>1.78</v>
      </c>
      <c r="K404">
        <v>0.51510699999999998</v>
      </c>
      <c r="L404">
        <v>1.25</v>
      </c>
      <c r="M404">
        <v>2.08</v>
      </c>
      <c r="N404">
        <v>22.008963000000001</v>
      </c>
      <c r="O404">
        <v>25.326606999999999</v>
      </c>
      <c r="P404">
        <v>24.050156999999999</v>
      </c>
      <c r="Q404">
        <v>5.68</v>
      </c>
      <c r="R404" t="str">
        <v/>
      </c>
      <c r="S404" t="str">
        <v/>
      </c>
      <c r="T404">
        <v>379</v>
      </c>
      <c r="U404">
        <v>379</v>
      </c>
      <c r="V404">
        <v>-2.4900000000000002</v>
      </c>
      <c r="W404">
        <v>5</v>
      </c>
      <c r="X404" s="5">
        <f t="shared" si="15"/>
        <v>12.359550561797752</v>
      </c>
      <c r="Y404" s="6">
        <f t="shared" si="16"/>
        <v>125615708</v>
      </c>
    </row>
    <row r="405" spans="2:25" x14ac:dyDescent="0.25">
      <c r="B405" t="str">
        <f>Siam_Chart[[#This Row],[Name]]</f>
        <v>MFEC</v>
      </c>
      <c r="C405">
        <f>Siam_Chart[[#This Row],[No.]]</f>
        <v>404</v>
      </c>
      <c r="D405">
        <f>Siam_Chart[[#This Row],[Last]]</f>
        <v>6.25</v>
      </c>
      <c r="E405">
        <f>Siam_Chart[[#This Row],[Chg%]]</f>
        <v>0.81</v>
      </c>
      <c r="F405">
        <f>Siam_Chart[[#This Row],[Volume]]</f>
        <v>113801</v>
      </c>
      <c r="G405">
        <f>Siam_Chart[[#This Row],[Value (k)]]</f>
        <v>708071.25</v>
      </c>
      <c r="H405" cm="1">
        <f t="array" ref="H405:W405">Siam_Chart[[#This Row],[MCap (M)]:[CG]]</f>
        <v>2759084718.75</v>
      </c>
      <c r="I405">
        <v>9.49</v>
      </c>
      <c r="J405">
        <v>1.08</v>
      </c>
      <c r="K405">
        <v>1.3272569999999999</v>
      </c>
      <c r="L405">
        <v>0.5</v>
      </c>
      <c r="M405">
        <v>0.34</v>
      </c>
      <c r="N405">
        <v>6.5365229999999999</v>
      </c>
      <c r="O405">
        <v>11.595497999999999</v>
      </c>
      <c r="P405">
        <v>4.8096909999999999</v>
      </c>
      <c r="Q405">
        <v>8</v>
      </c>
      <c r="R405" t="str">
        <v/>
      </c>
      <c r="S405" t="str">
        <v/>
      </c>
      <c r="T405">
        <v>444</v>
      </c>
      <c r="U405">
        <v>548</v>
      </c>
      <c r="V405">
        <v>0.36</v>
      </c>
      <c r="W405">
        <v>5</v>
      </c>
      <c r="X405" s="5">
        <f t="shared" si="15"/>
        <v>5.7870370370370363</v>
      </c>
      <c r="Y405" s="6">
        <f t="shared" si="16"/>
        <v>441453555</v>
      </c>
    </row>
    <row r="406" spans="2:25" x14ac:dyDescent="0.25">
      <c r="B406" t="str">
        <f>Siam_Chart[[#This Row],[Name]]</f>
        <v>MGC</v>
      </c>
      <c r="C406">
        <f>Siam_Chart[[#This Row],[No.]]</f>
        <v>405</v>
      </c>
      <c r="D406">
        <f>Siam_Chart[[#This Row],[Last]]</f>
        <v>8.1</v>
      </c>
      <c r="E406">
        <f>Siam_Chart[[#This Row],[Chg%]]</f>
        <v>-1.22</v>
      </c>
      <c r="F406">
        <f>Siam_Chart[[#This Row],[Volume]]</f>
        <v>1999796</v>
      </c>
      <c r="G406">
        <f>Siam_Chart[[#This Row],[Value (k)]]</f>
        <v>16345045.6</v>
      </c>
      <c r="H406" cm="1">
        <f t="array" ref="H406:W406">Siam_Chart[[#This Row],[MCap (M)]:[CG]]</f>
        <v>9072000000</v>
      </c>
      <c r="I406">
        <v>4.88</v>
      </c>
      <c r="J406">
        <v>1.58</v>
      </c>
      <c r="K406">
        <v>2.137254</v>
      </c>
      <c r="L406">
        <v>0.24</v>
      </c>
      <c r="M406">
        <v>0.61</v>
      </c>
      <c r="N406">
        <v>16.253481000000001</v>
      </c>
      <c r="O406">
        <v>37.617291000000002</v>
      </c>
      <c r="P406">
        <v>4.5733220000000001</v>
      </c>
      <c r="Q406">
        <v>3.09</v>
      </c>
      <c r="R406" t="str">
        <v/>
      </c>
      <c r="S406" t="str">
        <v/>
      </c>
      <c r="T406">
        <v>96</v>
      </c>
      <c r="U406">
        <v>170</v>
      </c>
      <c r="V406">
        <v>0.03</v>
      </c>
      <c r="W406">
        <v>5</v>
      </c>
      <c r="X406" s="5">
        <f t="shared" si="15"/>
        <v>5.1265822784810124</v>
      </c>
      <c r="Y406" s="6">
        <f t="shared" si="16"/>
        <v>1120000000</v>
      </c>
    </row>
    <row r="407" spans="2:25" x14ac:dyDescent="0.25">
      <c r="B407" t="str">
        <f>Siam_Chart[[#This Row],[Name]]</f>
        <v>MGI</v>
      </c>
      <c r="C407">
        <f>Siam_Chart[[#This Row],[No.]]</f>
        <v>406</v>
      </c>
      <c r="D407">
        <f>Siam_Chart[[#This Row],[Last]]</f>
        <v>5.25</v>
      </c>
      <c r="E407">
        <f>Siam_Chart[[#This Row],[Chg%]]</f>
        <v>0</v>
      </c>
      <c r="F407">
        <f>Siam_Chart[[#This Row],[Volume]]</f>
        <v>26000</v>
      </c>
      <c r="G407">
        <f>Siam_Chart[[#This Row],[Value (k)]]</f>
        <v>135823.54999999999</v>
      </c>
      <c r="H407" cm="1">
        <f t="array" ref="H407:W407">Siam_Chart[[#This Row],[MCap (M)]:[CG]]</f>
        <v>1102500000</v>
      </c>
      <c r="I407">
        <v>19.39</v>
      </c>
      <c r="J407">
        <v>2.27</v>
      </c>
      <c r="K407">
        <v>0.94085799999999997</v>
      </c>
      <c r="L407">
        <v>0.25</v>
      </c>
      <c r="M407">
        <v>0.03</v>
      </c>
      <c r="N407">
        <v>9.3473439999999997</v>
      </c>
      <c r="O407">
        <v>11.699508</v>
      </c>
      <c r="P407">
        <v>1.8221339999999999</v>
      </c>
      <c r="Q407">
        <v>4.76</v>
      </c>
      <c r="R407" t="str">
        <v/>
      </c>
      <c r="S407" t="str">
        <v/>
      </c>
      <c r="T407">
        <v>763</v>
      </c>
      <c r="U407">
        <v>732</v>
      </c>
      <c r="V407">
        <v>1.98</v>
      </c>
      <c r="W407">
        <v>0</v>
      </c>
      <c r="X407" s="5">
        <f t="shared" si="15"/>
        <v>2.3127753303964758</v>
      </c>
      <c r="Y407" s="6">
        <f t="shared" si="16"/>
        <v>210000000</v>
      </c>
    </row>
    <row r="408" spans="2:25" x14ac:dyDescent="0.25">
      <c r="B408" t="str">
        <f>Siam_Chart[[#This Row],[Name]]</f>
        <v>MGT</v>
      </c>
      <c r="C408">
        <f>Siam_Chart[[#This Row],[No.]]</f>
        <v>407</v>
      </c>
      <c r="D408">
        <f>Siam_Chart[[#This Row],[Last]]</f>
        <v>2.2200000000000002</v>
      </c>
      <c r="E408">
        <f>Siam_Chart[[#This Row],[Chg%]]</f>
        <v>-0.89</v>
      </c>
      <c r="F408">
        <f>Siam_Chart[[#This Row],[Volume]]</f>
        <v>376550</v>
      </c>
      <c r="G408">
        <f>Siam_Chart[[#This Row],[Value (k)]]</f>
        <v>833287</v>
      </c>
      <c r="H408" cm="1">
        <f t="array" ref="H408:W408">Siam_Chart[[#This Row],[MCap (M)]:[CG]]</f>
        <v>888000000</v>
      </c>
      <c r="I408">
        <v>7.53</v>
      </c>
      <c r="J408">
        <v>1.2</v>
      </c>
      <c r="K408">
        <v>0.48694700000000002</v>
      </c>
      <c r="L408">
        <v>0.03</v>
      </c>
      <c r="M408">
        <v>0.17</v>
      </c>
      <c r="N408">
        <v>15.060337000000001</v>
      </c>
      <c r="O408">
        <v>16.892486999999999</v>
      </c>
      <c r="P408">
        <v>12.191128000000001</v>
      </c>
      <c r="Q408">
        <v>3.83</v>
      </c>
      <c r="R408" t="str">
        <v/>
      </c>
      <c r="S408" t="str">
        <v/>
      </c>
      <c r="T408">
        <v>232</v>
      </c>
      <c r="U408">
        <v>181</v>
      </c>
      <c r="V408">
        <v>-27.63</v>
      </c>
      <c r="W408">
        <v>0</v>
      </c>
      <c r="X408" s="5">
        <f t="shared" si="15"/>
        <v>1.8500000000000003</v>
      </c>
      <c r="Y408" s="6">
        <f t="shared" si="16"/>
        <v>399999999.99999994</v>
      </c>
    </row>
    <row r="409" spans="2:25" x14ac:dyDescent="0.25">
      <c r="B409" t="str">
        <f>Siam_Chart[[#This Row],[Name]]</f>
        <v>MICRO</v>
      </c>
      <c r="C409">
        <f>Siam_Chart[[#This Row],[No.]]</f>
        <v>408</v>
      </c>
      <c r="D409">
        <f>Siam_Chart[[#This Row],[Last]]</f>
        <v>1.55</v>
      </c>
      <c r="E409">
        <f>Siam_Chart[[#This Row],[Chg%]]</f>
        <v>0</v>
      </c>
      <c r="F409">
        <f>Siam_Chart[[#This Row],[Volume]]</f>
        <v>856502</v>
      </c>
      <c r="G409">
        <f>Siam_Chart[[#This Row],[Value (k)]]</f>
        <v>1328229.1000000001</v>
      </c>
      <c r="H409" cm="1">
        <f t="array" ref="H409:W409">Siam_Chart[[#This Row],[MCap (M)]:[CG]]</f>
        <v>1449250000</v>
      </c>
      <c r="I409">
        <v>15.84</v>
      </c>
      <c r="J409">
        <v>0.79</v>
      </c>
      <c r="K409">
        <v>0.57738199999999995</v>
      </c>
      <c r="L409">
        <v>2.7E-2</v>
      </c>
      <c r="M409">
        <v>7.0000000000000007E-2</v>
      </c>
      <c r="N409">
        <v>5.9001010000000003</v>
      </c>
      <c r="O409">
        <v>5.1172769999999996</v>
      </c>
      <c r="P409">
        <v>27.427669999999999</v>
      </c>
      <c r="Q409">
        <v>1.74</v>
      </c>
      <c r="R409" t="str">
        <v/>
      </c>
      <c r="S409" t="str">
        <v/>
      </c>
      <c r="T409">
        <v>1112</v>
      </c>
      <c r="U409">
        <v>1167</v>
      </c>
      <c r="V409">
        <v>-0.51</v>
      </c>
      <c r="W409">
        <v>4</v>
      </c>
      <c r="X409" s="5">
        <f t="shared" si="15"/>
        <v>1.9620253164556962</v>
      </c>
      <c r="Y409" s="6">
        <f t="shared" si="16"/>
        <v>935000000</v>
      </c>
    </row>
    <row r="410" spans="2:25" x14ac:dyDescent="0.25">
      <c r="B410" t="str">
        <f>Siam_Chart[[#This Row],[Name]]</f>
        <v>MIDA</v>
      </c>
      <c r="C410">
        <f>Siam_Chart[[#This Row],[No.]]</f>
        <v>409</v>
      </c>
      <c r="D410">
        <f>Siam_Chart[[#This Row],[Last]]</f>
        <v>0.47</v>
      </c>
      <c r="E410">
        <f>Siam_Chart[[#This Row],[Chg%]]</f>
        <v>0</v>
      </c>
      <c r="F410">
        <f>Siam_Chart[[#This Row],[Volume]]</f>
        <v>1081000</v>
      </c>
      <c r="G410">
        <f>Siam_Chart[[#This Row],[Value (k)]]</f>
        <v>513667</v>
      </c>
      <c r="H410" cm="1">
        <f t="array" ref="H410:W410">Siam_Chart[[#This Row],[MCap (M)]:[CG]]</f>
        <v>1176926169.04</v>
      </c>
      <c r="I410">
        <v>1227008133.6800001</v>
      </c>
      <c r="J410">
        <v>0.38</v>
      </c>
      <c r="K410">
        <v>1.6034299999999999</v>
      </c>
      <c r="L410">
        <v>0.03</v>
      </c>
      <c r="M410">
        <v>0.03</v>
      </c>
      <c r="N410">
        <v>7.0088999999999999E-2</v>
      </c>
      <c r="O410">
        <v>-8.6686490000000003</v>
      </c>
      <c r="P410">
        <v>3.2309600000000001</v>
      </c>
      <c r="Q410">
        <v>0.4</v>
      </c>
      <c r="R410" t="str">
        <v/>
      </c>
      <c r="S410" t="str">
        <v/>
      </c>
      <c r="T410">
        <v>0</v>
      </c>
      <c r="U410">
        <v>0</v>
      </c>
      <c r="V410">
        <v>0</v>
      </c>
      <c r="W410">
        <v>0</v>
      </c>
      <c r="X410" s="5">
        <f t="shared" si="15"/>
        <v>1.2368421052631577</v>
      </c>
      <c r="Y410" s="6">
        <f t="shared" si="16"/>
        <v>2504098232</v>
      </c>
    </row>
    <row r="411" spans="2:25" x14ac:dyDescent="0.25">
      <c r="B411" t="str">
        <f>Siam_Chart[[#This Row],[Name]]</f>
        <v>MILL</v>
      </c>
      <c r="C411">
        <f>Siam_Chart[[#This Row],[No.]]</f>
        <v>410</v>
      </c>
      <c r="D411">
        <f>Siam_Chart[[#This Row],[Last]]</f>
        <v>2025</v>
      </c>
      <c r="E411">
        <f>Siam_Chart[[#This Row],[Chg%]]</f>
        <v>-87.500000000000014</v>
      </c>
      <c r="F411">
        <f>Siam_Chart[[#This Row],[Volume]]</f>
        <v>320303108</v>
      </c>
      <c r="G411">
        <f>Siam_Chart[[#This Row],[Value (k)]]</f>
        <v>8151.5344400000004</v>
      </c>
      <c r="H411" cm="1">
        <f t="array" ref="H411:W411">Siam_Chart[[#This Row],[MCap (M)]:[CG]]</f>
        <v>95</v>
      </c>
      <c r="I411">
        <v>0</v>
      </c>
      <c r="J411">
        <v>39.475880570959127</v>
      </c>
      <c r="K411">
        <v>39.475881000000001</v>
      </c>
      <c r="L411">
        <v>0.01</v>
      </c>
      <c r="M411">
        <v>-7.0000000000000007E-2</v>
      </c>
      <c r="N411">
        <v>-3.5939809999999999</v>
      </c>
      <c r="O411">
        <v>-199.24409199999999</v>
      </c>
      <c r="P411">
        <v>-32.898159999999997</v>
      </c>
      <c r="Q411">
        <v>0</v>
      </c>
      <c r="R411" t="str">
        <v/>
      </c>
      <c r="S411" t="str">
        <v/>
      </c>
      <c r="T411">
        <v>0</v>
      </c>
      <c r="U411">
        <v>0</v>
      </c>
      <c r="V411">
        <v>0</v>
      </c>
      <c r="W411">
        <v>3</v>
      </c>
      <c r="X411" s="5">
        <f t="shared" si="15"/>
        <v>51.297145768794174</v>
      </c>
      <c r="Y411" s="6">
        <f t="shared" si="16"/>
        <v>4.6913580246913583E-2</v>
      </c>
    </row>
    <row r="412" spans="2:25" x14ac:dyDescent="0.25">
      <c r="B412" t="str">
        <f>Siam_Chart[[#This Row],[Name]]</f>
        <v>MINT</v>
      </c>
      <c r="C412">
        <f>Siam_Chart[[#This Row],[No.]]</f>
        <v>411</v>
      </c>
      <c r="D412">
        <f>Siam_Chart[[#This Row],[Last]]</f>
        <v>22.4</v>
      </c>
      <c r="E412">
        <f>Siam_Chart[[#This Row],[Chg%]]</f>
        <v>-1.32</v>
      </c>
      <c r="F412">
        <f>Siam_Chart[[#This Row],[Volume]]</f>
        <v>17008157</v>
      </c>
      <c r="G412">
        <f>Siam_Chart[[#This Row],[Value (k)]]</f>
        <v>380984965.39999998</v>
      </c>
      <c r="H412" cm="1">
        <f t="array" ref="H412:W412">Siam_Chart[[#This Row],[MCap (M)]:[CG]]</f>
        <v>127007484284.8</v>
      </c>
      <c r="I412">
        <v>13.31</v>
      </c>
      <c r="J412">
        <v>1.52</v>
      </c>
      <c r="K412">
        <v>3.090287</v>
      </c>
      <c r="L412">
        <v>0.3</v>
      </c>
      <c r="M412">
        <v>0.56000000000000005</v>
      </c>
      <c r="N412">
        <v>6.3558779999999997</v>
      </c>
      <c r="O412">
        <v>11.138680000000001</v>
      </c>
      <c r="P412">
        <v>5.0774559999999997</v>
      </c>
      <c r="Q412">
        <v>3.14</v>
      </c>
      <c r="R412" t="str">
        <v/>
      </c>
      <c r="S412" t="str">
        <v/>
      </c>
      <c r="T412">
        <v>656</v>
      </c>
      <c r="U412">
        <v>760</v>
      </c>
      <c r="V412">
        <v>-1.17</v>
      </c>
      <c r="W412">
        <v>5</v>
      </c>
      <c r="X412" s="5">
        <f t="shared" si="15"/>
        <v>14.736842105263158</v>
      </c>
      <c r="Y412" s="6">
        <f t="shared" si="16"/>
        <v>5669976977.000001</v>
      </c>
    </row>
    <row r="413" spans="2:25" x14ac:dyDescent="0.25">
      <c r="B413" t="str">
        <f>Siam_Chart[[#This Row],[Name]]</f>
        <v>MITSIB</v>
      </c>
      <c r="C413">
        <f>Siam_Chart[[#This Row],[No.]]</f>
        <v>412</v>
      </c>
      <c r="D413">
        <f>Siam_Chart[[#This Row],[Last]]</f>
        <v>0.68</v>
      </c>
      <c r="E413">
        <f>Siam_Chart[[#This Row],[Chg%]]</f>
        <v>1.49</v>
      </c>
      <c r="F413">
        <f>Siam_Chart[[#This Row],[Volume]]</f>
        <v>11654644</v>
      </c>
      <c r="G413">
        <f>Siam_Chart[[#This Row],[Value (k)]]</f>
        <v>8288320.3099999996</v>
      </c>
      <c r="H413" cm="1">
        <f t="array" ref="H413:W413">Siam_Chart[[#This Row],[MCap (M)]:[CG]]</f>
        <v>933394403.72000003</v>
      </c>
      <c r="I413">
        <v>15.65</v>
      </c>
      <c r="J413">
        <v>0.76</v>
      </c>
      <c r="K413">
        <v>0.64654100000000003</v>
      </c>
      <c r="L413">
        <v>0.02</v>
      </c>
      <c r="M413">
        <v>0.02</v>
      </c>
      <c r="N413">
        <v>5.8299060000000003</v>
      </c>
      <c r="O413">
        <v>4.9130320000000003</v>
      </c>
      <c r="P413">
        <v>10.601132</v>
      </c>
      <c r="Q413">
        <v>2.94</v>
      </c>
      <c r="R413" t="str">
        <v/>
      </c>
      <c r="S413" t="str">
        <v/>
      </c>
      <c r="T413">
        <v>961</v>
      </c>
      <c r="U413">
        <v>1028</v>
      </c>
      <c r="V413">
        <v>0.14000000000000001</v>
      </c>
      <c r="W413">
        <v>3</v>
      </c>
      <c r="X413" s="5">
        <f t="shared" si="15"/>
        <v>0.89473684210526316</v>
      </c>
      <c r="Y413" s="6">
        <f t="shared" si="16"/>
        <v>1372638829</v>
      </c>
    </row>
    <row r="414" spans="2:25" x14ac:dyDescent="0.25">
      <c r="B414" t="str">
        <f>Siam_Chart[[#This Row],[Name]]</f>
        <v>MJD</v>
      </c>
      <c r="C414">
        <f>Siam_Chart[[#This Row],[No.]]</f>
        <v>413</v>
      </c>
      <c r="D414">
        <f>Siam_Chart[[#This Row],[Last]]</f>
        <v>0.33</v>
      </c>
      <c r="E414">
        <f>Siam_Chart[[#This Row],[Chg%]]</f>
        <v>0</v>
      </c>
      <c r="F414">
        <f>Siam_Chart[[#This Row],[Volume]]</f>
        <v>511900</v>
      </c>
      <c r="G414">
        <f>Siam_Chart[[#This Row],[Value (k)]]</f>
        <v>168926</v>
      </c>
      <c r="H414" cm="1">
        <f t="array" ref="H414:W414">Siam_Chart[[#This Row],[MCap (M)]:[CG]]</f>
        <v>283935939.87</v>
      </c>
      <c r="I414">
        <v>275331820.48000002</v>
      </c>
      <c r="J414">
        <v>0.13</v>
      </c>
      <c r="K414">
        <v>4.8350989999999996</v>
      </c>
      <c r="L414">
        <v>-0.09</v>
      </c>
      <c r="M414">
        <v>-0.09</v>
      </c>
      <c r="N414">
        <v>-5.8667119999999997</v>
      </c>
      <c r="O414">
        <v>-58.898212000000001</v>
      </c>
      <c r="P414">
        <v>-5.0014130000000003</v>
      </c>
      <c r="Q414">
        <v>0.13</v>
      </c>
      <c r="R414" t="str">
        <v/>
      </c>
      <c r="S414" t="str">
        <v/>
      </c>
      <c r="T414">
        <v>0</v>
      </c>
      <c r="U414">
        <v>0</v>
      </c>
      <c r="V414">
        <v>0</v>
      </c>
      <c r="W414">
        <v>0</v>
      </c>
      <c r="X414" s="5">
        <f t="shared" si="15"/>
        <v>2.5384615384615383</v>
      </c>
      <c r="Y414" s="6">
        <f t="shared" si="16"/>
        <v>860411939</v>
      </c>
    </row>
    <row r="415" spans="2:25" x14ac:dyDescent="0.25">
      <c r="B415" t="str">
        <f>Siam_Chart[[#This Row],[Name]]</f>
        <v>MK</v>
      </c>
      <c r="C415">
        <f>Siam_Chart[[#This Row],[No.]]</f>
        <v>414</v>
      </c>
      <c r="D415">
        <f>Siam_Chart[[#This Row],[Last]]</f>
        <v>0.56999999999999995</v>
      </c>
      <c r="E415">
        <f>Siam_Chart[[#This Row],[Chg%]]</f>
        <v>1.79</v>
      </c>
      <c r="F415">
        <f>Siam_Chart[[#This Row],[Volume]]</f>
        <v>43210</v>
      </c>
      <c r="G415">
        <f>Siam_Chart[[#This Row],[Value (k)]]</f>
        <v>24618.6</v>
      </c>
      <c r="H415" cm="1">
        <f t="array" ref="H415:W415">Siam_Chart[[#This Row],[MCap (M)]:[CG]]</f>
        <v>811798468.23000002</v>
      </c>
      <c r="I415">
        <v>797556389.84000003</v>
      </c>
      <c r="J415">
        <v>0.18</v>
      </c>
      <c r="K415">
        <v>2.8362919999999998</v>
      </c>
      <c r="L415">
        <v>0.11</v>
      </c>
      <c r="M415">
        <v>-0.35</v>
      </c>
      <c r="N415">
        <v>0.17217299999999999</v>
      </c>
      <c r="O415">
        <v>-16.550391000000001</v>
      </c>
      <c r="P415">
        <v>-83.770847000000003</v>
      </c>
      <c r="Q415">
        <v>0.18</v>
      </c>
      <c r="R415" t="str">
        <v/>
      </c>
      <c r="S415" t="str">
        <v/>
      </c>
      <c r="T415">
        <v>0</v>
      </c>
      <c r="U415">
        <v>0</v>
      </c>
      <c r="V415">
        <v>0</v>
      </c>
      <c r="W415">
        <v>3</v>
      </c>
      <c r="X415" s="5">
        <f t="shared" si="15"/>
        <v>3.1666666666666665</v>
      </c>
      <c r="Y415" s="6">
        <f t="shared" si="16"/>
        <v>1424207839.0000002</v>
      </c>
    </row>
    <row r="416" spans="2:25" x14ac:dyDescent="0.25">
      <c r="B416" t="str">
        <f>Siam_Chart[[#This Row],[Name]]</f>
        <v>ML</v>
      </c>
      <c r="C416">
        <f>Siam_Chart[[#This Row],[No.]]</f>
        <v>415</v>
      </c>
      <c r="D416">
        <f>Siam_Chart[[#This Row],[Last]]</f>
        <v>0.7</v>
      </c>
      <c r="E416">
        <f>Siam_Chart[[#This Row],[Chg%]]</f>
        <v>2.94</v>
      </c>
      <c r="F416">
        <f>Siam_Chart[[#This Row],[Volume]]</f>
        <v>6546540</v>
      </c>
      <c r="G416">
        <f>Siam_Chart[[#This Row],[Value (k)]]</f>
        <v>4519007.2</v>
      </c>
      <c r="H416" cm="1">
        <f t="array" ref="H416:W416">Siam_Chart[[#This Row],[MCap (M)]:[CG]]</f>
        <v>745358403.29999995</v>
      </c>
      <c r="I416">
        <v>628230654.21000004</v>
      </c>
      <c r="J416">
        <v>1.1200000000000001</v>
      </c>
      <c r="K416">
        <v>0.68111999999999995</v>
      </c>
      <c r="L416">
        <v>0.11112</v>
      </c>
      <c r="M416">
        <v>-0.01</v>
      </c>
      <c r="N416">
        <v>1.165484</v>
      </c>
      <c r="O416">
        <v>-1.7997270000000001</v>
      </c>
      <c r="P416">
        <v>-7.2726769999999998</v>
      </c>
      <c r="Q416">
        <v>0.94</v>
      </c>
      <c r="R416" t="str">
        <v/>
      </c>
      <c r="S416" t="str">
        <v/>
      </c>
      <c r="T416">
        <v>0</v>
      </c>
      <c r="U416">
        <v>0</v>
      </c>
      <c r="V416">
        <v>0</v>
      </c>
      <c r="W416">
        <v>0</v>
      </c>
      <c r="X416" s="5">
        <f t="shared" si="15"/>
        <v>0.62499999999999989</v>
      </c>
      <c r="Y416" s="6">
        <f t="shared" si="16"/>
        <v>1064797719</v>
      </c>
    </row>
    <row r="417" spans="2:25" x14ac:dyDescent="0.25">
      <c r="B417" t="str">
        <f>Siam_Chart[[#This Row],[Name]]</f>
        <v>MMM</v>
      </c>
      <c r="C417">
        <f>Siam_Chart[[#This Row],[No.]]</f>
        <v>416</v>
      </c>
      <c r="D417">
        <f>Siam_Chart[[#This Row],[Last]]</f>
        <v>2.74</v>
      </c>
      <c r="E417">
        <f>Siam_Chart[[#This Row],[Chg%]]</f>
        <v>0</v>
      </c>
      <c r="F417">
        <f>Siam_Chart[[#This Row],[Volume]]</f>
        <v>214275</v>
      </c>
      <c r="G417">
        <f>Siam_Chart[[#This Row],[Value (k)]]</f>
        <v>583085.54</v>
      </c>
      <c r="H417" cm="1">
        <f t="array" ref="H417:W417">Siam_Chart[[#This Row],[MCap (M)]:[CG]]</f>
        <v>994619843.82000005</v>
      </c>
      <c r="I417">
        <v>7.02</v>
      </c>
      <c r="J417">
        <v>1.92</v>
      </c>
      <c r="K417">
        <v>7.3800000000000004E-2</v>
      </c>
      <c r="L417">
        <v>0.06</v>
      </c>
      <c r="M417">
        <v>0.19</v>
      </c>
      <c r="N417">
        <v>31.071649000000001</v>
      </c>
      <c r="O417">
        <v>26.627870000000001</v>
      </c>
      <c r="P417">
        <v>15.648837</v>
      </c>
      <c r="Q417">
        <v>4.68</v>
      </c>
      <c r="R417" t="str">
        <v/>
      </c>
      <c r="S417" t="str">
        <v/>
      </c>
      <c r="T417">
        <v>0</v>
      </c>
      <c r="U417">
        <v>0</v>
      </c>
      <c r="V417">
        <v>0.11</v>
      </c>
      <c r="W417">
        <v>0</v>
      </c>
      <c r="X417" s="5">
        <f t="shared" si="15"/>
        <v>1.4270833333333335</v>
      </c>
      <c r="Y417" s="6">
        <f t="shared" si="16"/>
        <v>362999943</v>
      </c>
    </row>
    <row r="418" spans="2:25" x14ac:dyDescent="0.25">
      <c r="B418" t="str">
        <f>Siam_Chart[[#This Row],[Name]]</f>
        <v>MODERN</v>
      </c>
      <c r="C418">
        <f>Siam_Chart[[#This Row],[No.]]</f>
        <v>417</v>
      </c>
      <c r="D418">
        <f>Siam_Chart[[#This Row],[Last]]</f>
        <v>2</v>
      </c>
      <c r="E418">
        <f>Siam_Chart[[#This Row],[Chg%]]</f>
        <v>0</v>
      </c>
      <c r="F418">
        <f>Siam_Chart[[#This Row],[Volume]]</f>
        <v>79000</v>
      </c>
      <c r="G418">
        <f>Siam_Chart[[#This Row],[Value (k)]]</f>
        <v>156968</v>
      </c>
      <c r="H418" cm="1">
        <f t="array" ref="H418:W418">Siam_Chart[[#This Row],[MCap (M)]:[CG]]</f>
        <v>1500000000</v>
      </c>
      <c r="I418">
        <v>15.23</v>
      </c>
      <c r="J418">
        <v>0.67</v>
      </c>
      <c r="K418">
        <v>0.52778800000000003</v>
      </c>
      <c r="L418">
        <v>0.15</v>
      </c>
      <c r="M418">
        <v>4.18159231130889</v>
      </c>
      <c r="N418">
        <v>4.1815920000000002</v>
      </c>
      <c r="O418">
        <v>4.3706500000000004</v>
      </c>
      <c r="P418">
        <v>0.238201</v>
      </c>
      <c r="Q418">
        <v>7.5</v>
      </c>
      <c r="R418" t="str">
        <v/>
      </c>
      <c r="S418" t="str">
        <v/>
      </c>
      <c r="T418">
        <v>1089</v>
      </c>
      <c r="U418">
        <v>1043</v>
      </c>
      <c r="V418">
        <v>0.77</v>
      </c>
      <c r="W418">
        <v>5</v>
      </c>
      <c r="X418" s="5">
        <f t="shared" si="15"/>
        <v>2.9850746268656714</v>
      </c>
      <c r="Y418" s="6">
        <f t="shared" si="16"/>
        <v>750000000</v>
      </c>
    </row>
    <row r="419" spans="2:25" x14ac:dyDescent="0.25">
      <c r="B419" t="str">
        <f>Siam_Chart[[#This Row],[Name]]</f>
        <v>MONO</v>
      </c>
      <c r="C419">
        <f>Siam_Chart[[#This Row],[No.]]</f>
        <v>418</v>
      </c>
      <c r="D419">
        <f>Siam_Chart[[#This Row],[Last]]</f>
        <v>0.59</v>
      </c>
      <c r="E419">
        <f>Siam_Chart[[#This Row],[Chg%]]</f>
        <v>-1.67</v>
      </c>
      <c r="F419">
        <f>Siam_Chart[[#This Row],[Volume]]</f>
        <v>2989650</v>
      </c>
      <c r="G419">
        <f>Siam_Chart[[#This Row],[Value (k)]]</f>
        <v>1791680.14</v>
      </c>
      <c r="H419" cm="1">
        <f t="array" ref="H419:W419">Siam_Chart[[#This Row],[MCap (M)]:[CG]]</f>
        <v>2047921882.4200001</v>
      </c>
      <c r="I419">
        <v>2290895665.0799999</v>
      </c>
      <c r="J419">
        <v>208.06</v>
      </c>
      <c r="K419">
        <v>237.404145</v>
      </c>
      <c r="L419">
        <v>0</v>
      </c>
      <c r="M419">
        <v>-13.903601176738066</v>
      </c>
      <c r="N419">
        <v>-13.903601</v>
      </c>
      <c r="O419">
        <v>-191.48394999999999</v>
      </c>
      <c r="P419">
        <v>-0.63768800000000003</v>
      </c>
      <c r="Q419">
        <v>232.74</v>
      </c>
      <c r="R419" t="str">
        <v/>
      </c>
      <c r="S419" t="str">
        <v/>
      </c>
      <c r="T419">
        <v>0</v>
      </c>
      <c r="U419">
        <v>0</v>
      </c>
      <c r="V419">
        <v>0</v>
      </c>
      <c r="W419">
        <v>5</v>
      </c>
      <c r="X419" s="5">
        <f t="shared" si="15"/>
        <v>2.8357204652504084E-3</v>
      </c>
      <c r="Y419" s="6">
        <f t="shared" si="16"/>
        <v>3471054038.0000005</v>
      </c>
    </row>
    <row r="420" spans="2:25" x14ac:dyDescent="0.25">
      <c r="B420" t="str">
        <f>Siam_Chart[[#This Row],[Name]]</f>
        <v>MOONG</v>
      </c>
      <c r="C420">
        <f>Siam_Chart[[#This Row],[No.]]</f>
        <v>419</v>
      </c>
      <c r="D420">
        <f>Siam_Chart[[#This Row],[Last]]</f>
        <v>2.34</v>
      </c>
      <c r="E420">
        <f>Siam_Chart[[#This Row],[Chg%]]</f>
        <v>0.86</v>
      </c>
      <c r="F420">
        <f>Siam_Chart[[#This Row],[Volume]]</f>
        <v>95995</v>
      </c>
      <c r="G420">
        <f>Siam_Chart[[#This Row],[Value (k)]]</f>
        <v>223777.54</v>
      </c>
      <c r="H420" cm="1">
        <f t="array" ref="H420:W420">Siam_Chart[[#This Row],[MCap (M)]:[CG]]</f>
        <v>789621922.44000006</v>
      </c>
      <c r="I420">
        <v>12.32</v>
      </c>
      <c r="J420">
        <v>0.78</v>
      </c>
      <c r="K420">
        <v>0.29117700000000002</v>
      </c>
      <c r="L420">
        <v>0.16</v>
      </c>
      <c r="M420">
        <v>0.08</v>
      </c>
      <c r="N420">
        <v>5.1989520000000002</v>
      </c>
      <c r="O420">
        <v>6.30769</v>
      </c>
      <c r="P420">
        <v>6.0606669999999996</v>
      </c>
      <c r="Q420">
        <v>9.76</v>
      </c>
      <c r="R420" t="str">
        <v/>
      </c>
      <c r="S420" t="str">
        <v/>
      </c>
      <c r="T420">
        <v>840</v>
      </c>
      <c r="U420">
        <v>810</v>
      </c>
      <c r="V420">
        <v>4.8</v>
      </c>
      <c r="W420">
        <v>5</v>
      </c>
      <c r="X420" s="5">
        <f t="shared" si="15"/>
        <v>2.9999999999999996</v>
      </c>
      <c r="Y420" s="6">
        <f t="shared" si="16"/>
        <v>337445266.00000006</v>
      </c>
    </row>
    <row r="421" spans="2:25" x14ac:dyDescent="0.25">
      <c r="B421" t="str">
        <f>Siam_Chart[[#This Row],[Name]]</f>
        <v>MORE</v>
      </c>
      <c r="C421">
        <f>Siam_Chart[[#This Row],[No.]]</f>
        <v>420</v>
      </c>
      <c r="D421">
        <f>Siam_Chart[[#This Row],[Last]]</f>
        <v>7.0000000000000007E-2</v>
      </c>
      <c r="E421">
        <f>Siam_Chart[[#This Row],[Chg%]]</f>
        <v>16.670000000000002</v>
      </c>
      <c r="F421">
        <f>Siam_Chart[[#This Row],[Volume]]</f>
        <v>752800</v>
      </c>
      <c r="G421">
        <f>Siam_Chart[[#This Row],[Value (k)]]</f>
        <v>50836</v>
      </c>
      <c r="H421" cm="1">
        <f t="array" ref="H421:W421">Siam_Chart[[#This Row],[MCap (M)]:[CG]]</f>
        <v>502372390.87</v>
      </c>
      <c r="I421">
        <v>28.08</v>
      </c>
      <c r="J421">
        <v>0.49</v>
      </c>
      <c r="K421">
        <v>7.8675999999999996E-2</v>
      </c>
      <c r="L421">
        <v>0</v>
      </c>
      <c r="M421">
        <v>2.5806531183611296</v>
      </c>
      <c r="N421">
        <v>2.5806529999999999</v>
      </c>
      <c r="O421">
        <v>1.748785</v>
      </c>
      <c r="P421">
        <v>17.490355999999998</v>
      </c>
      <c r="Q421">
        <v>0.49</v>
      </c>
      <c r="R421" t="str">
        <v/>
      </c>
      <c r="S421" t="str">
        <v/>
      </c>
      <c r="T421">
        <v>1211</v>
      </c>
      <c r="U421">
        <v>1175</v>
      </c>
      <c r="V421">
        <v>-0.08</v>
      </c>
      <c r="W421">
        <v>0</v>
      </c>
      <c r="X421" s="5">
        <f t="shared" si="15"/>
        <v>0.14285714285714288</v>
      </c>
      <c r="Y421" s="6">
        <f t="shared" si="16"/>
        <v>7176748440.999999</v>
      </c>
    </row>
    <row r="422" spans="2:25" x14ac:dyDescent="0.25">
      <c r="B422" t="str">
        <f>Siam_Chart[[#This Row],[Name]]</f>
        <v>MOSHI</v>
      </c>
      <c r="C422">
        <f>Siam_Chart[[#This Row],[No.]]</f>
        <v>421</v>
      </c>
      <c r="D422">
        <f>Siam_Chart[[#This Row],[Last]]</f>
        <v>39</v>
      </c>
      <c r="E422">
        <f>Siam_Chart[[#This Row],[Chg%]]</f>
        <v>-1.89</v>
      </c>
      <c r="F422">
        <f>Siam_Chart[[#This Row],[Volume]]</f>
        <v>810800</v>
      </c>
      <c r="G422">
        <f>Siam_Chart[[#This Row],[Value (k)]]</f>
        <v>31973876</v>
      </c>
      <c r="H422" cm="1">
        <f t="array" ref="H422:W422">Siam_Chart[[#This Row],[MCap (M)]:[CG]]</f>
        <v>12869998206</v>
      </c>
      <c r="I422">
        <v>17.57</v>
      </c>
      <c r="J422">
        <v>4.8</v>
      </c>
      <c r="K422">
        <v>0.88444699999999998</v>
      </c>
      <c r="L422">
        <v>1.22</v>
      </c>
      <c r="M422">
        <v>1.07</v>
      </c>
      <c r="N422">
        <v>21.013047</v>
      </c>
      <c r="O422">
        <v>29.138513</v>
      </c>
      <c r="P422">
        <v>18.114958999999999</v>
      </c>
      <c r="Q422">
        <v>3.13</v>
      </c>
      <c r="R422" t="str">
        <v/>
      </c>
      <c r="S422" t="str">
        <v/>
      </c>
      <c r="T422">
        <v>573</v>
      </c>
      <c r="U422">
        <v>555</v>
      </c>
      <c r="V422">
        <v>0.48</v>
      </c>
      <c r="W422">
        <v>5</v>
      </c>
      <c r="X422" s="5">
        <f t="shared" si="15"/>
        <v>8.125</v>
      </c>
      <c r="Y422" s="6">
        <f t="shared" si="16"/>
        <v>329999954</v>
      </c>
    </row>
    <row r="423" spans="2:25" x14ac:dyDescent="0.25">
      <c r="B423" t="str">
        <f>Siam_Chart[[#This Row],[Name]]</f>
        <v>MOTHER</v>
      </c>
      <c r="C423">
        <f>Siam_Chart[[#This Row],[No.]]</f>
        <v>422</v>
      </c>
      <c r="D423">
        <f>Siam_Chart[[#This Row],[Last]]</f>
        <v>1.1399999999999999</v>
      </c>
      <c r="E423">
        <f>Siam_Chart[[#This Row],[Chg%]]</f>
        <v>-0.87</v>
      </c>
      <c r="F423">
        <f>Siam_Chart[[#This Row],[Volume]]</f>
        <v>195101</v>
      </c>
      <c r="G423">
        <f>Siam_Chart[[#This Row],[Value (k)]]</f>
        <v>221106.14</v>
      </c>
      <c r="H423" cm="1">
        <f t="array" ref="H423:W423">Siam_Chart[[#This Row],[MCap (M)]:[CG]]</f>
        <v>326040000</v>
      </c>
      <c r="I423">
        <v>12.72</v>
      </c>
      <c r="J423">
        <v>1.21</v>
      </c>
      <c r="K423">
        <v>0.99098399999999998</v>
      </c>
      <c r="L423">
        <v>3.4000000000000002E-2</v>
      </c>
      <c r="M423">
        <v>0.05</v>
      </c>
      <c r="N423">
        <v>7.3671179999999996</v>
      </c>
      <c r="O423">
        <v>9.7612500000000004</v>
      </c>
      <c r="P423">
        <v>1.865972</v>
      </c>
      <c r="Q423">
        <v>2.98</v>
      </c>
      <c r="R423" t="str">
        <v/>
      </c>
      <c r="S423" t="str">
        <v/>
      </c>
      <c r="T423">
        <v>631</v>
      </c>
      <c r="U423">
        <v>642</v>
      </c>
      <c r="V423">
        <v>2.1800000000000002</v>
      </c>
      <c r="W423">
        <v>0</v>
      </c>
      <c r="X423" s="5">
        <f t="shared" si="15"/>
        <v>0.94214876033057848</v>
      </c>
      <c r="Y423" s="6">
        <f t="shared" si="16"/>
        <v>286000000</v>
      </c>
    </row>
    <row r="424" spans="2:25" x14ac:dyDescent="0.25">
      <c r="B424" t="str">
        <f>Siam_Chart[[#This Row],[Name]]</f>
        <v>MPJ</v>
      </c>
      <c r="C424">
        <f>Siam_Chart[[#This Row],[No.]]</f>
        <v>423</v>
      </c>
      <c r="D424">
        <f>Siam_Chart[[#This Row],[Last]]</f>
        <v>4.5199999999999996</v>
      </c>
      <c r="E424">
        <f>Siam_Chart[[#This Row],[Chg%]]</f>
        <v>0</v>
      </c>
      <c r="F424">
        <f>Siam_Chart[[#This Row],[Volume]]</f>
        <v>163900</v>
      </c>
      <c r="G424">
        <f>Siam_Chart[[#This Row],[Value (k)]]</f>
        <v>733212</v>
      </c>
      <c r="H424" cm="1">
        <f t="array" ref="H424:W424">Siam_Chart[[#This Row],[MCap (M)]:[CG]]</f>
        <v>904000000</v>
      </c>
      <c r="I424">
        <v>7.19</v>
      </c>
      <c r="J424">
        <v>1.22</v>
      </c>
      <c r="K424">
        <v>1.108295</v>
      </c>
      <c r="L424">
        <v>0.34</v>
      </c>
      <c r="M424">
        <v>0.37</v>
      </c>
      <c r="N424">
        <v>12.281591000000001</v>
      </c>
      <c r="O424">
        <v>17.560288</v>
      </c>
      <c r="P424">
        <v>12.174659</v>
      </c>
      <c r="Q424">
        <v>7.52</v>
      </c>
      <c r="R424" t="str">
        <v/>
      </c>
      <c r="S424" t="str">
        <v/>
      </c>
      <c r="T424">
        <v>268</v>
      </c>
      <c r="U424">
        <v>264</v>
      </c>
      <c r="V424">
        <v>0.46</v>
      </c>
      <c r="W424">
        <v>3</v>
      </c>
      <c r="X424" s="5">
        <f t="shared" si="15"/>
        <v>3.7049180327868849</v>
      </c>
      <c r="Y424" s="6">
        <f t="shared" si="16"/>
        <v>200000000.00000003</v>
      </c>
    </row>
    <row r="425" spans="2:25" x14ac:dyDescent="0.25">
      <c r="B425" t="str">
        <f>Siam_Chart[[#This Row],[Name]]</f>
        <v>MRDIYT</v>
      </c>
      <c r="C425">
        <f>Siam_Chart[[#This Row],[No.]]</f>
        <v>424</v>
      </c>
      <c r="D425">
        <f>Siam_Chart[[#This Row],[Last]]</f>
        <v>9.6</v>
      </c>
      <c r="E425">
        <f>Siam_Chart[[#This Row],[Chg%]]</f>
        <v>1.05</v>
      </c>
      <c r="F425">
        <f>Siam_Chart[[#This Row],[Volume]]</f>
        <v>2679698</v>
      </c>
      <c r="G425">
        <f>Siam_Chart[[#This Row],[Value (k)]]</f>
        <v>25534632.199999999</v>
      </c>
      <c r="H425" cm="1">
        <f t="array" ref="H425:W425">Siam_Chart[[#This Row],[MCap (M)]:[CG]]</f>
        <v>57764131200</v>
      </c>
      <c r="I425">
        <v>19.989999999999998</v>
      </c>
      <c r="J425">
        <v>5.54</v>
      </c>
      <c r="K425">
        <v>0.86249900000000002</v>
      </c>
      <c r="L425">
        <v>6.5000000000000002E-2</v>
      </c>
      <c r="M425">
        <v>0.24</v>
      </c>
      <c r="N425">
        <v>23.17136</v>
      </c>
      <c r="O425">
        <v>36.074511000000001</v>
      </c>
      <c r="P425">
        <v>12.669067999999999</v>
      </c>
      <c r="Q425">
        <v>1.1499999999999999</v>
      </c>
      <c r="R425" t="str">
        <v/>
      </c>
      <c r="S425" t="str">
        <v/>
      </c>
      <c r="T425">
        <v>575</v>
      </c>
      <c r="U425">
        <v>567</v>
      </c>
      <c r="V425">
        <v>0.43</v>
      </c>
      <c r="W425">
        <v>0</v>
      </c>
      <c r="X425" s="5">
        <f t="shared" si="15"/>
        <v>1.7328519855595668</v>
      </c>
      <c r="Y425" s="6">
        <f t="shared" si="16"/>
        <v>6017097000</v>
      </c>
    </row>
    <row r="426" spans="2:25" x14ac:dyDescent="0.25">
      <c r="B426" t="str">
        <f>Siam_Chart[[#This Row],[Name]]</f>
        <v>MSC</v>
      </c>
      <c r="C426">
        <f>Siam_Chart[[#This Row],[No.]]</f>
        <v>425</v>
      </c>
      <c r="D426">
        <f>Siam_Chart[[#This Row],[Last]]</f>
        <v>5.65</v>
      </c>
      <c r="E426">
        <f>Siam_Chart[[#This Row],[Chg%]]</f>
        <v>-1.74</v>
      </c>
      <c r="F426">
        <f>Siam_Chart[[#This Row],[Volume]]</f>
        <v>80334</v>
      </c>
      <c r="G426">
        <f>Siam_Chart[[#This Row],[Value (k)]]</f>
        <v>456342.2</v>
      </c>
      <c r="H426" cm="1">
        <f t="array" ref="H426:W426">Siam_Chart[[#This Row],[MCap (M)]:[CG]]</f>
        <v>2034000000</v>
      </c>
      <c r="I426">
        <v>12.5</v>
      </c>
      <c r="J426">
        <v>0.9</v>
      </c>
      <c r="K426">
        <v>1.272092</v>
      </c>
      <c r="L426">
        <v>0.35</v>
      </c>
      <c r="M426">
        <v>0.36</v>
      </c>
      <c r="N426">
        <v>4.9172700000000003</v>
      </c>
      <c r="O426">
        <v>7.2203549999999996</v>
      </c>
      <c r="P426">
        <v>2.4466709999999998</v>
      </c>
      <c r="Q426">
        <v>6.19</v>
      </c>
      <c r="R426" t="str">
        <v/>
      </c>
      <c r="S426" t="str">
        <v/>
      </c>
      <c r="T426">
        <v>784</v>
      </c>
      <c r="U426">
        <v>827</v>
      </c>
      <c r="V426">
        <v>-14.55</v>
      </c>
      <c r="W426">
        <v>5</v>
      </c>
      <c r="X426" s="5">
        <f t="shared" si="15"/>
        <v>6.2777777777777777</v>
      </c>
      <c r="Y426" s="6">
        <f t="shared" si="16"/>
        <v>360000000</v>
      </c>
    </row>
    <row r="427" spans="2:25" x14ac:dyDescent="0.25">
      <c r="B427" t="str">
        <f>Siam_Chart[[#This Row],[Name]]</f>
        <v>MST</v>
      </c>
      <c r="C427">
        <f>Siam_Chart[[#This Row],[No.]]</f>
        <v>426</v>
      </c>
      <c r="D427">
        <f>Siam_Chart[[#This Row],[Last]]</f>
        <v>7.85</v>
      </c>
      <c r="E427">
        <f>Siam_Chart[[#This Row],[Chg%]]</f>
        <v>1.29</v>
      </c>
      <c r="F427">
        <f>Siam_Chart[[#This Row],[Volume]]</f>
        <v>62801</v>
      </c>
      <c r="G427">
        <f>Siam_Chart[[#This Row],[Value (k)]]</f>
        <v>489902.9</v>
      </c>
      <c r="H427" cm="1">
        <f t="array" ref="H427:W427">Siam_Chart[[#This Row],[MCap (M)]:[CG]]</f>
        <v>4480893825</v>
      </c>
      <c r="I427">
        <v>12.98</v>
      </c>
      <c r="J427">
        <v>0.85</v>
      </c>
      <c r="K427">
        <v>2.0412210000000002</v>
      </c>
      <c r="L427">
        <v>0.17</v>
      </c>
      <c r="M427">
        <v>0.45</v>
      </c>
      <c r="N427">
        <v>4.6238130000000002</v>
      </c>
      <c r="O427">
        <v>6.7180929999999996</v>
      </c>
      <c r="P427">
        <v>19.150186999999999</v>
      </c>
      <c r="Q427">
        <v>3.69</v>
      </c>
      <c r="R427" t="str">
        <v/>
      </c>
      <c r="S427" t="str">
        <v/>
      </c>
      <c r="T427">
        <v>838</v>
      </c>
      <c r="U427">
        <v>1025</v>
      </c>
      <c r="V427">
        <v>-0.65</v>
      </c>
      <c r="W427">
        <v>5</v>
      </c>
      <c r="X427" s="5">
        <f t="shared" si="15"/>
        <v>9.235294117647058</v>
      </c>
      <c r="Y427" s="6">
        <f t="shared" si="16"/>
        <v>570814500</v>
      </c>
    </row>
    <row r="428" spans="2:25" x14ac:dyDescent="0.25">
      <c r="B428" t="str">
        <f>Siam_Chart[[#This Row],[Name]]</f>
        <v>MTC</v>
      </c>
      <c r="C428">
        <f>Siam_Chart[[#This Row],[No.]]</f>
        <v>427</v>
      </c>
      <c r="D428">
        <f>Siam_Chart[[#This Row],[Last]]</f>
        <v>32</v>
      </c>
      <c r="E428">
        <f>Siam_Chart[[#This Row],[Chg%]]</f>
        <v>-1.54</v>
      </c>
      <c r="F428">
        <f>Siam_Chart[[#This Row],[Volume]]</f>
        <v>8404583</v>
      </c>
      <c r="G428">
        <f>Siam_Chart[[#This Row],[Value (k)]]</f>
        <v>270730153.25</v>
      </c>
      <c r="H428" cm="1">
        <f t="array" ref="H428:W428">Siam_Chart[[#This Row],[MCap (M)]:[CG]]</f>
        <v>67840000000</v>
      </c>
      <c r="I428">
        <v>9.3800000000000008</v>
      </c>
      <c r="J428">
        <v>1.47</v>
      </c>
      <c r="K428">
        <v>3.2407149999999998</v>
      </c>
      <c r="L428">
        <v>0.28999999999999998</v>
      </c>
      <c r="M428">
        <v>1.76</v>
      </c>
      <c r="N428">
        <v>8.2299419999999994</v>
      </c>
      <c r="O428">
        <v>16.907259</v>
      </c>
      <c r="P428">
        <v>23.207391999999999</v>
      </c>
      <c r="Q428">
        <v>0.91</v>
      </c>
      <c r="R428" t="str">
        <v/>
      </c>
      <c r="S428" t="str">
        <v/>
      </c>
      <c r="T428">
        <v>400</v>
      </c>
      <c r="U428">
        <v>796</v>
      </c>
      <c r="V428">
        <v>1.25</v>
      </c>
      <c r="W428">
        <v>5</v>
      </c>
      <c r="X428" s="5">
        <f t="shared" si="15"/>
        <v>21.768707482993197</v>
      </c>
      <c r="Y428" s="6">
        <f t="shared" si="16"/>
        <v>2120000000</v>
      </c>
    </row>
    <row r="429" spans="2:25" x14ac:dyDescent="0.25">
      <c r="B429" t="str">
        <f>Siam_Chart[[#This Row],[Name]]</f>
        <v>MTI</v>
      </c>
      <c r="C429">
        <f>Siam_Chart[[#This Row],[No.]]</f>
        <v>428</v>
      </c>
      <c r="D429">
        <f>Siam_Chart[[#This Row],[Last]]</f>
        <v>19.100000000000001</v>
      </c>
      <c r="E429">
        <f>Siam_Chart[[#This Row],[Chg%]]</f>
        <v>6.11</v>
      </c>
      <c r="F429">
        <f>Siam_Chart[[#This Row],[Volume]]</f>
        <v>270220</v>
      </c>
      <c r="G429">
        <f>Siam_Chart[[#This Row],[Value (k)]]</f>
        <v>5111377.0999999996</v>
      </c>
      <c r="H429" cm="1">
        <f t="array" ref="H429:W429">Siam_Chart[[#This Row],[MCap (M)]:[CG]]</f>
        <v>11269000000</v>
      </c>
      <c r="I429">
        <v>10.82</v>
      </c>
      <c r="J429">
        <v>1.28</v>
      </c>
      <c r="K429">
        <v>2.3282539999999998</v>
      </c>
      <c r="L429">
        <v>0.81</v>
      </c>
      <c r="M429">
        <v>1.1299999999999999</v>
      </c>
      <c r="N429">
        <v>4.4957750000000001</v>
      </c>
      <c r="O429">
        <v>12.768471</v>
      </c>
      <c r="P429">
        <v>6.4175050000000002</v>
      </c>
      <c r="Q429">
        <v>4.24</v>
      </c>
      <c r="R429" t="str">
        <v/>
      </c>
      <c r="S429" t="str">
        <v/>
      </c>
      <c r="T429">
        <v>437</v>
      </c>
      <c r="U429">
        <v>776</v>
      </c>
      <c r="V429">
        <v>0.5</v>
      </c>
      <c r="W429">
        <v>5</v>
      </c>
      <c r="X429" s="5">
        <f t="shared" si="15"/>
        <v>14.921875</v>
      </c>
      <c r="Y429" s="6">
        <f t="shared" si="16"/>
        <v>590000000</v>
      </c>
    </row>
    <row r="430" spans="2:25" x14ac:dyDescent="0.25">
      <c r="B430" t="str">
        <f>Siam_Chart[[#This Row],[Name]]</f>
        <v>MTW</v>
      </c>
      <c r="C430">
        <f>Siam_Chart[[#This Row],[No.]]</f>
        <v>429</v>
      </c>
      <c r="D430">
        <f>Siam_Chart[[#This Row],[Last]]</f>
        <v>1.1499999999999999</v>
      </c>
      <c r="E430">
        <f>Siam_Chart[[#This Row],[Chg%]]</f>
        <v>-0.86</v>
      </c>
      <c r="F430">
        <f>Siam_Chart[[#This Row],[Volume]]</f>
        <v>1037300</v>
      </c>
      <c r="G430">
        <f>Siam_Chart[[#This Row],[Value (k)]]</f>
        <v>1204454</v>
      </c>
      <c r="H430" cm="1">
        <f t="array" ref="H430:W430">Siam_Chart[[#This Row],[MCap (M)]:[CG]]</f>
        <v>1011148564.15</v>
      </c>
      <c r="I430">
        <v>888052217.21000004</v>
      </c>
      <c r="J430">
        <v>1.42</v>
      </c>
      <c r="K430">
        <v>0.42377399999999998</v>
      </c>
      <c r="L430">
        <v>3.0099999999999998E-2</v>
      </c>
      <c r="M430">
        <v>0.01</v>
      </c>
      <c r="N430">
        <v>-0.36930800000000003</v>
      </c>
      <c r="O430">
        <v>-2.0211359999999998</v>
      </c>
      <c r="P430">
        <v>4.6490179999999999</v>
      </c>
      <c r="Q430">
        <v>2.62</v>
      </c>
      <c r="R430" t="str">
        <v/>
      </c>
      <c r="S430" t="str">
        <v/>
      </c>
      <c r="T430">
        <v>0</v>
      </c>
      <c r="U430">
        <v>0</v>
      </c>
      <c r="V430">
        <v>0</v>
      </c>
      <c r="W430">
        <v>0</v>
      </c>
      <c r="X430" s="5">
        <f t="shared" si="15"/>
        <v>0.8098591549295775</v>
      </c>
      <c r="Y430" s="6">
        <f t="shared" si="16"/>
        <v>879259621</v>
      </c>
    </row>
    <row r="431" spans="2:25" x14ac:dyDescent="0.25">
      <c r="B431" t="str">
        <f>Siam_Chart[[#This Row],[Name]]</f>
        <v>MUD</v>
      </c>
      <c r="C431">
        <f>Siam_Chart[[#This Row],[No.]]</f>
        <v>430</v>
      </c>
      <c r="D431">
        <f>Siam_Chart[[#This Row],[Last]]</f>
        <v>0.83</v>
      </c>
      <c r="E431">
        <f>Siam_Chart[[#This Row],[Chg%]]</f>
        <v>-1.19</v>
      </c>
      <c r="F431">
        <f>Siam_Chart[[#This Row],[Volume]]</f>
        <v>2231</v>
      </c>
      <c r="G431">
        <f>Siam_Chart[[#This Row],[Value (k)]]</f>
        <v>1766.94</v>
      </c>
      <c r="H431" cm="1">
        <f t="array" ref="H431:W431">Siam_Chart[[#This Row],[MCap (M)]:[CG]]</f>
        <v>874311002.5</v>
      </c>
      <c r="I431">
        <v>905912605</v>
      </c>
      <c r="J431">
        <v>1.08</v>
      </c>
      <c r="K431">
        <v>3.2641559999999998</v>
      </c>
      <c r="L431">
        <v>-0.23</v>
      </c>
      <c r="M431">
        <v>-0.23</v>
      </c>
      <c r="N431">
        <v>-18.483021999999998</v>
      </c>
      <c r="O431">
        <v>-63.767839000000002</v>
      </c>
      <c r="P431">
        <v>-24.096767</v>
      </c>
      <c r="Q431">
        <v>1.1200000000000001</v>
      </c>
      <c r="R431" t="str">
        <v/>
      </c>
      <c r="S431" t="str">
        <v/>
      </c>
      <c r="T431">
        <v>0</v>
      </c>
      <c r="U431">
        <v>0</v>
      </c>
      <c r="V431">
        <v>0</v>
      </c>
      <c r="W431">
        <v>0</v>
      </c>
      <c r="X431" s="5">
        <f t="shared" si="15"/>
        <v>0.76851851851851838</v>
      </c>
      <c r="Y431" s="6">
        <f t="shared" si="16"/>
        <v>1053386750</v>
      </c>
    </row>
    <row r="432" spans="2:25" x14ac:dyDescent="0.25">
      <c r="B432" t="str">
        <f>Siam_Chart[[#This Row],[Name]]</f>
        <v>MVP</v>
      </c>
      <c r="C432">
        <f>Siam_Chart[[#This Row],[No.]]</f>
        <v>431</v>
      </c>
      <c r="D432">
        <f>Siam_Chart[[#This Row],[Last]]</f>
        <v>2025</v>
      </c>
      <c r="E432">
        <f>Siam_Chart[[#This Row],[Chg%]]</f>
        <v>-76.92307692307692</v>
      </c>
      <c r="F432">
        <f>Siam_Chart[[#This Row],[Volume]]</f>
        <v>138790451</v>
      </c>
      <c r="G432">
        <f>Siam_Chart[[#This Row],[Value (k)]]</f>
        <v>9886.5979900000002</v>
      </c>
      <c r="H432" cm="1">
        <f t="array" ref="H432:W432">Siam_Chart[[#This Row],[MCap (M)]:[CG]]</f>
        <v>20</v>
      </c>
      <c r="I432">
        <v>0</v>
      </c>
      <c r="J432">
        <v>11.0815497483781</v>
      </c>
      <c r="K432">
        <v>11.08155</v>
      </c>
      <c r="L432">
        <v>-0.34</v>
      </c>
      <c r="M432">
        <v>-0.34</v>
      </c>
      <c r="N432">
        <v>-56.144634000000003</v>
      </c>
      <c r="O432">
        <v>-168.97532200000001</v>
      </c>
      <c r="P432">
        <v>-31.755807000000001</v>
      </c>
      <c r="Q432">
        <v>0</v>
      </c>
      <c r="R432" t="str">
        <v/>
      </c>
      <c r="S432" t="str">
        <v/>
      </c>
      <c r="T432">
        <v>0</v>
      </c>
      <c r="U432">
        <v>0</v>
      </c>
      <c r="V432">
        <v>0</v>
      </c>
      <c r="W432">
        <v>4</v>
      </c>
      <c r="X432" s="5">
        <f t="shared" si="15"/>
        <v>182.73617372844262</v>
      </c>
      <c r="Y432" s="6">
        <f t="shared" si="16"/>
        <v>9.876543209876543E-3</v>
      </c>
    </row>
    <row r="433" spans="2:25" x14ac:dyDescent="0.25">
      <c r="B433" t="str">
        <f>Siam_Chart[[#This Row],[Name]]</f>
        <v>NAM</v>
      </c>
      <c r="C433">
        <f>Siam_Chart[[#This Row],[No.]]</f>
        <v>432</v>
      </c>
      <c r="D433">
        <f>Siam_Chart[[#This Row],[Last]]</f>
        <v>3.28</v>
      </c>
      <c r="E433">
        <f>Siam_Chart[[#This Row],[Chg%]]</f>
        <v>-0.61</v>
      </c>
      <c r="F433">
        <f>Siam_Chart[[#This Row],[Volume]]</f>
        <v>12400</v>
      </c>
      <c r="G433">
        <f>Siam_Chart[[#This Row],[Value (k)]]</f>
        <v>40714</v>
      </c>
      <c r="H433" cm="1">
        <f t="array" ref="H433:W433">Siam_Chart[[#This Row],[MCap (M)]:[CG]]</f>
        <v>2296000000</v>
      </c>
      <c r="I433">
        <v>28.23</v>
      </c>
      <c r="J433">
        <v>1.1399999999999999</v>
      </c>
      <c r="K433">
        <v>0.375662</v>
      </c>
      <c r="L433">
        <v>0.03</v>
      </c>
      <c r="M433">
        <v>0.05</v>
      </c>
      <c r="N433">
        <v>4.3335520000000001</v>
      </c>
      <c r="O433">
        <v>4.0325009999999999</v>
      </c>
      <c r="P433">
        <v>4.9795740000000004</v>
      </c>
      <c r="Q433">
        <v>3.96</v>
      </c>
      <c r="R433" t="str">
        <v/>
      </c>
      <c r="S433" t="str">
        <v/>
      </c>
      <c r="T433">
        <v>1189</v>
      </c>
      <c r="U433">
        <v>1137</v>
      </c>
      <c r="V433">
        <v>-1.2</v>
      </c>
      <c r="W433">
        <v>3</v>
      </c>
      <c r="X433" s="5">
        <f t="shared" si="15"/>
        <v>2.8771929824561404</v>
      </c>
      <c r="Y433" s="6">
        <f t="shared" si="16"/>
        <v>700000000</v>
      </c>
    </row>
    <row r="434" spans="2:25" x14ac:dyDescent="0.25">
      <c r="B434" t="str">
        <f>Siam_Chart[[#This Row],[Name]]</f>
        <v>NAT</v>
      </c>
      <c r="C434">
        <f>Siam_Chart[[#This Row],[No.]]</f>
        <v>433</v>
      </c>
      <c r="D434">
        <f>Siam_Chart[[#This Row],[Last]]</f>
        <v>1.56</v>
      </c>
      <c r="E434">
        <f>Siam_Chart[[#This Row],[Chg%]]</f>
        <v>0</v>
      </c>
      <c r="F434">
        <f>Siam_Chart[[#This Row],[Volume]]</f>
        <v>51200</v>
      </c>
      <c r="G434">
        <f>Siam_Chart[[#This Row],[Value (k)]]</f>
        <v>79783</v>
      </c>
      <c r="H434" cm="1">
        <f t="array" ref="H434:W434">Siam_Chart[[#This Row],[MCap (M)]:[CG]]</f>
        <v>511680000</v>
      </c>
      <c r="I434">
        <v>554320000</v>
      </c>
      <c r="J434">
        <v>0.77</v>
      </c>
      <c r="K434">
        <v>0.34021400000000002</v>
      </c>
      <c r="L434">
        <v>0.13</v>
      </c>
      <c r="M434">
        <v>-0.02</v>
      </c>
      <c r="N434">
        <v>0.30491000000000001</v>
      </c>
      <c r="O434">
        <v>-0.58271600000000001</v>
      </c>
      <c r="P434">
        <v>-1.8756109999999999</v>
      </c>
      <c r="Q434">
        <v>0.83</v>
      </c>
      <c r="R434" t="str">
        <v/>
      </c>
      <c r="S434" t="str">
        <v/>
      </c>
      <c r="T434">
        <v>1339</v>
      </c>
      <c r="U434">
        <v>1335</v>
      </c>
      <c r="V434">
        <v>-3.39</v>
      </c>
      <c r="W434">
        <v>0</v>
      </c>
      <c r="X434" s="5">
        <f t="shared" si="15"/>
        <v>2.0259740259740262</v>
      </c>
      <c r="Y434" s="6">
        <f t="shared" si="16"/>
        <v>328000000</v>
      </c>
    </row>
    <row r="435" spans="2:25" x14ac:dyDescent="0.25">
      <c r="B435" t="str">
        <f>Siam_Chart[[#This Row],[Name]]</f>
        <v>NATION</v>
      </c>
      <c r="C435">
        <f>Siam_Chart[[#This Row],[No.]]</f>
        <v>434</v>
      </c>
      <c r="D435">
        <f>Siam_Chart[[#This Row],[Last]]</f>
        <v>0.03</v>
      </c>
      <c r="E435">
        <f>Siam_Chart[[#This Row],[Chg%]]</f>
        <v>-25</v>
      </c>
      <c r="F435">
        <f>Siam_Chart[[#This Row],[Volume]]</f>
        <v>153200</v>
      </c>
      <c r="G435">
        <f>Siam_Chart[[#This Row],[Value (k)]]</f>
        <v>4798</v>
      </c>
      <c r="H435" cm="1">
        <f t="array" ref="H435:W435">Siam_Chart[[#This Row],[MCap (M)]:[CG]]</f>
        <v>530813617.68000001</v>
      </c>
      <c r="I435">
        <v>707751490.24000001</v>
      </c>
      <c r="J435">
        <v>6.56</v>
      </c>
      <c r="K435">
        <v>8.8825109999999992</v>
      </c>
      <c r="L435">
        <v>0</v>
      </c>
      <c r="M435">
        <v>-0.83953799694903641</v>
      </c>
      <c r="N435">
        <v>-0.83953800000000001</v>
      </c>
      <c r="O435">
        <v>-4.6704486161839318</v>
      </c>
      <c r="P435">
        <v>-4.6704489999999996</v>
      </c>
      <c r="Q435">
        <v>8.75</v>
      </c>
      <c r="R435" t="str">
        <v/>
      </c>
      <c r="S435" t="str">
        <v/>
      </c>
      <c r="T435">
        <v>0</v>
      </c>
      <c r="U435">
        <v>0</v>
      </c>
      <c r="V435">
        <v>0</v>
      </c>
      <c r="W435">
        <v>3</v>
      </c>
      <c r="X435" s="5">
        <f t="shared" si="15"/>
        <v>4.5731707317073168E-3</v>
      </c>
      <c r="Y435" s="6">
        <f t="shared" si="16"/>
        <v>17693787256</v>
      </c>
    </row>
    <row r="436" spans="2:25" x14ac:dyDescent="0.25">
      <c r="B436" t="str">
        <f>Siam_Chart[[#This Row],[Name]]</f>
        <v>NC</v>
      </c>
      <c r="C436">
        <f>Siam_Chart[[#This Row],[No.]]</f>
        <v>435</v>
      </c>
      <c r="D436">
        <f>Siam_Chart[[#This Row],[Last]]</f>
        <v>1.77</v>
      </c>
      <c r="E436">
        <f>Siam_Chart[[#This Row],[Chg%]]</f>
        <v>1.1399999999999999</v>
      </c>
      <c r="F436">
        <f>Siam_Chart[[#This Row],[Volume]]</f>
        <v>13136</v>
      </c>
      <c r="G436">
        <f>Siam_Chart[[#This Row],[Value (k)]]</f>
        <v>23413</v>
      </c>
      <c r="H436" cm="1">
        <f t="array" ref="H436:W436">Siam_Chart[[#This Row],[MCap (M)]:[CG]]</f>
        <v>271449814.88</v>
      </c>
      <c r="I436">
        <v>279074809.68000001</v>
      </c>
      <c r="J436">
        <v>0.56999999999999995</v>
      </c>
      <c r="K436">
        <v>0.64455499999999999</v>
      </c>
      <c r="L436">
        <v>0.01</v>
      </c>
      <c r="M436">
        <v>0.01</v>
      </c>
      <c r="N436">
        <v>0.80670399999999998</v>
      </c>
      <c r="O436">
        <v>-0.35583399999999998</v>
      </c>
      <c r="P436">
        <v>0.36484499999999997</v>
      </c>
      <c r="Q436">
        <v>0.56000000000000005</v>
      </c>
      <c r="R436" t="str">
        <v/>
      </c>
      <c r="S436" t="str">
        <v/>
      </c>
      <c r="T436">
        <v>1345</v>
      </c>
      <c r="U436">
        <v>1322</v>
      </c>
      <c r="V436">
        <v>-2.63</v>
      </c>
      <c r="W436">
        <v>4</v>
      </c>
      <c r="X436" s="5">
        <f t="shared" si="15"/>
        <v>3.1052631578947372</v>
      </c>
      <c r="Y436" s="6">
        <f t="shared" si="16"/>
        <v>153361477.33333334</v>
      </c>
    </row>
    <row r="437" spans="2:25" x14ac:dyDescent="0.25">
      <c r="B437" t="str">
        <f>Siam_Chart[[#This Row],[Name]]</f>
        <v>NCAP</v>
      </c>
      <c r="C437">
        <f>Siam_Chart[[#This Row],[No.]]</f>
        <v>436</v>
      </c>
      <c r="D437">
        <f>Siam_Chart[[#This Row],[Last]]</f>
        <v>3.56</v>
      </c>
      <c r="E437">
        <f>Siam_Chart[[#This Row],[Chg%]]</f>
        <v>-1.1100000000000001</v>
      </c>
      <c r="F437">
        <f>Siam_Chart[[#This Row],[Volume]]</f>
        <v>8701540</v>
      </c>
      <c r="G437">
        <f>Siam_Chart[[#This Row],[Value (k)]]</f>
        <v>31411888.079999998</v>
      </c>
      <c r="H437" cm="1">
        <f t="array" ref="H437:W437">Siam_Chart[[#This Row],[MCap (M)]:[CG]]</f>
        <v>4806000000</v>
      </c>
      <c r="I437">
        <v>7.39</v>
      </c>
      <c r="J437">
        <v>0.86</v>
      </c>
      <c r="K437">
        <v>1.031698</v>
      </c>
      <c r="L437">
        <v>4.1099999999999998E-2</v>
      </c>
      <c r="M437">
        <v>0.28000000000000003</v>
      </c>
      <c r="N437">
        <v>9.6605000000000008</v>
      </c>
      <c r="O437">
        <v>12.374233</v>
      </c>
      <c r="P437">
        <v>32.352262000000003</v>
      </c>
      <c r="Q437">
        <v>1.1499999999999999</v>
      </c>
      <c r="R437" t="str">
        <v/>
      </c>
      <c r="S437" t="str">
        <v/>
      </c>
      <c r="T437">
        <v>341</v>
      </c>
      <c r="U437">
        <v>505</v>
      </c>
      <c r="V437">
        <v>0.24</v>
      </c>
      <c r="W437">
        <v>3</v>
      </c>
      <c r="X437" s="5">
        <f t="shared" si="15"/>
        <v>4.1395348837209305</v>
      </c>
      <c r="Y437" s="6">
        <f t="shared" si="16"/>
        <v>1350000000</v>
      </c>
    </row>
    <row r="438" spans="2:25" x14ac:dyDescent="0.25">
      <c r="B438" t="str">
        <f>Siam_Chart[[#This Row],[Name]]</f>
        <v>NCH</v>
      </c>
      <c r="C438">
        <f>Siam_Chart[[#This Row],[No.]]</f>
        <v>437</v>
      </c>
      <c r="D438">
        <f>Siam_Chart[[#This Row],[Last]]</f>
        <v>0.45</v>
      </c>
      <c r="E438">
        <f>Siam_Chart[[#This Row],[Chg%]]</f>
        <v>0</v>
      </c>
      <c r="F438">
        <f>Siam_Chart[[#This Row],[Volume]]</f>
        <v>206705</v>
      </c>
      <c r="G438">
        <f>Siam_Chart[[#This Row],[Value (k)]]</f>
        <v>95080.3</v>
      </c>
      <c r="H438" cm="1">
        <f t="array" ref="H438:W438">Siam_Chart[[#This Row],[MCap (M)]:[CG]]</f>
        <v>560377660.95000005</v>
      </c>
      <c r="I438">
        <v>547924824.03999996</v>
      </c>
      <c r="J438">
        <v>0.19</v>
      </c>
      <c r="K438">
        <v>0.59988699999999995</v>
      </c>
      <c r="L438">
        <v>0.05</v>
      </c>
      <c r="M438">
        <v>-0.03</v>
      </c>
      <c r="N438">
        <v>-1.6363859999999999</v>
      </c>
      <c r="O438">
        <v>-3.944734</v>
      </c>
      <c r="P438">
        <v>-8.7931600000000003</v>
      </c>
      <c r="Q438">
        <v>0.19</v>
      </c>
      <c r="R438" t="str">
        <v/>
      </c>
      <c r="S438" t="str">
        <v/>
      </c>
      <c r="T438">
        <v>0</v>
      </c>
      <c r="U438">
        <v>0</v>
      </c>
      <c r="V438">
        <v>0</v>
      </c>
      <c r="W438">
        <v>4</v>
      </c>
      <c r="X438" s="5">
        <f t="shared" si="15"/>
        <v>2.3684210526315788</v>
      </c>
      <c r="Y438" s="6">
        <f t="shared" si="16"/>
        <v>1245283691</v>
      </c>
    </row>
    <row r="439" spans="2:25" x14ac:dyDescent="0.25">
      <c r="B439" t="str">
        <f>Siam_Chart[[#This Row],[Name]]</f>
        <v>NCL</v>
      </c>
      <c r="C439">
        <f>Siam_Chart[[#This Row],[No.]]</f>
        <v>438</v>
      </c>
      <c r="D439">
        <f>Siam_Chart[[#This Row],[Last]]</f>
        <v>0.08</v>
      </c>
      <c r="E439">
        <f>Siam_Chart[[#This Row],[Chg%]]</f>
        <v>0</v>
      </c>
      <c r="F439">
        <f>Siam_Chart[[#This Row],[Volume]]</f>
        <v>1155000</v>
      </c>
      <c r="G439">
        <f>Siam_Chart[[#This Row],[Value (k)]]</f>
        <v>94195</v>
      </c>
      <c r="H439" cm="1">
        <f t="array" ref="H439:W439">Siam_Chart[[#This Row],[MCap (M)]:[CG]]</f>
        <v>57538719.439999998</v>
      </c>
      <c r="I439">
        <v>93500419.090000004</v>
      </c>
      <c r="J439">
        <v>10.15</v>
      </c>
      <c r="K439">
        <v>87.182085999999998</v>
      </c>
      <c r="L439">
        <v>-7.0000000000000007E-2</v>
      </c>
      <c r="M439">
        <v>-7.0000000000000007E-2</v>
      </c>
      <c r="N439">
        <v>-16.529736</v>
      </c>
      <c r="O439">
        <v>-299.18800299999998</v>
      </c>
      <c r="P439">
        <v>-27.809411999999998</v>
      </c>
      <c r="Q439">
        <v>16.489999999999998</v>
      </c>
      <c r="R439" t="str">
        <v/>
      </c>
      <c r="S439" t="str">
        <v/>
      </c>
      <c r="T439">
        <v>0</v>
      </c>
      <c r="U439">
        <v>0</v>
      </c>
      <c r="V439">
        <v>0</v>
      </c>
      <c r="W439">
        <v>4</v>
      </c>
      <c r="X439" s="5">
        <f t="shared" si="15"/>
        <v>7.8817733990147777E-3</v>
      </c>
      <c r="Y439" s="6">
        <f t="shared" si="16"/>
        <v>719233993</v>
      </c>
    </row>
    <row r="440" spans="2:25" x14ac:dyDescent="0.25">
      <c r="B440" t="str">
        <f>Siam_Chart[[#This Row],[Name]]</f>
        <v>NCP</v>
      </c>
      <c r="C440">
        <f>Siam_Chart[[#This Row],[No.]]</f>
        <v>439</v>
      </c>
      <c r="D440">
        <f>Siam_Chart[[#This Row],[Last]]</f>
        <v>1.02</v>
      </c>
      <c r="E440">
        <f>Siam_Chart[[#This Row],[Chg%]]</f>
        <v>-1.92</v>
      </c>
      <c r="F440">
        <f>Siam_Chart[[#This Row],[Volume]]</f>
        <v>7500</v>
      </c>
      <c r="G440">
        <f>Siam_Chart[[#This Row],[Value (k)]]</f>
        <v>7663</v>
      </c>
      <c r="H440" cm="1">
        <f t="array" ref="H440:W440">Siam_Chart[[#This Row],[MCap (M)]:[CG]]</f>
        <v>183600000</v>
      </c>
      <c r="I440">
        <v>9.9</v>
      </c>
      <c r="J440">
        <v>1.05</v>
      </c>
      <c r="K440">
        <v>0.31154500000000002</v>
      </c>
      <c r="L440">
        <v>5.7000000000000002E-2</v>
      </c>
      <c r="M440">
        <v>0.05</v>
      </c>
      <c r="N440">
        <v>10.320307</v>
      </c>
      <c r="O440">
        <v>10.505267999999999</v>
      </c>
      <c r="P440">
        <v>8.6071010000000001</v>
      </c>
      <c r="Q440">
        <v>11.03</v>
      </c>
      <c r="R440" t="str">
        <v/>
      </c>
      <c r="S440" t="str">
        <v/>
      </c>
      <c r="T440">
        <v>531</v>
      </c>
      <c r="U440">
        <v>426</v>
      </c>
      <c r="V440">
        <v>0.34</v>
      </c>
      <c r="W440">
        <v>0</v>
      </c>
      <c r="X440" s="5">
        <f t="shared" si="15"/>
        <v>0.97142857142857142</v>
      </c>
      <c r="Y440" s="6">
        <f t="shared" si="16"/>
        <v>180000000</v>
      </c>
    </row>
    <row r="441" spans="2:25" x14ac:dyDescent="0.25">
      <c r="B441" t="str">
        <f>Siam_Chart[[#This Row],[Name]]</f>
        <v>NDR</v>
      </c>
      <c r="C441">
        <f>Siam_Chart[[#This Row],[No.]]</f>
        <v>440</v>
      </c>
      <c r="D441">
        <f>Siam_Chart[[#This Row],[Last]]</f>
        <v>1.72</v>
      </c>
      <c r="E441">
        <f>Siam_Chart[[#This Row],[Chg%]]</f>
        <v>1.18</v>
      </c>
      <c r="F441">
        <f>Siam_Chart[[#This Row],[Volume]]</f>
        <v>88900</v>
      </c>
      <c r="G441">
        <f>Siam_Chart[[#This Row],[Value (k)]]</f>
        <v>152124</v>
      </c>
      <c r="H441" cm="1">
        <f t="array" ref="H441:W441">Siam_Chart[[#This Row],[MCap (M)]:[CG]]</f>
        <v>785853603.60000002</v>
      </c>
      <c r="I441">
        <v>15.55</v>
      </c>
      <c r="J441">
        <v>0.77</v>
      </c>
      <c r="K441">
        <v>0.32389699999999999</v>
      </c>
      <c r="L441">
        <v>3.5000000000000003E-2</v>
      </c>
      <c r="M441">
        <v>0.08</v>
      </c>
      <c r="N441">
        <v>5.5197620000000001</v>
      </c>
      <c r="O441">
        <v>5.1271440000000004</v>
      </c>
      <c r="P441">
        <v>6.3469470000000001</v>
      </c>
      <c r="Q441">
        <v>2.0299999999999998</v>
      </c>
      <c r="R441" t="str">
        <v/>
      </c>
      <c r="S441" t="str">
        <v/>
      </c>
      <c r="T441">
        <v>1200</v>
      </c>
      <c r="U441">
        <v>1146</v>
      </c>
      <c r="V441">
        <v>2.0699999999999998</v>
      </c>
      <c r="W441">
        <v>4</v>
      </c>
      <c r="X441" s="5">
        <f t="shared" si="15"/>
        <v>2.2337662337662336</v>
      </c>
      <c r="Y441" s="6">
        <f t="shared" si="16"/>
        <v>456891630</v>
      </c>
    </row>
    <row r="442" spans="2:25" x14ac:dyDescent="0.25">
      <c r="B442" t="str">
        <f>Siam_Chart[[#This Row],[Name]]</f>
        <v>NEO</v>
      </c>
      <c r="C442">
        <f>Siam_Chart[[#This Row],[No.]]</f>
        <v>441</v>
      </c>
      <c r="D442">
        <f>Siam_Chart[[#This Row],[Last]]</f>
        <v>23.7</v>
      </c>
      <c r="E442">
        <f>Siam_Chart[[#This Row],[Chg%]]</f>
        <v>-1.25</v>
      </c>
      <c r="F442">
        <f>Siam_Chart[[#This Row],[Volume]]</f>
        <v>167228</v>
      </c>
      <c r="G442">
        <f>Siam_Chart[[#This Row],[Value (k)]]</f>
        <v>3977259.1</v>
      </c>
      <c r="H442" cm="1">
        <f t="array" ref="H442:W442">Siam_Chart[[#This Row],[MCap (M)]:[CG]]</f>
        <v>7110000000</v>
      </c>
      <c r="I442">
        <v>13.43</v>
      </c>
      <c r="J442">
        <v>1.41</v>
      </c>
      <c r="K442">
        <v>1.5289999999999999</v>
      </c>
      <c r="L442">
        <v>1.35</v>
      </c>
      <c r="M442">
        <v>1.01</v>
      </c>
      <c r="N442">
        <v>6.4267380000000003</v>
      </c>
      <c r="O442">
        <v>10.563255</v>
      </c>
      <c r="P442">
        <v>5.3145519999999999</v>
      </c>
      <c r="Q442">
        <v>5.7</v>
      </c>
      <c r="R442" t="str">
        <v/>
      </c>
      <c r="S442" t="str">
        <v/>
      </c>
      <c r="T442">
        <v>896</v>
      </c>
      <c r="U442">
        <v>925</v>
      </c>
      <c r="V442">
        <v>-1.58</v>
      </c>
      <c r="W442">
        <v>4</v>
      </c>
      <c r="X442" s="5">
        <f t="shared" si="15"/>
        <v>16.808510638297872</v>
      </c>
      <c r="Y442" s="6">
        <f t="shared" si="16"/>
        <v>300000000</v>
      </c>
    </row>
    <row r="443" spans="2:25" x14ac:dyDescent="0.25">
      <c r="B443" t="str">
        <f>Siam_Chart[[#This Row],[Name]]</f>
        <v>NEP</v>
      </c>
      <c r="C443">
        <f>Siam_Chart[[#This Row],[No.]]</f>
        <v>442</v>
      </c>
      <c r="D443">
        <f>Siam_Chart[[#This Row],[Last]]</f>
        <v>0.22</v>
      </c>
      <c r="E443">
        <f>Siam_Chart[[#This Row],[Chg%]]</f>
        <v>-8.33</v>
      </c>
      <c r="F443">
        <f>Siam_Chart[[#This Row],[Volume]]</f>
        <v>25300</v>
      </c>
      <c r="G443">
        <f>Siam_Chart[[#This Row],[Value (k)]]</f>
        <v>5779</v>
      </c>
      <c r="H443" cm="1">
        <f t="array" ref="H443:W443">Siam_Chart[[#This Row],[MCap (M)]:[CG]]</f>
        <v>511583729.36000001</v>
      </c>
      <c r="I443">
        <v>10.97</v>
      </c>
      <c r="J443">
        <v>0.82</v>
      </c>
      <c r="K443">
        <v>2.0382000000000001E-2</v>
      </c>
      <c r="L443">
        <v>0.02</v>
      </c>
      <c r="M443">
        <v>0.02</v>
      </c>
      <c r="N443">
        <v>7.6112549999999999</v>
      </c>
      <c r="O443">
        <v>7.7547610000000002</v>
      </c>
      <c r="P443">
        <v>145.85673600000001</v>
      </c>
      <c r="Q443">
        <v>0.82</v>
      </c>
      <c r="R443" t="str">
        <v/>
      </c>
      <c r="S443" t="str">
        <v/>
      </c>
      <c r="T443">
        <v>1295</v>
      </c>
      <c r="U443">
        <v>1317</v>
      </c>
      <c r="V443">
        <v>-1.62</v>
      </c>
      <c r="W443">
        <v>5</v>
      </c>
      <c r="X443" s="5">
        <f t="shared" si="15"/>
        <v>0.26829268292682928</v>
      </c>
      <c r="Y443" s="6">
        <f t="shared" si="16"/>
        <v>2325380588</v>
      </c>
    </row>
    <row r="444" spans="2:25" x14ac:dyDescent="0.25">
      <c r="B444" t="str">
        <f>Siam_Chart[[#This Row],[Name]]</f>
        <v>NER</v>
      </c>
      <c r="C444">
        <f>Siam_Chart[[#This Row],[No.]]</f>
        <v>443</v>
      </c>
      <c r="D444">
        <f>Siam_Chart[[#This Row],[Last]]</f>
        <v>4.6399999999999997</v>
      </c>
      <c r="E444">
        <f>Siam_Chart[[#This Row],[Chg%]]</f>
        <v>1.75</v>
      </c>
      <c r="F444">
        <f>Siam_Chart[[#This Row],[Volume]]</f>
        <v>23037522</v>
      </c>
      <c r="G444">
        <f>Siam_Chart[[#This Row],[Value (k)]]</f>
        <v>106329445.78</v>
      </c>
      <c r="H444" cm="1">
        <f t="array" ref="H444:W444">Siam_Chart[[#This Row],[MCap (M)]:[CG]]</f>
        <v>8573863804</v>
      </c>
      <c r="I444">
        <v>6.07</v>
      </c>
      <c r="J444">
        <v>0.86</v>
      </c>
      <c r="K444">
        <v>1.156793</v>
      </c>
      <c r="L444">
        <v>0.05</v>
      </c>
      <c r="M444">
        <v>0.37</v>
      </c>
      <c r="N444">
        <v>9.5376890000000003</v>
      </c>
      <c r="O444">
        <v>14.870926000000001</v>
      </c>
      <c r="P444">
        <v>4.8107049999999996</v>
      </c>
      <c r="Q444">
        <v>6.68</v>
      </c>
      <c r="R444" t="str">
        <v/>
      </c>
      <c r="S444" t="str">
        <v/>
      </c>
      <c r="T444">
        <v>219</v>
      </c>
      <c r="U444">
        <v>254</v>
      </c>
      <c r="V444">
        <v>6.14</v>
      </c>
      <c r="W444">
        <v>5</v>
      </c>
      <c r="X444" s="5">
        <f t="shared" si="15"/>
        <v>5.3953488372093021</v>
      </c>
      <c r="Y444" s="6">
        <f t="shared" si="16"/>
        <v>1847815475.0000002</v>
      </c>
    </row>
    <row r="445" spans="2:25" x14ac:dyDescent="0.25">
      <c r="B445" t="str">
        <f>Siam_Chart[[#This Row],[Name]]</f>
        <v>NETBAY</v>
      </c>
      <c r="C445">
        <f>Siam_Chart[[#This Row],[No.]]</f>
        <v>444</v>
      </c>
      <c r="D445">
        <f>Siam_Chart[[#This Row],[Last]]</f>
        <v>12.5</v>
      </c>
      <c r="E445">
        <f>Siam_Chart[[#This Row],[Chg%]]</f>
        <v>0.81</v>
      </c>
      <c r="F445">
        <f>Siam_Chart[[#This Row],[Volume]]</f>
        <v>486051</v>
      </c>
      <c r="G445">
        <f>Siam_Chart[[#This Row],[Value (k)]]</f>
        <v>6111452.5</v>
      </c>
      <c r="H445" cm="1">
        <f t="array" ref="H445:W445">Siam_Chart[[#This Row],[MCap (M)]:[CG]]</f>
        <v>2500000000</v>
      </c>
      <c r="I445">
        <v>12.89</v>
      </c>
      <c r="J445">
        <v>5.97</v>
      </c>
      <c r="K445">
        <v>0.37432799999999999</v>
      </c>
      <c r="L445">
        <v>0.8</v>
      </c>
      <c r="M445">
        <v>0.37</v>
      </c>
      <c r="N445">
        <v>38.213129000000002</v>
      </c>
      <c r="O445">
        <v>43.897567000000002</v>
      </c>
      <c r="P445">
        <v>26.308779999999999</v>
      </c>
      <c r="Q445">
        <v>9.6</v>
      </c>
      <c r="R445" t="str">
        <v/>
      </c>
      <c r="S445" t="str">
        <v/>
      </c>
      <c r="T445">
        <v>375</v>
      </c>
      <c r="U445">
        <v>361</v>
      </c>
      <c r="V445">
        <v>0.97</v>
      </c>
      <c r="W445">
        <v>0</v>
      </c>
      <c r="X445" s="5">
        <f t="shared" si="15"/>
        <v>2.0938023450586267</v>
      </c>
      <c r="Y445" s="6">
        <f t="shared" si="16"/>
        <v>200000000</v>
      </c>
    </row>
    <row r="446" spans="2:25" x14ac:dyDescent="0.25">
      <c r="B446" t="str">
        <f>Siam_Chart[[#This Row],[Name]]</f>
        <v>NEW</v>
      </c>
      <c r="C446">
        <f>Siam_Chart[[#This Row],[No.]]</f>
        <v>445</v>
      </c>
      <c r="D446">
        <f>Siam_Chart[[#This Row],[Last]]</f>
        <v>92.75</v>
      </c>
      <c r="E446">
        <f>Siam_Chart[[#This Row],[Chg%]]</f>
        <v>-2.37</v>
      </c>
      <c r="F446">
        <f>Siam_Chart[[#This Row],[Volume]]</f>
        <v>1</v>
      </c>
      <c r="G446">
        <f>Siam_Chart[[#This Row],[Value (k)]]</f>
        <v>120.5</v>
      </c>
      <c r="H446" cm="1">
        <f t="array" ref="H446:W446">Siam_Chart[[#This Row],[MCap (M)]:[CG]]</f>
        <v>927500000</v>
      </c>
      <c r="I446">
        <v>22.82</v>
      </c>
      <c r="J446">
        <v>1.77</v>
      </c>
      <c r="K446">
        <v>0.220415</v>
      </c>
      <c r="L446">
        <v>1.6</v>
      </c>
      <c r="M446">
        <v>1.75</v>
      </c>
      <c r="N446">
        <v>8.2865929999999999</v>
      </c>
      <c r="O446">
        <v>7.9236909999999998</v>
      </c>
      <c r="P446">
        <v>7.6467400000000003</v>
      </c>
      <c r="Q446">
        <v>1.73</v>
      </c>
      <c r="R446" t="str">
        <v/>
      </c>
      <c r="S446" t="str">
        <v/>
      </c>
      <c r="T446">
        <v>947</v>
      </c>
      <c r="U446">
        <v>807</v>
      </c>
      <c r="V446">
        <v>0.1</v>
      </c>
      <c r="W446">
        <v>0</v>
      </c>
      <c r="X446" s="5">
        <f t="shared" si="15"/>
        <v>52.401129943502823</v>
      </c>
      <c r="Y446" s="6">
        <f t="shared" si="16"/>
        <v>10000000</v>
      </c>
    </row>
    <row r="447" spans="2:25" x14ac:dyDescent="0.25">
      <c r="B447" t="str">
        <f>Siam_Chart[[#This Row],[Name]]</f>
        <v>NEX</v>
      </c>
      <c r="C447">
        <f>Siam_Chart[[#This Row],[No.]]</f>
        <v>446</v>
      </c>
      <c r="D447">
        <f>Siam_Chart[[#This Row],[Last]]</f>
        <v>0.99</v>
      </c>
      <c r="E447">
        <f>Siam_Chart[[#This Row],[Chg%]]</f>
        <v>0</v>
      </c>
      <c r="F447">
        <f>Siam_Chart[[#This Row],[Volume]]</f>
        <v>3573850</v>
      </c>
      <c r="G447">
        <f>Siam_Chart[[#This Row],[Value (k)]]</f>
        <v>3524376.64</v>
      </c>
      <c r="H447" cm="1">
        <f t="array" ref="H447:W447">Siam_Chart[[#This Row],[MCap (M)]:[CG]]</f>
        <v>5929505280.2700005</v>
      </c>
      <c r="I447">
        <v>5989399273</v>
      </c>
      <c r="J447">
        <v>1.46</v>
      </c>
      <c r="K447">
        <v>0.483236</v>
      </c>
      <c r="L447">
        <v>-0.04</v>
      </c>
      <c r="M447">
        <v>-0.04</v>
      </c>
      <c r="N447">
        <v>-18.650706</v>
      </c>
      <c r="O447">
        <v>-24.477509000000001</v>
      </c>
      <c r="P447">
        <v>-41.236567999999998</v>
      </c>
      <c r="Q447">
        <v>1.47</v>
      </c>
      <c r="R447" t="str">
        <v/>
      </c>
      <c r="S447" t="str">
        <v/>
      </c>
      <c r="T447">
        <v>0</v>
      </c>
      <c r="U447">
        <v>0</v>
      </c>
      <c r="V447">
        <v>0</v>
      </c>
      <c r="W447">
        <v>0</v>
      </c>
      <c r="X447" s="5">
        <f t="shared" si="15"/>
        <v>0.67808219178082196</v>
      </c>
      <c r="Y447" s="6">
        <f t="shared" si="16"/>
        <v>5989399273.000001</v>
      </c>
    </row>
    <row r="448" spans="2:25" x14ac:dyDescent="0.25">
      <c r="B448" t="str">
        <f>Siam_Chart[[#This Row],[Name]]</f>
        <v>NFC</v>
      </c>
      <c r="C448">
        <f>Siam_Chart[[#This Row],[No.]]</f>
        <v>447</v>
      </c>
      <c r="D448">
        <f>Siam_Chart[[#This Row],[Last]]</f>
        <v>2026</v>
      </c>
      <c r="E448">
        <f>Siam_Chart[[#This Row],[Chg%]]</f>
        <v>0</v>
      </c>
      <c r="F448">
        <f>Siam_Chart[[#This Row],[Volume]]</f>
        <v>0</v>
      </c>
      <c r="G448">
        <f>Siam_Chart[[#This Row],[Value (k)]]</f>
        <v>0</v>
      </c>
      <c r="H448" cm="1">
        <f t="array" ref="H448:W448">Siam_Chart[[#This Row],[MCap (M)]:[CG]]</f>
        <v>1349</v>
      </c>
      <c r="I448">
        <v>0</v>
      </c>
      <c r="J448">
        <v>3.0486559288155775</v>
      </c>
      <c r="K448">
        <v>3.0486559999999998</v>
      </c>
      <c r="L448">
        <v>0.18</v>
      </c>
      <c r="M448">
        <v>0.19</v>
      </c>
      <c r="N448">
        <v>7.5575260000000002</v>
      </c>
      <c r="O448">
        <v>13.980321999999999</v>
      </c>
      <c r="P448">
        <v>13.488106</v>
      </c>
      <c r="Q448">
        <v>0</v>
      </c>
      <c r="R448" t="str">
        <v/>
      </c>
      <c r="S448" t="str">
        <v/>
      </c>
      <c r="T448">
        <v>1097</v>
      </c>
      <c r="U448">
        <v>1079</v>
      </c>
      <c r="V448">
        <v>10.81</v>
      </c>
      <c r="W448">
        <v>0</v>
      </c>
      <c r="X448" s="5">
        <f t="shared" si="15"/>
        <v>664.55515063227028</v>
      </c>
      <c r="Y448" s="6">
        <f t="shared" si="16"/>
        <v>0.6658440276406713</v>
      </c>
    </row>
    <row r="449" spans="2:25" x14ac:dyDescent="0.25">
      <c r="B449" t="str">
        <f>Siam_Chart[[#This Row],[Name]]</f>
        <v>NKI</v>
      </c>
      <c r="C449">
        <f>Siam_Chart[[#This Row],[No.]]</f>
        <v>448</v>
      </c>
      <c r="D449">
        <f>Siam_Chart[[#This Row],[Last]]</f>
        <v>2026</v>
      </c>
      <c r="E449">
        <f>Siam_Chart[[#This Row],[Chg%]]</f>
        <v>-3.5532994923857832</v>
      </c>
      <c r="F449">
        <f>Siam_Chart[[#This Row],[Volume]]</f>
        <v>646620</v>
      </c>
      <c r="G449">
        <f>Siam_Chart[[#This Row],[Value (k)]]</f>
        <v>9399.7878500000006</v>
      </c>
      <c r="H449" cm="1">
        <f t="array" ref="H449:W449">Siam_Chart[[#This Row],[MCap (M)]:[CG]]</f>
        <v>985000000</v>
      </c>
      <c r="I449">
        <v>950000000</v>
      </c>
      <c r="J449">
        <v>0.49</v>
      </c>
      <c r="K449">
        <v>1.441773</v>
      </c>
      <c r="L449">
        <v>1.5</v>
      </c>
      <c r="M449">
        <v>2.2200000000000002</v>
      </c>
      <c r="N449">
        <v>-1.762672</v>
      </c>
      <c r="O449">
        <v>-3.9570989999999999</v>
      </c>
      <c r="P449">
        <v>5.2954549999999996</v>
      </c>
      <c r="Q449">
        <v>0.48</v>
      </c>
      <c r="R449" t="str">
        <v/>
      </c>
      <c r="S449" t="str">
        <v/>
      </c>
      <c r="T449">
        <v>0</v>
      </c>
      <c r="U449">
        <v>0</v>
      </c>
      <c r="V449">
        <v>0</v>
      </c>
      <c r="W449">
        <v>5</v>
      </c>
      <c r="X449" s="5">
        <f t="shared" si="15"/>
        <v>4134.6938775510207</v>
      </c>
      <c r="Y449" s="6">
        <f t="shared" si="16"/>
        <v>486179.66436327738</v>
      </c>
    </row>
    <row r="450" spans="2:25" x14ac:dyDescent="0.25">
      <c r="B450" t="str">
        <f>Siam_Chart[[#This Row],[Name]]</f>
        <v>NKT</v>
      </c>
      <c r="C450">
        <f>Siam_Chart[[#This Row],[No.]]</f>
        <v>449</v>
      </c>
      <c r="D450">
        <f>Siam_Chart[[#This Row],[Last]]</f>
        <v>3.7</v>
      </c>
      <c r="E450">
        <f>Siam_Chart[[#This Row],[Chg%]]</f>
        <v>0</v>
      </c>
      <c r="F450">
        <f>Siam_Chart[[#This Row],[Volume]]</f>
        <v>151000</v>
      </c>
      <c r="G450">
        <f>Siam_Chart[[#This Row],[Value (k)]]</f>
        <v>558578</v>
      </c>
      <c r="H450" cm="1">
        <f t="array" ref="H450:W450">Siam_Chart[[#This Row],[MCap (M)]:[CG]]</f>
        <v>1979500000</v>
      </c>
      <c r="I450">
        <v>17.02</v>
      </c>
      <c r="J450">
        <v>1.02</v>
      </c>
      <c r="K450">
        <v>0.43687199999999998</v>
      </c>
      <c r="L450">
        <v>0.18</v>
      </c>
      <c r="M450">
        <v>0.04</v>
      </c>
      <c r="N450">
        <v>6.7815669999999999</v>
      </c>
      <c r="O450">
        <v>6.0089319999999997</v>
      </c>
      <c r="P450">
        <v>1.9322029999999999</v>
      </c>
      <c r="Q450">
        <v>4.8600000000000003</v>
      </c>
      <c r="R450" t="str">
        <v/>
      </c>
      <c r="S450" t="str">
        <v/>
      </c>
      <c r="T450">
        <v>972</v>
      </c>
      <c r="U450">
        <v>817</v>
      </c>
      <c r="V450">
        <v>-1.04</v>
      </c>
      <c r="W450">
        <v>0</v>
      </c>
      <c r="X450" s="5">
        <f t="shared" si="15"/>
        <v>3.6274509803921569</v>
      </c>
      <c r="Y450" s="6">
        <f t="shared" si="16"/>
        <v>535000000</v>
      </c>
    </row>
    <row r="451" spans="2:25" x14ac:dyDescent="0.25">
      <c r="B451" t="str">
        <f>Siam_Chart[[#This Row],[Name]]</f>
        <v>NL</v>
      </c>
      <c r="C451">
        <f>Siam_Chart[[#This Row],[No.]]</f>
        <v>450</v>
      </c>
      <c r="D451">
        <f>Siam_Chart[[#This Row],[Last]]</f>
        <v>0.61</v>
      </c>
      <c r="E451">
        <f>Siam_Chart[[#This Row],[Chg%]]</f>
        <v>0</v>
      </c>
      <c r="F451">
        <f>Siam_Chart[[#This Row],[Volume]]</f>
        <v>24200</v>
      </c>
      <c r="G451">
        <f>Siam_Chart[[#This Row],[Value (k)]]</f>
        <v>14808</v>
      </c>
      <c r="H451" cm="1">
        <f t="array" ref="H451:W451">Siam_Chart[[#This Row],[MCap (M)]:[CG]]</f>
        <v>305000000</v>
      </c>
      <c r="I451">
        <v>305000000</v>
      </c>
      <c r="J451">
        <v>0.41</v>
      </c>
      <c r="K451">
        <v>0.60894899999999996</v>
      </c>
      <c r="L451">
        <v>0.04</v>
      </c>
      <c r="M451">
        <v>-0.06</v>
      </c>
      <c r="N451">
        <v>-2.5800640000000001</v>
      </c>
      <c r="O451">
        <v>-3.7882799999999999</v>
      </c>
      <c r="P451">
        <v>-5.4865310000000003</v>
      </c>
      <c r="Q451">
        <v>0.41</v>
      </c>
      <c r="R451" t="str">
        <v/>
      </c>
      <c r="S451" t="str">
        <v/>
      </c>
      <c r="T451">
        <v>0</v>
      </c>
      <c r="U451">
        <v>0</v>
      </c>
      <c r="V451">
        <v>0</v>
      </c>
      <c r="W451">
        <v>4</v>
      </c>
      <c r="X451" s="5">
        <f t="shared" si="15"/>
        <v>1.4878048780487805</v>
      </c>
      <c r="Y451" s="6">
        <f t="shared" si="16"/>
        <v>500000000</v>
      </c>
    </row>
    <row r="452" spans="2:25" x14ac:dyDescent="0.25">
      <c r="B452" t="str">
        <f>Siam_Chart[[#This Row],[Name]]</f>
        <v>NNCL</v>
      </c>
      <c r="C452">
        <f>Siam_Chart[[#This Row],[No.]]</f>
        <v>451</v>
      </c>
      <c r="D452">
        <f>Siam_Chart[[#This Row],[Last]]</f>
        <v>1.81</v>
      </c>
      <c r="E452">
        <f>Siam_Chart[[#This Row],[Chg%]]</f>
        <v>1.1200000000000001</v>
      </c>
      <c r="F452">
        <f>Siam_Chart[[#This Row],[Volume]]</f>
        <v>71717</v>
      </c>
      <c r="G452">
        <f>Siam_Chart[[#This Row],[Value (k)]]</f>
        <v>129252.44</v>
      </c>
      <c r="H452" cm="1">
        <f t="array" ref="H452:W452">Siam_Chart[[#This Row],[MCap (M)]:[CG]]</f>
        <v>3707341300.2199998</v>
      </c>
      <c r="I452">
        <v>6.51</v>
      </c>
      <c r="J452">
        <v>0.9</v>
      </c>
      <c r="K452">
        <v>0.30479200000000001</v>
      </c>
      <c r="L452">
        <v>7.0000000000000007E-2</v>
      </c>
      <c r="M452">
        <v>0.19</v>
      </c>
      <c r="N452">
        <v>13.827531</v>
      </c>
      <c r="O452">
        <v>14.410488000000001</v>
      </c>
      <c r="P452">
        <v>32.530735</v>
      </c>
      <c r="Q452">
        <v>6.08</v>
      </c>
      <c r="R452" t="str">
        <v/>
      </c>
      <c r="S452" t="str">
        <v/>
      </c>
      <c r="T452">
        <v>800</v>
      </c>
      <c r="U452">
        <v>705</v>
      </c>
      <c r="V452">
        <v>5.24</v>
      </c>
      <c r="W452">
        <v>0</v>
      </c>
      <c r="X452" s="5">
        <f t="shared" ref="X452:X515" si="17">IFERROR(D452/J452,0)</f>
        <v>2.0111111111111111</v>
      </c>
      <c r="Y452" s="6">
        <f t="shared" ref="Y452:Y515" si="18">IFERROR(H452/D452,0)</f>
        <v>2048254861.9999998</v>
      </c>
    </row>
    <row r="453" spans="2:25" x14ac:dyDescent="0.25">
      <c r="B453" t="str">
        <f>Siam_Chart[[#This Row],[Name]]</f>
        <v>NOBLE</v>
      </c>
      <c r="C453">
        <f>Siam_Chart[[#This Row],[No.]]</f>
        <v>452</v>
      </c>
      <c r="D453">
        <f>Siam_Chart[[#This Row],[Last]]</f>
        <v>1.62</v>
      </c>
      <c r="E453">
        <f>Siam_Chart[[#This Row],[Chg%]]</f>
        <v>-1.22</v>
      </c>
      <c r="F453">
        <f>Siam_Chart[[#This Row],[Volume]]</f>
        <v>2381562</v>
      </c>
      <c r="G453">
        <f>Siam_Chart[[#This Row],[Value (k)]]</f>
        <v>3873677.43</v>
      </c>
      <c r="H453" cm="1">
        <f t="array" ref="H453:W453">Siam_Chart[[#This Row],[MCap (M)]:[CG]]</f>
        <v>2218450179.4200001</v>
      </c>
      <c r="I453">
        <v>11.27</v>
      </c>
      <c r="J453">
        <v>0.35</v>
      </c>
      <c r="K453">
        <v>2.515838</v>
      </c>
      <c r="L453">
        <v>0.104</v>
      </c>
      <c r="M453">
        <v>-0.27</v>
      </c>
      <c r="N453">
        <v>3.489554</v>
      </c>
      <c r="O453">
        <v>3.132517</v>
      </c>
      <c r="P453">
        <v>-14.074631</v>
      </c>
      <c r="Q453">
        <v>0.37</v>
      </c>
      <c r="R453" t="str">
        <v/>
      </c>
      <c r="S453" t="str">
        <v/>
      </c>
      <c r="T453">
        <v>373</v>
      </c>
      <c r="U453">
        <v>506</v>
      </c>
      <c r="V453">
        <v>0.54</v>
      </c>
      <c r="W453">
        <v>5</v>
      </c>
      <c r="X453" s="5">
        <f t="shared" si="17"/>
        <v>4.628571428571429</v>
      </c>
      <c r="Y453" s="6">
        <f t="shared" si="18"/>
        <v>1369413691</v>
      </c>
    </row>
    <row r="454" spans="2:25" x14ac:dyDescent="0.25">
      <c r="B454" t="str">
        <f>Siam_Chart[[#This Row],[Name]]</f>
        <v>NOVA</v>
      </c>
      <c r="C454">
        <f>Siam_Chart[[#This Row],[No.]]</f>
        <v>453</v>
      </c>
      <c r="D454">
        <f>Siam_Chart[[#This Row],[Last]]</f>
        <v>6.3</v>
      </c>
      <c r="E454">
        <f>Siam_Chart[[#This Row],[Chg%]]</f>
        <v>12.5</v>
      </c>
      <c r="F454">
        <f>Siam_Chart[[#This Row],[Volume]]</f>
        <v>8</v>
      </c>
      <c r="G454">
        <f>Siam_Chart[[#This Row],[Value (k)]]</f>
        <v>49.65</v>
      </c>
      <c r="H454" cm="1">
        <f t="array" ref="H454:W454">Siam_Chart[[#This Row],[MCap (M)]:[CG]]</f>
        <v>720972027.60000002</v>
      </c>
      <c r="I454">
        <v>656494854.39999998</v>
      </c>
      <c r="J454">
        <v>0.61</v>
      </c>
      <c r="K454">
        <v>2.4619149999999999</v>
      </c>
      <c r="L454">
        <v>1.1100000000000001</v>
      </c>
      <c r="M454">
        <v>-0.63</v>
      </c>
      <c r="N454">
        <v>0.860599</v>
      </c>
      <c r="O454">
        <v>-9.5387020000000007</v>
      </c>
      <c r="P454">
        <v>-20.048824</v>
      </c>
      <c r="Q454">
        <v>0.56000000000000005</v>
      </c>
      <c r="R454" t="str">
        <v/>
      </c>
      <c r="S454" t="str">
        <v/>
      </c>
      <c r="T454">
        <v>0</v>
      </c>
      <c r="U454">
        <v>0</v>
      </c>
      <c r="V454">
        <v>0</v>
      </c>
      <c r="W454">
        <v>3</v>
      </c>
      <c r="X454" s="5">
        <f t="shared" si="17"/>
        <v>10.327868852459016</v>
      </c>
      <c r="Y454" s="6">
        <f t="shared" si="18"/>
        <v>114440004.38095239</v>
      </c>
    </row>
    <row r="455" spans="2:25" x14ac:dyDescent="0.25">
      <c r="B455" t="str">
        <f>Siam_Chart[[#This Row],[Name]]</f>
        <v>NPK</v>
      </c>
      <c r="C455">
        <f>Siam_Chart[[#This Row],[No.]]</f>
        <v>454</v>
      </c>
      <c r="D455">
        <f>Siam_Chart[[#This Row],[Last]]</f>
        <v>12.5</v>
      </c>
      <c r="E455">
        <f>Siam_Chart[[#This Row],[Chg%]]</f>
        <v>0</v>
      </c>
      <c r="F455">
        <f>Siam_Chart[[#This Row],[Volume]]</f>
        <v>1</v>
      </c>
      <c r="G455">
        <f>Siam_Chart[[#This Row],[Value (k)]]</f>
        <v>12.5</v>
      </c>
      <c r="H455" cm="1">
        <f t="array" ref="H455:W455">Siam_Chart[[#This Row],[MCap (M)]:[CG]]</f>
        <v>129000000</v>
      </c>
      <c r="I455">
        <v>13.22</v>
      </c>
      <c r="J455">
        <v>0.28999999999999998</v>
      </c>
      <c r="K455">
        <v>0.13095499999999999</v>
      </c>
      <c r="L455">
        <v>0.25</v>
      </c>
      <c r="M455">
        <v>-0.21</v>
      </c>
      <c r="N455">
        <v>3.0164490000000002</v>
      </c>
      <c r="O455">
        <v>2.2076039999999999</v>
      </c>
      <c r="P455">
        <v>-1.6008659999999999</v>
      </c>
      <c r="Q455">
        <v>1.94</v>
      </c>
      <c r="R455" t="str">
        <v/>
      </c>
      <c r="S455" t="str">
        <v/>
      </c>
      <c r="T455">
        <v>667</v>
      </c>
      <c r="U455">
        <v>623</v>
      </c>
      <c r="V455">
        <v>-0.04</v>
      </c>
      <c r="W455">
        <v>3</v>
      </c>
      <c r="X455" s="5">
        <f t="shared" si="17"/>
        <v>43.103448275862071</v>
      </c>
      <c r="Y455" s="6">
        <f t="shared" si="18"/>
        <v>10320000</v>
      </c>
    </row>
    <row r="456" spans="2:25" x14ac:dyDescent="0.25">
      <c r="B456" t="str">
        <f>Siam_Chart[[#This Row],[Name]]</f>
        <v>NRF</v>
      </c>
      <c r="C456">
        <f>Siam_Chart[[#This Row],[No.]]</f>
        <v>455</v>
      </c>
      <c r="D456">
        <f>Siam_Chart[[#This Row],[Last]]</f>
        <v>0.23</v>
      </c>
      <c r="E456">
        <f>Siam_Chart[[#This Row],[Chg%]]</f>
        <v>0</v>
      </c>
      <c r="F456">
        <f>Siam_Chart[[#This Row],[Volume]]</f>
        <v>699791</v>
      </c>
      <c r="G456">
        <f>Siam_Chart[[#This Row],[Value (k)]]</f>
        <v>155090.85999999999</v>
      </c>
      <c r="H456" cm="1">
        <f t="array" ref="H456:W456">Siam_Chart[[#This Row],[MCap (M)]:[CG]]</f>
        <v>345880272.32999998</v>
      </c>
      <c r="I456">
        <v>330841999.62</v>
      </c>
      <c r="J456">
        <v>0.43</v>
      </c>
      <c r="K456">
        <v>4.3262999999999998</v>
      </c>
      <c r="L456">
        <v>0.03</v>
      </c>
      <c r="M456">
        <v>-0.04</v>
      </c>
      <c r="N456">
        <v>-5.2209029999999998</v>
      </c>
      <c r="O456">
        <v>-29.712657</v>
      </c>
      <c r="P456">
        <v>-5.1830109999999996</v>
      </c>
      <c r="Q456">
        <v>0.41</v>
      </c>
      <c r="R456" t="str">
        <v/>
      </c>
      <c r="S456" t="str">
        <v/>
      </c>
      <c r="T456">
        <v>0</v>
      </c>
      <c r="U456">
        <v>0</v>
      </c>
      <c r="V456">
        <v>0</v>
      </c>
      <c r="W456">
        <v>5</v>
      </c>
      <c r="X456" s="5">
        <f t="shared" si="17"/>
        <v>0.53488372093023262</v>
      </c>
      <c r="Y456" s="6">
        <f t="shared" si="18"/>
        <v>1503827270.9999998</v>
      </c>
    </row>
    <row r="457" spans="2:25" x14ac:dyDescent="0.25">
      <c r="B457" t="str">
        <f>Siam_Chart[[#This Row],[Name]]</f>
        <v>NSL</v>
      </c>
      <c r="C457">
        <f>Siam_Chart[[#This Row],[No.]]</f>
        <v>456</v>
      </c>
      <c r="D457">
        <f>Siam_Chart[[#This Row],[Last]]</f>
        <v>23.1</v>
      </c>
      <c r="E457">
        <f>Siam_Chart[[#This Row],[Chg%]]</f>
        <v>0</v>
      </c>
      <c r="F457">
        <f>Siam_Chart[[#This Row],[Volume]]</f>
        <v>634485</v>
      </c>
      <c r="G457">
        <f>Siam_Chart[[#This Row],[Value (k)]]</f>
        <v>14699172.4</v>
      </c>
      <c r="H457" cm="1">
        <f t="array" ref="H457:W457">Siam_Chart[[#This Row],[MCap (M)]:[CG]]</f>
        <v>6930000000</v>
      </c>
      <c r="I457">
        <v>11.91</v>
      </c>
      <c r="J457">
        <v>2.98</v>
      </c>
      <c r="K457">
        <v>0.78129400000000004</v>
      </c>
      <c r="L457">
        <v>0.55000000000000004</v>
      </c>
      <c r="M457">
        <v>1.04</v>
      </c>
      <c r="N457">
        <v>19.295632999999999</v>
      </c>
      <c r="O457">
        <v>26.535727000000001</v>
      </c>
      <c r="P457">
        <v>8.317895</v>
      </c>
      <c r="Q457">
        <v>4.55</v>
      </c>
      <c r="R457" t="str">
        <v/>
      </c>
      <c r="S457" t="str">
        <v/>
      </c>
      <c r="T457">
        <v>362</v>
      </c>
      <c r="U457">
        <v>344</v>
      </c>
      <c r="V457">
        <v>0.33</v>
      </c>
      <c r="W457">
        <v>4</v>
      </c>
      <c r="X457" s="5">
        <f t="shared" si="17"/>
        <v>7.751677852348994</v>
      </c>
      <c r="Y457" s="6">
        <f t="shared" si="18"/>
        <v>300000000</v>
      </c>
    </row>
    <row r="458" spans="2:25" x14ac:dyDescent="0.25">
      <c r="B458" t="str">
        <f>Siam_Chart[[#This Row],[Name]]</f>
        <v>NTF</v>
      </c>
      <c r="C458">
        <f>Siam_Chart[[#This Row],[No.]]</f>
        <v>457</v>
      </c>
      <c r="D458">
        <f>Siam_Chart[[#This Row],[Last]]</f>
        <v>13</v>
      </c>
      <c r="E458">
        <f>Siam_Chart[[#This Row],[Chg%]]</f>
        <v>0.78</v>
      </c>
      <c r="F458">
        <f>Siam_Chart[[#This Row],[Volume]]</f>
        <v>399901</v>
      </c>
      <c r="G458">
        <f>Siam_Chart[[#This Row],[Value (k)]]</f>
        <v>5178063</v>
      </c>
      <c r="H458" cm="1">
        <f t="array" ref="H458:W458">Siam_Chart[[#This Row],[MCap (M)]:[CG]]</f>
        <v>2600000000</v>
      </c>
      <c r="I458">
        <v>7.64</v>
      </c>
      <c r="J458">
        <v>3.68</v>
      </c>
      <c r="K458">
        <v>0.82770699999999997</v>
      </c>
      <c r="L458">
        <v>0.1145</v>
      </c>
      <c r="M458">
        <v>1.38</v>
      </c>
      <c r="N458">
        <v>39.417175999999998</v>
      </c>
      <c r="O458">
        <v>55.465898000000003</v>
      </c>
      <c r="P458">
        <v>10.393815</v>
      </c>
      <c r="Q458">
        <v>0.88</v>
      </c>
      <c r="R458" t="str">
        <v/>
      </c>
      <c r="S458" t="str">
        <v/>
      </c>
      <c r="T458">
        <v>0</v>
      </c>
      <c r="U458">
        <v>0</v>
      </c>
      <c r="V458">
        <v>0.03</v>
      </c>
      <c r="W458">
        <v>0</v>
      </c>
      <c r="X458" s="5">
        <f t="shared" si="17"/>
        <v>3.5326086956521738</v>
      </c>
      <c r="Y458" s="6">
        <f t="shared" si="18"/>
        <v>200000000</v>
      </c>
    </row>
    <row r="459" spans="2:25" x14ac:dyDescent="0.25">
      <c r="B459" t="str">
        <f>Siam_Chart[[#This Row],[Name]]</f>
        <v>NTSC</v>
      </c>
      <c r="C459">
        <f>Siam_Chart[[#This Row],[No.]]</f>
        <v>458</v>
      </c>
      <c r="D459">
        <f>Siam_Chart[[#This Row],[Last]]</f>
        <v>6.7</v>
      </c>
      <c r="E459">
        <f>Siam_Chart[[#This Row],[Chg%]]</f>
        <v>-0.74</v>
      </c>
      <c r="F459">
        <f>Siam_Chart[[#This Row],[Volume]]</f>
        <v>208456</v>
      </c>
      <c r="G459">
        <f>Siam_Chart[[#This Row],[Value (k)]]</f>
        <v>1402295.2</v>
      </c>
      <c r="H459" cm="1">
        <f t="array" ref="H459:W459">Siam_Chart[[#This Row],[MCap (M)]:[CG]]</f>
        <v>893331207.20000005</v>
      </c>
      <c r="I459">
        <v>6.99</v>
      </c>
      <c r="J459">
        <v>0.78</v>
      </c>
      <c r="K459">
        <v>0.25116500000000003</v>
      </c>
      <c r="L459">
        <v>0.3</v>
      </c>
      <c r="M459">
        <v>0.5</v>
      </c>
      <c r="N459">
        <v>11.601614</v>
      </c>
      <c r="O459">
        <v>11.542947</v>
      </c>
      <c r="P459">
        <v>10.474216</v>
      </c>
      <c r="Q459">
        <v>4.4800000000000004</v>
      </c>
      <c r="R459" t="str">
        <v/>
      </c>
      <c r="S459" t="str">
        <v/>
      </c>
      <c r="T459">
        <v>339</v>
      </c>
      <c r="U459">
        <v>246</v>
      </c>
      <c r="V459">
        <v>0.4</v>
      </c>
      <c r="W459">
        <v>4</v>
      </c>
      <c r="X459" s="5">
        <f t="shared" si="17"/>
        <v>8.5897435897435894</v>
      </c>
      <c r="Y459" s="6">
        <f t="shared" si="18"/>
        <v>133333016</v>
      </c>
    </row>
    <row r="460" spans="2:25" x14ac:dyDescent="0.25">
      <c r="B460" t="str">
        <f>Siam_Chart[[#This Row],[Name]]</f>
        <v>NTV</v>
      </c>
      <c r="C460">
        <f>Siam_Chart[[#This Row],[No.]]</f>
        <v>459</v>
      </c>
      <c r="D460">
        <f>Siam_Chart[[#This Row],[Last]]</f>
        <v>19</v>
      </c>
      <c r="E460">
        <f>Siam_Chart[[#This Row],[Chg%]]</f>
        <v>0</v>
      </c>
      <c r="F460">
        <f>Siam_Chart[[#This Row],[Volume]]</f>
        <v>48534</v>
      </c>
      <c r="G460">
        <f>Siam_Chart[[#This Row],[Value (k)]]</f>
        <v>911840.5</v>
      </c>
      <c r="H460" cm="1">
        <f t="array" ref="H460:W460">Siam_Chart[[#This Row],[MCap (M)]:[CG]]</f>
        <v>3040000000</v>
      </c>
      <c r="I460">
        <v>13.44</v>
      </c>
      <c r="J460">
        <v>1.1100000000000001</v>
      </c>
      <c r="K460">
        <v>0.119018</v>
      </c>
      <c r="L460">
        <v>1.04</v>
      </c>
      <c r="M460">
        <v>0.51</v>
      </c>
      <c r="N460">
        <v>8.5269410000000008</v>
      </c>
      <c r="O460">
        <v>8.3657509999999995</v>
      </c>
      <c r="P460">
        <v>7.5918380000000001</v>
      </c>
      <c r="Q460">
        <v>5.47</v>
      </c>
      <c r="R460" t="str">
        <v/>
      </c>
      <c r="S460" t="str">
        <v/>
      </c>
      <c r="T460">
        <v>743</v>
      </c>
      <c r="U460">
        <v>623</v>
      </c>
      <c r="V460">
        <v>0.62</v>
      </c>
      <c r="W460">
        <v>4</v>
      </c>
      <c r="X460" s="5">
        <f t="shared" si="17"/>
        <v>17.117117117117115</v>
      </c>
      <c r="Y460" s="6">
        <f t="shared" si="18"/>
        <v>160000000</v>
      </c>
    </row>
    <row r="461" spans="2:25" x14ac:dyDescent="0.25">
      <c r="B461" t="str">
        <f>Siam_Chart[[#This Row],[Name]]</f>
        <v>NUT</v>
      </c>
      <c r="C461">
        <f>Siam_Chart[[#This Row],[No.]]</f>
        <v>460</v>
      </c>
      <c r="D461">
        <f>Siam_Chart[[#This Row],[Last]]</f>
        <v>4.82</v>
      </c>
      <c r="E461">
        <f>Siam_Chart[[#This Row],[Chg%]]</f>
        <v>-2.0299999999999998</v>
      </c>
      <c r="F461">
        <f>Siam_Chart[[#This Row],[Volume]]</f>
        <v>239561</v>
      </c>
      <c r="G461">
        <f>Siam_Chart[[#This Row],[Value (k)]]</f>
        <v>1160024.8400000001</v>
      </c>
      <c r="H461" cm="1">
        <f t="array" ref="H461:W461">Siam_Chart[[#This Row],[MCap (M)]:[CG]]</f>
        <v>578400000</v>
      </c>
      <c r="I461">
        <v>12.17</v>
      </c>
      <c r="J461">
        <v>1.1399999999999999</v>
      </c>
      <c r="K461">
        <v>0.36322700000000002</v>
      </c>
      <c r="L461">
        <v>0.4</v>
      </c>
      <c r="M461">
        <v>0.27</v>
      </c>
      <c r="N461">
        <v>9.31386</v>
      </c>
      <c r="O461">
        <v>9.1217439999999996</v>
      </c>
      <c r="P461">
        <v>5.795884</v>
      </c>
      <c r="Q461">
        <v>10.99</v>
      </c>
      <c r="R461" t="str">
        <v/>
      </c>
      <c r="S461" t="str">
        <v/>
      </c>
      <c r="T461">
        <v>710</v>
      </c>
      <c r="U461">
        <v>594</v>
      </c>
      <c r="V461">
        <v>2.39</v>
      </c>
      <c r="W461">
        <v>0</v>
      </c>
      <c r="X461" s="5">
        <f t="shared" si="17"/>
        <v>4.2280701754385968</v>
      </c>
      <c r="Y461" s="6">
        <f t="shared" si="18"/>
        <v>120000000</v>
      </c>
    </row>
    <row r="462" spans="2:25" x14ac:dyDescent="0.25">
      <c r="B462" t="str">
        <f>Siam_Chart[[#This Row],[Name]]</f>
        <v>NV</v>
      </c>
      <c r="C462">
        <f>Siam_Chart[[#This Row],[No.]]</f>
        <v>461</v>
      </c>
      <c r="D462">
        <f>Siam_Chart[[#This Row],[Last]]</f>
        <v>0.54</v>
      </c>
      <c r="E462">
        <f>Siam_Chart[[#This Row],[Chg%]]</f>
        <v>0</v>
      </c>
      <c r="F462">
        <f>Siam_Chart[[#This Row],[Volume]]</f>
        <v>365200</v>
      </c>
      <c r="G462">
        <f>Siam_Chart[[#This Row],[Value (k)]]</f>
        <v>198068</v>
      </c>
      <c r="H462" cm="1">
        <f t="array" ref="H462:W462">Siam_Chart[[#This Row],[MCap (M)]:[CG]]</f>
        <v>324000000</v>
      </c>
      <c r="I462">
        <v>324000000</v>
      </c>
      <c r="J462">
        <v>0.28999999999999998</v>
      </c>
      <c r="K462">
        <v>0.105353</v>
      </c>
      <c r="L462">
        <v>0.35</v>
      </c>
      <c r="M462">
        <v>-0.04</v>
      </c>
      <c r="N462">
        <v>-3.4390260000000001</v>
      </c>
      <c r="O462">
        <v>-3.9773000000000001</v>
      </c>
      <c r="P462">
        <v>-4.9751659999999998</v>
      </c>
      <c r="Q462">
        <v>0.28999999999999998</v>
      </c>
      <c r="R462" t="str">
        <v/>
      </c>
      <c r="S462" t="str">
        <v/>
      </c>
      <c r="T462">
        <v>0</v>
      </c>
      <c r="U462">
        <v>0</v>
      </c>
      <c r="V462">
        <v>0</v>
      </c>
      <c r="W462">
        <v>5</v>
      </c>
      <c r="X462" s="5">
        <f t="shared" si="17"/>
        <v>1.8620689655172415</v>
      </c>
      <c r="Y462" s="6">
        <f t="shared" si="18"/>
        <v>600000000</v>
      </c>
    </row>
    <row r="463" spans="2:25" x14ac:dyDescent="0.25">
      <c r="B463" t="str">
        <f>Siam_Chart[[#This Row],[Name]]</f>
        <v>NVD</v>
      </c>
      <c r="C463">
        <f>Siam_Chart[[#This Row],[No.]]</f>
        <v>462</v>
      </c>
      <c r="D463">
        <f>Siam_Chart[[#This Row],[Last]]</f>
        <v>0.77</v>
      </c>
      <c r="E463">
        <f>Siam_Chart[[#This Row],[Chg%]]</f>
        <v>2.67</v>
      </c>
      <c r="F463">
        <f>Siam_Chart[[#This Row],[Volume]]</f>
        <v>2500</v>
      </c>
      <c r="G463">
        <f>Siam_Chart[[#This Row],[Value (k)]]</f>
        <v>1940</v>
      </c>
      <c r="H463" cm="1">
        <f t="array" ref="H463:W463">Siam_Chart[[#This Row],[MCap (M)]:[CG]]</f>
        <v>1425964191.1900001</v>
      </c>
      <c r="I463">
        <v>8.15</v>
      </c>
      <c r="J463">
        <v>0.25</v>
      </c>
      <c r="K463">
        <v>1.6899219999999999</v>
      </c>
      <c r="L463">
        <v>2.5999999999999999E-2</v>
      </c>
      <c r="M463">
        <v>2.38671480569734</v>
      </c>
      <c r="N463">
        <v>2.3867150000000001</v>
      </c>
      <c r="O463">
        <v>3.154293</v>
      </c>
      <c r="P463">
        <v>0.98745099999999997</v>
      </c>
      <c r="Q463">
        <v>0.26</v>
      </c>
      <c r="R463" t="str">
        <v/>
      </c>
      <c r="S463" t="str">
        <v/>
      </c>
      <c r="T463">
        <v>756</v>
      </c>
      <c r="U463">
        <v>774</v>
      </c>
      <c r="V463">
        <v>-1.28</v>
      </c>
      <c r="W463">
        <v>5</v>
      </c>
      <c r="X463" s="5">
        <f t="shared" si="17"/>
        <v>3.08</v>
      </c>
      <c r="Y463" s="6">
        <f t="shared" si="18"/>
        <v>1851901547</v>
      </c>
    </row>
    <row r="464" spans="2:25" x14ac:dyDescent="0.25">
      <c r="B464" t="str">
        <f>Siam_Chart[[#This Row],[Name]]</f>
        <v>NWR</v>
      </c>
      <c r="C464">
        <f>Siam_Chart[[#This Row],[No.]]</f>
        <v>463</v>
      </c>
      <c r="D464">
        <f>Siam_Chart[[#This Row],[Last]]</f>
        <v>2026</v>
      </c>
      <c r="E464">
        <f>Siam_Chart[[#This Row],[Chg%]]</f>
        <v>0</v>
      </c>
      <c r="F464">
        <f>Siam_Chart[[#This Row],[Volume]]</f>
        <v>0</v>
      </c>
      <c r="G464">
        <f>Siam_Chart[[#This Row],[Value (k)]]</f>
        <v>0</v>
      </c>
      <c r="H464" cm="1">
        <f t="array" ref="H464:W464">Siam_Chart[[#This Row],[MCap (M)]:[CG]]</f>
        <v>78</v>
      </c>
      <c r="I464">
        <v>0</v>
      </c>
      <c r="J464">
        <v>0</v>
      </c>
      <c r="K464">
        <v>0</v>
      </c>
      <c r="L464">
        <v>-0.22</v>
      </c>
      <c r="M464">
        <v>-0.22</v>
      </c>
      <c r="N464">
        <v>-10.710982</v>
      </c>
      <c r="O464">
        <v>-13.620032930237985</v>
      </c>
      <c r="P464">
        <v>-13.620032999999999</v>
      </c>
      <c r="Q464">
        <v>0</v>
      </c>
      <c r="R464" t="str">
        <v/>
      </c>
      <c r="S464" t="str">
        <v/>
      </c>
      <c r="T464">
        <v>0</v>
      </c>
      <c r="U464">
        <v>0</v>
      </c>
      <c r="V464">
        <v>0</v>
      </c>
      <c r="W464">
        <v>5</v>
      </c>
      <c r="X464" s="5">
        <f t="shared" si="17"/>
        <v>0</v>
      </c>
      <c r="Y464" s="6">
        <f t="shared" si="18"/>
        <v>3.8499506416584402E-2</v>
      </c>
    </row>
    <row r="465" spans="2:25" x14ac:dyDescent="0.25">
      <c r="B465" t="str">
        <f>Siam_Chart[[#This Row],[Name]]</f>
        <v>NYT</v>
      </c>
      <c r="C465">
        <f>Siam_Chart[[#This Row],[No.]]</f>
        <v>464</v>
      </c>
      <c r="D465">
        <f>Siam_Chart[[#This Row],[Last]]</f>
        <v>4.0199999999999996</v>
      </c>
      <c r="E465">
        <f>Siam_Chart[[#This Row],[Chg%]]</f>
        <v>0.5</v>
      </c>
      <c r="F465">
        <f>Siam_Chart[[#This Row],[Volume]]</f>
        <v>708958</v>
      </c>
      <c r="G465">
        <f>Siam_Chart[[#This Row],[Value (k)]]</f>
        <v>2853682.8</v>
      </c>
      <c r="H465" cm="1">
        <f t="array" ref="H465:W465">Siam_Chart[[#This Row],[MCap (M)]:[CG]]</f>
        <v>4984800000</v>
      </c>
      <c r="I465">
        <v>7.47</v>
      </c>
      <c r="J465">
        <v>1.52</v>
      </c>
      <c r="K465">
        <v>1.013352</v>
      </c>
      <c r="L465">
        <v>0.5</v>
      </c>
      <c r="M465">
        <v>0.19</v>
      </c>
      <c r="N465">
        <v>14.823205</v>
      </c>
      <c r="O465">
        <v>20.418296000000002</v>
      </c>
      <c r="P465">
        <v>22.973324000000002</v>
      </c>
      <c r="Q465">
        <v>12.44</v>
      </c>
      <c r="R465" t="str">
        <v/>
      </c>
      <c r="S465" t="str">
        <v/>
      </c>
      <c r="T465">
        <v>198</v>
      </c>
      <c r="U465">
        <v>188</v>
      </c>
      <c r="V465">
        <v>0.24</v>
      </c>
      <c r="W465">
        <v>5</v>
      </c>
      <c r="X465" s="5">
        <f t="shared" si="17"/>
        <v>2.6447368421052628</v>
      </c>
      <c r="Y465" s="6">
        <f t="shared" si="18"/>
        <v>1240000000.0000002</v>
      </c>
    </row>
    <row r="466" spans="2:25" x14ac:dyDescent="0.25">
      <c r="B466" t="str">
        <f>Siam_Chart[[#This Row],[Name]]</f>
        <v>OCC</v>
      </c>
      <c r="C466">
        <f>Siam_Chart[[#This Row],[No.]]</f>
        <v>465</v>
      </c>
      <c r="D466">
        <f>Siam_Chart[[#This Row],[Last]]</f>
        <v>9.5500000000000007</v>
      </c>
      <c r="E466">
        <f>Siam_Chart[[#This Row],[Chg%]]</f>
        <v>-0.52</v>
      </c>
      <c r="F466">
        <f>Siam_Chart[[#This Row],[Volume]]</f>
        <v>170</v>
      </c>
      <c r="G466">
        <f>Siam_Chart[[#This Row],[Value (k)]]</f>
        <v>1623.5</v>
      </c>
      <c r="H466" cm="1">
        <f t="array" ref="H466:W466">Siam_Chart[[#This Row],[MCap (M)]:[CG]]</f>
        <v>573000000</v>
      </c>
      <c r="I466">
        <v>576000000</v>
      </c>
      <c r="J466">
        <v>0.56000000000000005</v>
      </c>
      <c r="K466">
        <v>0.17491300000000001</v>
      </c>
      <c r="L466">
        <v>0.05</v>
      </c>
      <c r="M466">
        <v>0.08</v>
      </c>
      <c r="N466">
        <v>0.30823899999999999</v>
      </c>
      <c r="O466">
        <v>-4.3993999999999998E-2</v>
      </c>
      <c r="P466">
        <v>1.1502790000000001</v>
      </c>
      <c r="Q466">
        <v>0.52</v>
      </c>
      <c r="R466" t="str">
        <v/>
      </c>
      <c r="S466" t="str">
        <v/>
      </c>
      <c r="T466">
        <v>0</v>
      </c>
      <c r="U466">
        <v>0</v>
      </c>
      <c r="V466">
        <v>0</v>
      </c>
      <c r="W466">
        <v>5</v>
      </c>
      <c r="X466" s="5">
        <f t="shared" si="17"/>
        <v>17.053571428571427</v>
      </c>
      <c r="Y466" s="6">
        <f t="shared" si="18"/>
        <v>59999999.999999993</v>
      </c>
    </row>
    <row r="467" spans="2:25" x14ac:dyDescent="0.25">
      <c r="B467" t="str">
        <f>Siam_Chart[[#This Row],[Name]]</f>
        <v>OGC</v>
      </c>
      <c r="C467">
        <f>Siam_Chart[[#This Row],[No.]]</f>
        <v>466</v>
      </c>
      <c r="D467">
        <f>Siam_Chart[[#This Row],[Last]]</f>
        <v>8.8000000000000007</v>
      </c>
      <c r="E467">
        <f>Siam_Chart[[#This Row],[Chg%]]</f>
        <v>-1.68</v>
      </c>
      <c r="F467">
        <f>Siam_Chart[[#This Row],[Volume]]</f>
        <v>1000</v>
      </c>
      <c r="G467">
        <f>Siam_Chart[[#This Row],[Value (k)]]</f>
        <v>8800</v>
      </c>
      <c r="H467" cm="1">
        <f t="array" ref="H467:W467">Siam_Chart[[#This Row],[MCap (M)]:[CG]]</f>
        <v>187710292</v>
      </c>
      <c r="I467">
        <v>191976435</v>
      </c>
      <c r="J467">
        <v>0.11</v>
      </c>
      <c r="K467">
        <v>1.2660450000000001</v>
      </c>
      <c r="L467">
        <v>0.56999999999999995</v>
      </c>
      <c r="M467">
        <v>-4.3899999999999997</v>
      </c>
      <c r="N467">
        <v>-2.4264679999999998</v>
      </c>
      <c r="O467">
        <v>-7.6531669999999998</v>
      </c>
      <c r="P467">
        <v>-11.954541000000001</v>
      </c>
      <c r="Q467">
        <v>0.11</v>
      </c>
      <c r="R467" t="str">
        <v/>
      </c>
      <c r="S467" t="str">
        <v/>
      </c>
      <c r="T467">
        <v>0</v>
      </c>
      <c r="U467">
        <v>0</v>
      </c>
      <c r="V467">
        <v>0</v>
      </c>
      <c r="W467">
        <v>3</v>
      </c>
      <c r="X467" s="5">
        <f t="shared" si="17"/>
        <v>80</v>
      </c>
      <c r="Y467" s="6">
        <f t="shared" si="18"/>
        <v>21330715</v>
      </c>
    </row>
    <row r="468" spans="2:25" x14ac:dyDescent="0.25">
      <c r="B468" t="str">
        <f>Siam_Chart[[#This Row],[Name]]</f>
        <v>OHTL</v>
      </c>
      <c r="C468">
        <f>Siam_Chart[[#This Row],[No.]]</f>
        <v>467</v>
      </c>
      <c r="D468">
        <f>Siam_Chart[[#This Row],[Last]]</f>
        <v>275</v>
      </c>
      <c r="E468">
        <f>Siam_Chart[[#This Row],[Chg%]]</f>
        <v>4.17</v>
      </c>
      <c r="F468">
        <f>Siam_Chart[[#This Row],[Volume]]</f>
        <v>1</v>
      </c>
      <c r="G468">
        <f>Siam_Chart[[#This Row],[Value (k)]]</f>
        <v>280</v>
      </c>
      <c r="H468" cm="1">
        <f t="array" ref="H468:W468">Siam_Chart[[#This Row],[MCap (M)]:[CG]]</f>
        <v>4000917000</v>
      </c>
      <c r="I468">
        <v>10.95</v>
      </c>
      <c r="J468">
        <v>1.32</v>
      </c>
      <c r="K468">
        <v>0.91287399999999996</v>
      </c>
      <c r="L468">
        <v>14.82</v>
      </c>
      <c r="M468">
        <v>14.82</v>
      </c>
      <c r="N468">
        <v>8.8496400000000008</v>
      </c>
      <c r="O468">
        <v>12.85482</v>
      </c>
      <c r="P468">
        <v>15.266019</v>
      </c>
      <c r="Q468">
        <v>1.32</v>
      </c>
      <c r="R468" t="str">
        <v/>
      </c>
      <c r="S468" t="str">
        <v/>
      </c>
      <c r="T468">
        <v>601</v>
      </c>
      <c r="U468">
        <v>613</v>
      </c>
      <c r="V468">
        <v>0.4</v>
      </c>
      <c r="W468">
        <v>0</v>
      </c>
      <c r="X468" s="5">
        <f t="shared" si="17"/>
        <v>208.33333333333331</v>
      </c>
      <c r="Y468" s="6">
        <f t="shared" si="18"/>
        <v>14548789.090909092</v>
      </c>
    </row>
    <row r="469" spans="2:25" x14ac:dyDescent="0.25">
      <c r="B469" t="str">
        <f>Siam_Chart[[#This Row],[Name]]</f>
        <v>OKJ</v>
      </c>
      <c r="C469">
        <f>Siam_Chart[[#This Row],[No.]]</f>
        <v>468</v>
      </c>
      <c r="D469">
        <f>Siam_Chart[[#This Row],[Last]]</f>
        <v>3.38</v>
      </c>
      <c r="E469">
        <f>Siam_Chart[[#This Row],[Chg%]]</f>
        <v>0.6</v>
      </c>
      <c r="F469">
        <f>Siam_Chart[[#This Row],[Volume]]</f>
        <v>491052</v>
      </c>
      <c r="G469">
        <f>Siam_Chart[[#This Row],[Value (k)]]</f>
        <v>1663897.36</v>
      </c>
      <c r="H469" cm="1">
        <f t="array" ref="H469:W469">Siam_Chart[[#This Row],[MCap (M)]:[CG]]</f>
        <v>2058420000</v>
      </c>
      <c r="I469">
        <v>1997520000</v>
      </c>
      <c r="J469">
        <v>1.28</v>
      </c>
      <c r="K469">
        <v>0.45737499999999998</v>
      </c>
      <c r="L469">
        <v>7.0000000000000007E-2</v>
      </c>
      <c r="M469">
        <v>-0.09</v>
      </c>
      <c r="N469">
        <v>-3.0397989999999999</v>
      </c>
      <c r="O469">
        <v>-4.3375769999999996</v>
      </c>
      <c r="P469">
        <v>-4.7689380000000003</v>
      </c>
      <c r="Q469">
        <v>2.0699999999999998</v>
      </c>
      <c r="R469" t="str">
        <v/>
      </c>
      <c r="S469" t="str">
        <v/>
      </c>
      <c r="T469">
        <v>0</v>
      </c>
      <c r="U469">
        <v>0</v>
      </c>
      <c r="V469">
        <v>0</v>
      </c>
      <c r="W469">
        <v>4</v>
      </c>
      <c r="X469" s="5">
        <f t="shared" si="17"/>
        <v>2.640625</v>
      </c>
      <c r="Y469" s="6">
        <f t="shared" si="18"/>
        <v>609000000</v>
      </c>
    </row>
    <row r="470" spans="2:25" x14ac:dyDescent="0.25">
      <c r="B470" t="str">
        <f>Siam_Chart[[#This Row],[Name]]</f>
        <v>ONEE</v>
      </c>
      <c r="C470">
        <f>Siam_Chart[[#This Row],[No.]]</f>
        <v>469</v>
      </c>
      <c r="D470">
        <f>Siam_Chart[[#This Row],[Last]]</f>
        <v>3</v>
      </c>
      <c r="E470">
        <f>Siam_Chart[[#This Row],[Chg%]]</f>
        <v>2.04</v>
      </c>
      <c r="F470">
        <f>Siam_Chart[[#This Row],[Volume]]</f>
        <v>1409757</v>
      </c>
      <c r="G470">
        <f>Siam_Chart[[#This Row],[Value (k)]]</f>
        <v>4159056.58</v>
      </c>
      <c r="H470" cm="1">
        <f t="array" ref="H470:W470">Siam_Chart[[#This Row],[MCap (M)]:[CG]]</f>
        <v>7143750000</v>
      </c>
      <c r="I470">
        <v>13.88</v>
      </c>
      <c r="J470">
        <v>1.03</v>
      </c>
      <c r="K470">
        <v>0.54436300000000004</v>
      </c>
      <c r="L470">
        <v>0.02</v>
      </c>
      <c r="M470">
        <v>0.05</v>
      </c>
      <c r="N470">
        <v>5.6036460000000003</v>
      </c>
      <c r="O470">
        <v>7.4277150000000001</v>
      </c>
      <c r="P470">
        <v>2.8368159999999998</v>
      </c>
      <c r="Q470">
        <v>6</v>
      </c>
      <c r="R470" t="str">
        <v/>
      </c>
      <c r="S470" t="str">
        <v/>
      </c>
      <c r="T470">
        <v>799</v>
      </c>
      <c r="U470">
        <v>802</v>
      </c>
      <c r="V470">
        <v>-1.04</v>
      </c>
      <c r="W470">
        <v>5</v>
      </c>
      <c r="X470" s="5">
        <f t="shared" si="17"/>
        <v>2.912621359223301</v>
      </c>
      <c r="Y470" s="6">
        <f t="shared" si="18"/>
        <v>2381250000</v>
      </c>
    </row>
    <row r="471" spans="2:25" x14ac:dyDescent="0.25">
      <c r="B471" t="str">
        <f>Siam_Chart[[#This Row],[Name]]</f>
        <v>ONSENS</v>
      </c>
      <c r="C471">
        <f>Siam_Chart[[#This Row],[No.]]</f>
        <v>470</v>
      </c>
      <c r="D471">
        <f>Siam_Chart[[#This Row],[Last]]</f>
        <v>1.03</v>
      </c>
      <c r="E471">
        <f>Siam_Chart[[#This Row],[Chg%]]</f>
        <v>0</v>
      </c>
      <c r="F471">
        <f>Siam_Chart[[#This Row],[Volume]]</f>
        <v>783000</v>
      </c>
      <c r="G471">
        <f>Siam_Chart[[#This Row],[Value (k)]]</f>
        <v>808926</v>
      </c>
      <c r="H471" cm="1">
        <f t="array" ref="H471:W471">Siam_Chart[[#This Row],[MCap (M)]:[CG]]</f>
        <v>309000000</v>
      </c>
      <c r="I471">
        <v>19.47</v>
      </c>
      <c r="J471">
        <v>0.76</v>
      </c>
      <c r="K471">
        <v>1.415762</v>
      </c>
      <c r="L471">
        <v>1.9E-2</v>
      </c>
      <c r="M471">
        <v>0.03</v>
      </c>
      <c r="N471">
        <v>4.3326549999999999</v>
      </c>
      <c r="O471">
        <v>4.9134849999999997</v>
      </c>
      <c r="P471">
        <v>5.9653790000000004</v>
      </c>
      <c r="Q471">
        <v>1.84</v>
      </c>
      <c r="R471" t="str">
        <v/>
      </c>
      <c r="S471" t="str">
        <v/>
      </c>
      <c r="T471">
        <v>0</v>
      </c>
      <c r="U471">
        <v>0</v>
      </c>
      <c r="V471">
        <v>-0.34</v>
      </c>
      <c r="W471">
        <v>0</v>
      </c>
      <c r="X471" s="5">
        <f t="shared" si="17"/>
        <v>1.3552631578947369</v>
      </c>
      <c r="Y471" s="6">
        <f t="shared" si="18"/>
        <v>300000000</v>
      </c>
    </row>
    <row r="472" spans="2:25" x14ac:dyDescent="0.25">
      <c r="B472" t="str">
        <f>Siam_Chart[[#This Row],[Name]]</f>
        <v>OR</v>
      </c>
      <c r="C472">
        <f>Siam_Chart[[#This Row],[No.]]</f>
        <v>471</v>
      </c>
      <c r="D472">
        <f>Siam_Chart[[#This Row],[Last]]</f>
        <v>12.7</v>
      </c>
      <c r="E472">
        <f>Siam_Chart[[#This Row],[Chg%]]</f>
        <v>0</v>
      </c>
      <c r="F472">
        <f>Siam_Chart[[#This Row],[Volume]]</f>
        <v>10353213</v>
      </c>
      <c r="G472">
        <f>Siam_Chart[[#This Row],[Value (k)]]</f>
        <v>131477329</v>
      </c>
      <c r="H472" cm="1">
        <f t="array" ref="H472:W472">Siam_Chart[[#This Row],[MCap (M)]:[CG]]</f>
        <v>152400000000</v>
      </c>
      <c r="I472">
        <v>28.58</v>
      </c>
      <c r="J472">
        <v>1.39</v>
      </c>
      <c r="K472">
        <v>1.0438369999999999</v>
      </c>
      <c r="L472">
        <v>0.3</v>
      </c>
      <c r="M472">
        <v>0.05</v>
      </c>
      <c r="N472">
        <v>3.550386</v>
      </c>
      <c r="O472">
        <v>4.7737129999999999</v>
      </c>
      <c r="P472">
        <v>0.167771</v>
      </c>
      <c r="Q472">
        <v>4.72</v>
      </c>
      <c r="R472" t="str">
        <v/>
      </c>
      <c r="S472" t="str">
        <v/>
      </c>
      <c r="T472">
        <v>1124</v>
      </c>
      <c r="U472">
        <v>1139</v>
      </c>
      <c r="V472">
        <v>7.93</v>
      </c>
      <c r="W472">
        <v>5</v>
      </c>
      <c r="X472" s="5">
        <f t="shared" si="17"/>
        <v>9.1366906474820144</v>
      </c>
      <c r="Y472" s="6">
        <f t="shared" si="18"/>
        <v>12000000000</v>
      </c>
    </row>
    <row r="473" spans="2:25" x14ac:dyDescent="0.25">
      <c r="B473" t="str">
        <f>Siam_Chart[[#This Row],[Name]]</f>
        <v>ORI</v>
      </c>
      <c r="C473">
        <f>Siam_Chart[[#This Row],[No.]]</f>
        <v>472</v>
      </c>
      <c r="D473">
        <f>Siam_Chart[[#This Row],[Last]]</f>
        <v>1.83</v>
      </c>
      <c r="E473">
        <f>Siam_Chart[[#This Row],[Chg%]]</f>
        <v>0</v>
      </c>
      <c r="F473">
        <f>Siam_Chart[[#This Row],[Volume]]</f>
        <v>1036305</v>
      </c>
      <c r="G473">
        <f>Siam_Chart[[#This Row],[Value (k)]]</f>
        <v>1896239.46</v>
      </c>
      <c r="H473" cm="1">
        <f t="array" ref="H473:W473">Siam_Chart[[#This Row],[MCap (M)]:[CG]]</f>
        <v>4491044088.9899998</v>
      </c>
      <c r="I473">
        <v>8.26</v>
      </c>
      <c r="J473">
        <v>0.22</v>
      </c>
      <c r="K473">
        <v>1.8762259999999999</v>
      </c>
      <c r="L473">
        <v>4.9000000000000002E-2</v>
      </c>
      <c r="M473">
        <v>0.1</v>
      </c>
      <c r="N473">
        <v>2.2632699999999999</v>
      </c>
      <c r="O473">
        <v>2.6755040000000001</v>
      </c>
      <c r="P473">
        <v>7.3289429999999998</v>
      </c>
      <c r="Q473">
        <v>3.83</v>
      </c>
      <c r="R473" t="str">
        <v/>
      </c>
      <c r="S473" t="str">
        <v/>
      </c>
      <c r="T473">
        <v>662</v>
      </c>
      <c r="U473">
        <v>673</v>
      </c>
      <c r="V473">
        <v>-0.27</v>
      </c>
      <c r="W473">
        <v>5</v>
      </c>
      <c r="X473" s="5">
        <f t="shared" si="17"/>
        <v>8.3181818181818183</v>
      </c>
      <c r="Y473" s="6">
        <f t="shared" si="18"/>
        <v>2454122453</v>
      </c>
    </row>
    <row r="474" spans="2:25" x14ac:dyDescent="0.25">
      <c r="B474" t="str">
        <f>Siam_Chart[[#This Row],[Name]]</f>
        <v>ORN</v>
      </c>
      <c r="C474">
        <f>Siam_Chart[[#This Row],[No.]]</f>
        <v>473</v>
      </c>
      <c r="D474">
        <f>Siam_Chart[[#This Row],[Last]]</f>
        <v>0.88</v>
      </c>
      <c r="E474">
        <f>Siam_Chart[[#This Row],[Chg%]]</f>
        <v>1.1499999999999999</v>
      </c>
      <c r="F474">
        <f>Siam_Chart[[#This Row],[Volume]]</f>
        <v>750401</v>
      </c>
      <c r="G474">
        <f>Siam_Chart[[#This Row],[Value (k)]]</f>
        <v>663221.87</v>
      </c>
      <c r="H474" cm="1">
        <f t="array" ref="H474:W474">Siam_Chart[[#This Row],[MCap (M)]:[CG]]</f>
        <v>1320000000</v>
      </c>
      <c r="I474">
        <v>5.0199999999999996</v>
      </c>
      <c r="J474">
        <v>0.49</v>
      </c>
      <c r="K474">
        <v>1.579998</v>
      </c>
      <c r="L474">
        <v>0.02</v>
      </c>
      <c r="M474">
        <v>7.0000000000000007E-2</v>
      </c>
      <c r="N474">
        <v>5.386406</v>
      </c>
      <c r="O474">
        <v>10.096045</v>
      </c>
      <c r="P474">
        <v>8.9836320000000001</v>
      </c>
      <c r="Q474">
        <v>2.27</v>
      </c>
      <c r="R474" t="str">
        <v/>
      </c>
      <c r="S474" t="str">
        <v/>
      </c>
      <c r="T474">
        <v>389</v>
      </c>
      <c r="U474">
        <v>502</v>
      </c>
      <c r="V474">
        <v>0.3</v>
      </c>
      <c r="W474">
        <v>5</v>
      </c>
      <c r="X474" s="5">
        <f t="shared" si="17"/>
        <v>1.7959183673469388</v>
      </c>
      <c r="Y474" s="6">
        <f t="shared" si="18"/>
        <v>1500000000</v>
      </c>
    </row>
    <row r="475" spans="2:25" x14ac:dyDescent="0.25">
      <c r="B475" t="str">
        <f>Siam_Chart[[#This Row],[Name]]</f>
        <v>OSP</v>
      </c>
      <c r="C475">
        <f>Siam_Chart[[#This Row],[No.]]</f>
        <v>474</v>
      </c>
      <c r="D475">
        <f>Siam_Chart[[#This Row],[Last]]</f>
        <v>17.100000000000001</v>
      </c>
      <c r="E475">
        <f>Siam_Chart[[#This Row],[Chg%]]</f>
        <v>-5</v>
      </c>
      <c r="F475">
        <f>Siam_Chart[[#This Row],[Volume]]</f>
        <v>23309557</v>
      </c>
      <c r="G475">
        <f>Siam_Chart[[#This Row],[Value (k)]]</f>
        <v>402488721.60000002</v>
      </c>
      <c r="H475" cm="1">
        <f t="array" ref="H475:W475">Siam_Chart[[#This Row],[MCap (M)]:[CG]]</f>
        <v>51364125000</v>
      </c>
      <c r="I475">
        <v>14.08</v>
      </c>
      <c r="J475">
        <v>3.1</v>
      </c>
      <c r="K475">
        <v>0.41976000000000002</v>
      </c>
      <c r="L475">
        <v>0.45</v>
      </c>
      <c r="M475">
        <v>0.75</v>
      </c>
      <c r="N475">
        <v>18.713508000000001</v>
      </c>
      <c r="O475">
        <v>21.919284999999999</v>
      </c>
      <c r="P475">
        <v>18.453161999999999</v>
      </c>
      <c r="Q475">
        <v>4.68</v>
      </c>
      <c r="R475" t="str">
        <v/>
      </c>
      <c r="S475" t="str">
        <v/>
      </c>
      <c r="T475">
        <v>518</v>
      </c>
      <c r="U475">
        <v>487</v>
      </c>
      <c r="V475">
        <v>0.78</v>
      </c>
      <c r="W475">
        <v>5</v>
      </c>
      <c r="X475" s="5">
        <f t="shared" si="17"/>
        <v>5.5161290322580649</v>
      </c>
      <c r="Y475" s="6">
        <f t="shared" si="18"/>
        <v>3003749999.9999995</v>
      </c>
    </row>
    <row r="476" spans="2:25" x14ac:dyDescent="0.25">
      <c r="B476" t="str">
        <f>Siam_Chart[[#This Row],[Name]]</f>
        <v>PACO</v>
      </c>
      <c r="C476">
        <f>Siam_Chart[[#This Row],[No.]]</f>
        <v>475</v>
      </c>
      <c r="D476">
        <f>Siam_Chart[[#This Row],[Last]]</f>
        <v>1.46</v>
      </c>
      <c r="E476">
        <f>Siam_Chart[[#This Row],[Chg%]]</f>
        <v>0</v>
      </c>
      <c r="F476">
        <f>Siam_Chart[[#This Row],[Volume]]</f>
        <v>693100</v>
      </c>
      <c r="G476">
        <f>Siam_Chart[[#This Row],[Value (k)]]</f>
        <v>1022694</v>
      </c>
      <c r="H476" cm="1">
        <f t="array" ref="H476:W476">Siam_Chart[[#This Row],[MCap (M)]:[CG]]</f>
        <v>1460000178.1199999</v>
      </c>
      <c r="I476">
        <v>12.97</v>
      </c>
      <c r="J476">
        <v>1.54</v>
      </c>
      <c r="K476">
        <v>0.229181</v>
      </c>
      <c r="L476">
        <v>0.05</v>
      </c>
      <c r="M476">
        <v>0.06</v>
      </c>
      <c r="N476">
        <v>9.7248699999999992</v>
      </c>
      <c r="O476">
        <v>11.680738</v>
      </c>
      <c r="P476">
        <v>13.890234</v>
      </c>
      <c r="Q476">
        <v>10.27</v>
      </c>
      <c r="R476" t="str">
        <v/>
      </c>
      <c r="S476" t="str">
        <v/>
      </c>
      <c r="T476">
        <v>611</v>
      </c>
      <c r="U476">
        <v>565</v>
      </c>
      <c r="V476">
        <v>1.05</v>
      </c>
      <c r="W476">
        <v>3</v>
      </c>
      <c r="X476" s="5">
        <f t="shared" si="17"/>
        <v>0.94805194805194803</v>
      </c>
      <c r="Y476" s="6">
        <f t="shared" si="18"/>
        <v>1000000122</v>
      </c>
    </row>
    <row r="477" spans="2:25" x14ac:dyDescent="0.25">
      <c r="B477" t="str">
        <f>Siam_Chart[[#This Row],[Name]]</f>
        <v>PAF</v>
      </c>
      <c r="C477">
        <f>Siam_Chart[[#This Row],[No.]]</f>
        <v>476</v>
      </c>
      <c r="D477">
        <f>Siam_Chart[[#This Row],[Last]]</f>
        <v>0.95</v>
      </c>
      <c r="E477">
        <f>Siam_Chart[[#This Row],[Chg%]]</f>
        <v>-2.06</v>
      </c>
      <c r="F477">
        <f>Siam_Chart[[#This Row],[Volume]]</f>
        <v>9566246</v>
      </c>
      <c r="G477">
        <f>Siam_Chart[[#This Row],[Value (k)]]</f>
        <v>9427930.2899999991</v>
      </c>
      <c r="H477" cm="1">
        <f t="array" ref="H477:W477">Siam_Chart[[#This Row],[MCap (M)]:[CG]]</f>
        <v>513000000</v>
      </c>
      <c r="I477">
        <v>21.13</v>
      </c>
      <c r="J477">
        <v>0.79</v>
      </c>
      <c r="K477">
        <v>0.92414099999999999</v>
      </c>
      <c r="L477">
        <v>0.01</v>
      </c>
      <c r="M477">
        <v>0.05</v>
      </c>
      <c r="N477">
        <v>3.857888</v>
      </c>
      <c r="O477">
        <v>3.884665</v>
      </c>
      <c r="P477">
        <v>2.5208819999999998</v>
      </c>
      <c r="Q477">
        <v>1.05</v>
      </c>
      <c r="R477" t="str">
        <v/>
      </c>
      <c r="S477" t="str">
        <v/>
      </c>
      <c r="T477">
        <v>1131</v>
      </c>
      <c r="U477">
        <v>1065</v>
      </c>
      <c r="V477">
        <v>-0.05</v>
      </c>
      <c r="W477">
        <v>0</v>
      </c>
      <c r="X477" s="5">
        <f t="shared" si="17"/>
        <v>1.2025316455696202</v>
      </c>
      <c r="Y477" s="6">
        <f t="shared" si="18"/>
        <v>540000000</v>
      </c>
    </row>
    <row r="478" spans="2:25" x14ac:dyDescent="0.25">
      <c r="B478" t="str">
        <f>Siam_Chart[[#This Row],[Name]]</f>
        <v>PANEL</v>
      </c>
      <c r="C478">
        <f>Siam_Chart[[#This Row],[No.]]</f>
        <v>477</v>
      </c>
      <c r="D478">
        <f>Siam_Chart[[#This Row],[Last]]</f>
        <v>1.19</v>
      </c>
      <c r="E478">
        <f>Siam_Chart[[#This Row],[Chg%]]</f>
        <v>0</v>
      </c>
      <c r="F478">
        <f>Siam_Chart[[#This Row],[Volume]]</f>
        <v>21205</v>
      </c>
      <c r="G478">
        <f>Siam_Chart[[#This Row],[Value (k)]]</f>
        <v>24881.9</v>
      </c>
      <c r="H478" cm="1">
        <f t="array" ref="H478:W478">Siam_Chart[[#This Row],[MCap (M)]:[CG]]</f>
        <v>226100000</v>
      </c>
      <c r="I478">
        <v>30.21</v>
      </c>
      <c r="J478">
        <v>0.79</v>
      </c>
      <c r="K478">
        <v>0.111385</v>
      </c>
      <c r="L478">
        <v>3.3000000000000002E-2</v>
      </c>
      <c r="M478">
        <v>0.01</v>
      </c>
      <c r="N478">
        <v>3.2101829999999998</v>
      </c>
      <c r="O478">
        <v>2.6274869999999999</v>
      </c>
      <c r="P478">
        <v>2.7348210000000002</v>
      </c>
      <c r="Q478">
        <v>2.77</v>
      </c>
      <c r="R478" t="str">
        <v/>
      </c>
      <c r="S478" t="str">
        <v/>
      </c>
      <c r="T478">
        <v>1218</v>
      </c>
      <c r="U478">
        <v>1164</v>
      </c>
      <c r="V478">
        <v>-4.49</v>
      </c>
      <c r="W478">
        <v>3</v>
      </c>
      <c r="X478" s="5">
        <f t="shared" si="17"/>
        <v>1.5063291139240504</v>
      </c>
      <c r="Y478" s="6">
        <f t="shared" si="18"/>
        <v>190000000</v>
      </c>
    </row>
    <row r="479" spans="2:25" x14ac:dyDescent="0.25">
      <c r="B479" t="str">
        <f>Siam_Chart[[#This Row],[Name]]</f>
        <v>PAP</v>
      </c>
      <c r="C479">
        <f>Siam_Chart[[#This Row],[No.]]</f>
        <v>478</v>
      </c>
      <c r="D479">
        <f>Siam_Chart[[#This Row],[Last]]</f>
        <v>3.24</v>
      </c>
      <c r="E479">
        <f>Siam_Chart[[#This Row],[Chg%]]</f>
        <v>-1.82</v>
      </c>
      <c r="F479">
        <f>Siam_Chart[[#This Row],[Volume]]</f>
        <v>608803</v>
      </c>
      <c r="G479">
        <f>Siam_Chart[[#This Row],[Value (k)]]</f>
        <v>1971099.84</v>
      </c>
      <c r="H479" cm="1">
        <f t="array" ref="H479:W479">Siam_Chart[[#This Row],[MCap (M)]:[CG]]</f>
        <v>2138400000</v>
      </c>
      <c r="I479">
        <v>4.9800000000000004</v>
      </c>
      <c r="J479">
        <v>0.93</v>
      </c>
      <c r="K479">
        <v>0.92664000000000002</v>
      </c>
      <c r="L479">
        <v>0.09</v>
      </c>
      <c r="M479">
        <v>0.65</v>
      </c>
      <c r="N479">
        <v>10.892130999999999</v>
      </c>
      <c r="O479">
        <v>20.598123999999999</v>
      </c>
      <c r="P479">
        <v>10.01028</v>
      </c>
      <c r="Q479">
        <v>2.4700000000000002</v>
      </c>
      <c r="R479" t="str">
        <v/>
      </c>
      <c r="S479" t="str">
        <v/>
      </c>
      <c r="T479">
        <v>111</v>
      </c>
      <c r="U479">
        <v>180</v>
      </c>
      <c r="V479">
        <v>-0.15</v>
      </c>
      <c r="W479">
        <v>5</v>
      </c>
      <c r="X479" s="5">
        <f t="shared" si="17"/>
        <v>3.4838709677419355</v>
      </c>
      <c r="Y479" s="6">
        <f t="shared" si="18"/>
        <v>660000000</v>
      </c>
    </row>
    <row r="480" spans="2:25" x14ac:dyDescent="0.25">
      <c r="B480" t="str">
        <f>Siam_Chart[[#This Row],[Name]]</f>
        <v>PATO</v>
      </c>
      <c r="C480">
        <f>Siam_Chart[[#This Row],[No.]]</f>
        <v>479</v>
      </c>
      <c r="D480">
        <f>Siam_Chart[[#This Row],[Last]]</f>
        <v>6.15</v>
      </c>
      <c r="E480">
        <f>Siam_Chart[[#This Row],[Chg%]]</f>
        <v>0</v>
      </c>
      <c r="F480">
        <f>Siam_Chart[[#This Row],[Volume]]</f>
        <v>5435</v>
      </c>
      <c r="G480">
        <f>Siam_Chart[[#This Row],[Value (k)]]</f>
        <v>33426.25</v>
      </c>
      <c r="H480" cm="1">
        <f t="array" ref="H480:W480">Siam_Chart[[#This Row],[MCap (M)]:[CG]]</f>
        <v>875587800</v>
      </c>
      <c r="I480">
        <v>14.77</v>
      </c>
      <c r="J480">
        <v>1.95</v>
      </c>
      <c r="K480">
        <v>0.23554900000000001</v>
      </c>
      <c r="L480">
        <v>0.45</v>
      </c>
      <c r="M480">
        <v>0.23</v>
      </c>
      <c r="N480">
        <v>13.562124000000001</v>
      </c>
      <c r="O480">
        <v>13.219315</v>
      </c>
      <c r="P480">
        <v>13.476336</v>
      </c>
      <c r="Q480">
        <v>7.32</v>
      </c>
      <c r="R480" t="str">
        <v/>
      </c>
      <c r="S480" t="str">
        <v/>
      </c>
      <c r="T480">
        <v>636</v>
      </c>
      <c r="U480">
        <v>534</v>
      </c>
      <c r="V480">
        <v>-7.4</v>
      </c>
      <c r="W480">
        <v>4</v>
      </c>
      <c r="X480" s="5">
        <f t="shared" si="17"/>
        <v>3.1538461538461542</v>
      </c>
      <c r="Y480" s="6">
        <f t="shared" si="18"/>
        <v>142372000</v>
      </c>
    </row>
    <row r="481" spans="2:25" x14ac:dyDescent="0.25">
      <c r="B481" t="str">
        <f>Siam_Chart[[#This Row],[Name]]</f>
        <v>PB</v>
      </c>
      <c r="C481">
        <f>Siam_Chart[[#This Row],[No.]]</f>
        <v>480</v>
      </c>
      <c r="D481">
        <f>Siam_Chart[[#This Row],[Last]]</f>
        <v>48</v>
      </c>
      <c r="E481">
        <f>Siam_Chart[[#This Row],[Chg%]]</f>
        <v>0</v>
      </c>
      <c r="F481">
        <f>Siam_Chart[[#This Row],[Volume]]</f>
        <v>2902</v>
      </c>
      <c r="G481">
        <f>Siam_Chart[[#This Row],[Value (k)]]</f>
        <v>138471</v>
      </c>
      <c r="H481" cm="1">
        <f t="array" ref="H481:W481">Siam_Chart[[#This Row],[MCap (M)]:[CG]]</f>
        <v>21600000000</v>
      </c>
      <c r="I481">
        <v>18.3</v>
      </c>
      <c r="J481">
        <v>1.65</v>
      </c>
      <c r="K481">
        <v>7.7565999999999996E-2</v>
      </c>
      <c r="L481">
        <v>0.79</v>
      </c>
      <c r="M481">
        <v>1.23</v>
      </c>
      <c r="N481">
        <v>9.7340090000000004</v>
      </c>
      <c r="O481">
        <v>9.2019520000000004</v>
      </c>
      <c r="P481">
        <v>16.013041000000001</v>
      </c>
      <c r="Q481">
        <v>3.13</v>
      </c>
      <c r="R481" t="str">
        <v/>
      </c>
      <c r="S481" t="str">
        <v/>
      </c>
      <c r="T481">
        <v>817</v>
      </c>
      <c r="U481">
        <v>683</v>
      </c>
      <c r="V481">
        <v>-2.68</v>
      </c>
      <c r="W481">
        <v>5</v>
      </c>
      <c r="X481" s="5">
        <f t="shared" si="17"/>
        <v>29.090909090909093</v>
      </c>
      <c r="Y481" s="6">
        <f t="shared" si="18"/>
        <v>450000000</v>
      </c>
    </row>
    <row r="482" spans="2:25" x14ac:dyDescent="0.25">
      <c r="B482" t="str">
        <f>Siam_Chart[[#This Row],[Name]]</f>
        <v>PCC</v>
      </c>
      <c r="C482">
        <f>Siam_Chart[[#This Row],[No.]]</f>
        <v>481</v>
      </c>
      <c r="D482">
        <f>Siam_Chart[[#This Row],[Last]]</f>
        <v>3.1</v>
      </c>
      <c r="E482">
        <f>Siam_Chart[[#This Row],[Chg%]]</f>
        <v>2.65</v>
      </c>
      <c r="F482">
        <f>Siam_Chart[[#This Row],[Volume]]</f>
        <v>2546603</v>
      </c>
      <c r="G482">
        <f>Siam_Chart[[#This Row],[Value (k)]]</f>
        <v>7819921.1399999997</v>
      </c>
      <c r="H482" cm="1">
        <f t="array" ref="H482:W482">Siam_Chart[[#This Row],[MCap (M)]:[CG]]</f>
        <v>3802519210</v>
      </c>
      <c r="I482">
        <v>10.72</v>
      </c>
      <c r="J482">
        <v>1.1000000000000001</v>
      </c>
      <c r="K482">
        <v>0.68549599999999999</v>
      </c>
      <c r="L482">
        <v>0.14000000000000001</v>
      </c>
      <c r="M482">
        <v>0.18</v>
      </c>
      <c r="N482">
        <v>8.2704170000000001</v>
      </c>
      <c r="O482">
        <v>10.404446</v>
      </c>
      <c r="P482">
        <v>12.201836999999999</v>
      </c>
      <c r="Q482">
        <v>7.1</v>
      </c>
      <c r="R482" t="str">
        <v/>
      </c>
      <c r="S482" t="str">
        <v/>
      </c>
      <c r="T482">
        <v>533</v>
      </c>
      <c r="U482">
        <v>499</v>
      </c>
      <c r="V482">
        <v>0.84</v>
      </c>
      <c r="W482">
        <v>5</v>
      </c>
      <c r="X482" s="5">
        <f t="shared" si="17"/>
        <v>2.8181818181818179</v>
      </c>
      <c r="Y482" s="6">
        <f t="shared" si="18"/>
        <v>1226619100</v>
      </c>
    </row>
    <row r="483" spans="2:25" x14ac:dyDescent="0.25">
      <c r="B483" t="str">
        <f>Siam_Chart[[#This Row],[Name]]</f>
        <v>PCE</v>
      </c>
      <c r="C483">
        <f>Siam_Chart[[#This Row],[No.]]</f>
        <v>482</v>
      </c>
      <c r="D483">
        <f>Siam_Chart[[#This Row],[Last]]</f>
        <v>2.1800000000000002</v>
      </c>
      <c r="E483">
        <f>Siam_Chart[[#This Row],[Chg%]]</f>
        <v>0</v>
      </c>
      <c r="F483">
        <f>Siam_Chart[[#This Row],[Volume]]</f>
        <v>2228300</v>
      </c>
      <c r="G483">
        <f>Siam_Chart[[#This Row],[Value (k)]]</f>
        <v>4861878</v>
      </c>
      <c r="H483" cm="1">
        <f t="array" ref="H483:W483">Siam_Chart[[#This Row],[MCap (M)]:[CG]]</f>
        <v>5995000000</v>
      </c>
      <c r="I483">
        <v>16.3</v>
      </c>
      <c r="J483">
        <v>1.18</v>
      </c>
      <c r="K483">
        <v>0.67961899999999997</v>
      </c>
      <c r="L483">
        <v>0.08</v>
      </c>
      <c r="M483">
        <v>0.08</v>
      </c>
      <c r="N483">
        <v>5.140828</v>
      </c>
      <c r="O483">
        <v>7.3040339999999997</v>
      </c>
      <c r="P483">
        <v>1.8136060000000001</v>
      </c>
      <c r="Q483">
        <v>3.67</v>
      </c>
      <c r="R483" t="str">
        <v/>
      </c>
      <c r="S483" t="str">
        <v/>
      </c>
      <c r="T483">
        <v>1064</v>
      </c>
      <c r="U483">
        <v>1032</v>
      </c>
      <c r="V483">
        <v>0.88</v>
      </c>
      <c r="W483">
        <v>3</v>
      </c>
      <c r="X483" s="5">
        <f t="shared" si="17"/>
        <v>1.8474576271186443</v>
      </c>
      <c r="Y483" s="6">
        <f t="shared" si="18"/>
        <v>2750000000</v>
      </c>
    </row>
    <row r="484" spans="2:25" x14ac:dyDescent="0.25">
      <c r="B484" t="str">
        <f>Siam_Chart[[#This Row],[Name]]</f>
        <v>PCSGH</v>
      </c>
      <c r="C484">
        <f>Siam_Chart[[#This Row],[No.]]</f>
        <v>483</v>
      </c>
      <c r="D484">
        <f>Siam_Chart[[#This Row],[Last]]</f>
        <v>2.9</v>
      </c>
      <c r="E484">
        <f>Siam_Chart[[#This Row],[Chg%]]</f>
        <v>-0.68</v>
      </c>
      <c r="F484">
        <f>Siam_Chart[[#This Row],[Volume]]</f>
        <v>305805</v>
      </c>
      <c r="G484">
        <f>Siam_Chart[[#This Row],[Value (k)]]</f>
        <v>890904.8</v>
      </c>
      <c r="H484" cm="1">
        <f t="array" ref="H484:W484">Siam_Chart[[#This Row],[MCap (M)]:[CG]]</f>
        <v>4422500000</v>
      </c>
      <c r="I484">
        <v>10.07</v>
      </c>
      <c r="J484">
        <v>0.83</v>
      </c>
      <c r="K484">
        <v>0.13199</v>
      </c>
      <c r="L484">
        <v>0.1</v>
      </c>
      <c r="M484">
        <v>0.12</v>
      </c>
      <c r="N484">
        <v>7.2359340000000003</v>
      </c>
      <c r="O484">
        <v>8.2986450000000005</v>
      </c>
      <c r="P484">
        <v>14.394129</v>
      </c>
      <c r="Q484">
        <v>9.31</v>
      </c>
      <c r="R484" t="str">
        <v/>
      </c>
      <c r="S484" t="str">
        <v/>
      </c>
      <c r="T484">
        <v>643</v>
      </c>
      <c r="U484">
        <v>580</v>
      </c>
      <c r="V484">
        <v>3.06</v>
      </c>
      <c r="W484">
        <v>5</v>
      </c>
      <c r="X484" s="5">
        <f t="shared" si="17"/>
        <v>3.4939759036144578</v>
      </c>
      <c r="Y484" s="6">
        <f t="shared" si="18"/>
        <v>1525000000</v>
      </c>
    </row>
    <row r="485" spans="2:25" x14ac:dyDescent="0.25">
      <c r="B485" t="str">
        <f>Siam_Chart[[#This Row],[Name]]</f>
        <v>PDG</v>
      </c>
      <c r="C485">
        <f>Siam_Chart[[#This Row],[No.]]</f>
        <v>484</v>
      </c>
      <c r="D485">
        <f>Siam_Chart[[#This Row],[Last]]</f>
        <v>3.18</v>
      </c>
      <c r="E485">
        <f>Siam_Chart[[#This Row],[Chg%]]</f>
        <v>0.63</v>
      </c>
      <c r="F485">
        <f>Siam_Chart[[#This Row],[Volume]]</f>
        <v>29527</v>
      </c>
      <c r="G485">
        <f>Siam_Chart[[#This Row],[Value (k)]]</f>
        <v>93309.86</v>
      </c>
      <c r="H485" cm="1">
        <f t="array" ref="H485:W485">Siam_Chart[[#This Row],[MCap (M)]:[CG]]</f>
        <v>944459774.22000003</v>
      </c>
      <c r="I485">
        <v>11.58</v>
      </c>
      <c r="J485">
        <v>1.53</v>
      </c>
      <c r="K485">
        <v>0.22504299999999999</v>
      </c>
      <c r="L485">
        <v>0.11</v>
      </c>
      <c r="M485">
        <v>0.13</v>
      </c>
      <c r="N485">
        <v>13.677042</v>
      </c>
      <c r="O485">
        <v>13.226240000000001</v>
      </c>
      <c r="P485">
        <v>11.769318999999999</v>
      </c>
      <c r="Q485">
        <v>8.81</v>
      </c>
      <c r="R485" t="str">
        <v/>
      </c>
      <c r="S485" t="str">
        <v/>
      </c>
      <c r="T485">
        <v>519</v>
      </c>
      <c r="U485">
        <v>422</v>
      </c>
      <c r="V485">
        <v>0.44</v>
      </c>
      <c r="W485">
        <v>4</v>
      </c>
      <c r="X485" s="5">
        <f t="shared" si="17"/>
        <v>2.0784313725490198</v>
      </c>
      <c r="Y485" s="6">
        <f t="shared" si="18"/>
        <v>296999929</v>
      </c>
    </row>
    <row r="486" spans="2:25" x14ac:dyDescent="0.25">
      <c r="B486" t="str">
        <f>Siam_Chart[[#This Row],[Name]]</f>
        <v>PDJ</v>
      </c>
      <c r="C486">
        <f>Siam_Chart[[#This Row],[No.]]</f>
        <v>485</v>
      </c>
      <c r="D486">
        <f>Siam_Chart[[#This Row],[Last]]</f>
        <v>1.06</v>
      </c>
      <c r="E486">
        <f>Siam_Chart[[#This Row],[Chg%]]</f>
        <v>0</v>
      </c>
      <c r="F486">
        <f>Siam_Chart[[#This Row],[Volume]]</f>
        <v>4103</v>
      </c>
      <c r="G486">
        <f>Siam_Chart[[#This Row],[Value (k)]]</f>
        <v>4340.24</v>
      </c>
      <c r="H486" cm="1">
        <f t="array" ref="H486:W486">Siam_Chart[[#This Row],[MCap (M)]:[CG]]</f>
        <v>628504511.03999996</v>
      </c>
      <c r="I486">
        <v>592928784</v>
      </c>
      <c r="J486">
        <v>0.33</v>
      </c>
      <c r="K486">
        <v>0.82519900000000002</v>
      </c>
      <c r="L486">
        <v>0.1</v>
      </c>
      <c r="M486">
        <v>-0.02</v>
      </c>
      <c r="N486">
        <v>-4.1765400000000001</v>
      </c>
      <c r="O486">
        <v>-10.235393999999999</v>
      </c>
      <c r="P486">
        <v>-0.76303500000000002</v>
      </c>
      <c r="Q486">
        <v>0.31</v>
      </c>
      <c r="R486" t="str">
        <v/>
      </c>
      <c r="S486" t="str">
        <v/>
      </c>
      <c r="T486">
        <v>0</v>
      </c>
      <c r="U486">
        <v>0</v>
      </c>
      <c r="V486">
        <v>0</v>
      </c>
      <c r="W486">
        <v>5</v>
      </c>
      <c r="X486" s="5">
        <f t="shared" si="17"/>
        <v>3.2121212121212119</v>
      </c>
      <c r="Y486" s="6">
        <f t="shared" si="18"/>
        <v>592928783.99999988</v>
      </c>
    </row>
    <row r="487" spans="2:25" x14ac:dyDescent="0.25">
      <c r="B487" t="str">
        <f>Siam_Chart[[#This Row],[Name]]</f>
        <v>PEACE</v>
      </c>
      <c r="C487">
        <f>Siam_Chart[[#This Row],[No.]]</f>
        <v>486</v>
      </c>
      <c r="D487">
        <f>Siam_Chart[[#This Row],[Last]]</f>
        <v>1.49</v>
      </c>
      <c r="E487">
        <f>Siam_Chart[[#This Row],[Chg%]]</f>
        <v>1.36</v>
      </c>
      <c r="F487">
        <f>Siam_Chart[[#This Row],[Volume]]</f>
        <v>5400</v>
      </c>
      <c r="G487">
        <f>Siam_Chart[[#This Row],[Value (k)]]</f>
        <v>7986</v>
      </c>
      <c r="H487" cm="1">
        <f t="array" ref="H487:W487">Siam_Chart[[#This Row],[MCap (M)]:[CG]]</f>
        <v>750956532.76999998</v>
      </c>
      <c r="I487">
        <v>14.72</v>
      </c>
      <c r="J487">
        <v>0.34</v>
      </c>
      <c r="K487">
        <v>0.738873</v>
      </c>
      <c r="L487">
        <v>0.06</v>
      </c>
      <c r="M487">
        <v>7.0000000000000007E-2</v>
      </c>
      <c r="N487">
        <v>2.036851</v>
      </c>
      <c r="O487">
        <v>2.3009210000000002</v>
      </c>
      <c r="P487">
        <v>5.5582710000000004</v>
      </c>
      <c r="Q487">
        <v>4.03</v>
      </c>
      <c r="R487" t="str">
        <v/>
      </c>
      <c r="S487" t="str">
        <v/>
      </c>
      <c r="T487">
        <v>1298</v>
      </c>
      <c r="U487">
        <v>1315</v>
      </c>
      <c r="V487">
        <v>-1.3</v>
      </c>
      <c r="W487">
        <v>4</v>
      </c>
      <c r="X487" s="5">
        <f t="shared" si="17"/>
        <v>4.3823529411764701</v>
      </c>
      <c r="Y487" s="6">
        <f t="shared" si="18"/>
        <v>503997673</v>
      </c>
    </row>
    <row r="488" spans="2:25" x14ac:dyDescent="0.25">
      <c r="B488" t="str">
        <f>Siam_Chart[[#This Row],[Name]]</f>
        <v>PEER</v>
      </c>
      <c r="C488">
        <f>Siam_Chart[[#This Row],[No.]]</f>
        <v>487</v>
      </c>
      <c r="D488">
        <f>Siam_Chart[[#This Row],[Last]]</f>
        <v>0.09</v>
      </c>
      <c r="E488">
        <f>Siam_Chart[[#This Row],[Chg%]]</f>
        <v>0</v>
      </c>
      <c r="F488">
        <f>Siam_Chart[[#This Row],[Volume]]</f>
        <v>281302</v>
      </c>
      <c r="G488">
        <f>Siam_Chart[[#This Row],[Value (k)]]</f>
        <v>24319.200000000001</v>
      </c>
      <c r="H488" cm="1">
        <f t="array" ref="H488:W488">Siam_Chart[[#This Row],[MCap (M)]:[CG]]</f>
        <v>94943383.109999999</v>
      </c>
      <c r="I488">
        <v>105492647.90000001</v>
      </c>
      <c r="J488">
        <v>0.15</v>
      </c>
      <c r="K488">
        <v>0.46408100000000002</v>
      </c>
      <c r="L488">
        <v>0.02</v>
      </c>
      <c r="M488">
        <v>0.02</v>
      </c>
      <c r="N488">
        <v>-23.011856000000002</v>
      </c>
      <c r="O488">
        <v>-29.81765</v>
      </c>
      <c r="P488">
        <v>7.0306829999999998</v>
      </c>
      <c r="Q488">
        <v>0.17</v>
      </c>
      <c r="R488" t="str">
        <v/>
      </c>
      <c r="S488" t="str">
        <v/>
      </c>
      <c r="T488">
        <v>0</v>
      </c>
      <c r="U488">
        <v>0</v>
      </c>
      <c r="V488">
        <v>0</v>
      </c>
      <c r="W488">
        <v>4</v>
      </c>
      <c r="X488" s="5">
        <f t="shared" si="17"/>
        <v>0.6</v>
      </c>
      <c r="Y488" s="6">
        <f t="shared" si="18"/>
        <v>1054926479</v>
      </c>
    </row>
    <row r="489" spans="2:25" x14ac:dyDescent="0.25">
      <c r="B489" t="str">
        <f>Siam_Chart[[#This Row],[Name]]</f>
        <v>PERM</v>
      </c>
      <c r="C489">
        <f>Siam_Chart[[#This Row],[No.]]</f>
        <v>488</v>
      </c>
      <c r="D489">
        <f>Siam_Chart[[#This Row],[Last]]</f>
        <v>0.26</v>
      </c>
      <c r="E489">
        <f>Siam_Chart[[#This Row],[Chg%]]</f>
        <v>4</v>
      </c>
      <c r="F489">
        <f>Siam_Chart[[#This Row],[Volume]]</f>
        <v>10300</v>
      </c>
      <c r="G489">
        <f>Siam_Chart[[#This Row],[Value (k)]]</f>
        <v>2678</v>
      </c>
      <c r="H489" cm="1">
        <f t="array" ref="H489:W489">Siam_Chart[[#This Row],[MCap (M)]:[CG]]</f>
        <v>199331261.22</v>
      </c>
      <c r="I489">
        <v>176331500.31</v>
      </c>
      <c r="J489">
        <v>0.84</v>
      </c>
      <c r="K489">
        <v>14.608183</v>
      </c>
      <c r="L489">
        <v>0.12</v>
      </c>
      <c r="M489">
        <v>-0.06</v>
      </c>
      <c r="N489">
        <v>0.2092</v>
      </c>
      <c r="O489">
        <v>-39.222090999999999</v>
      </c>
      <c r="P489">
        <v>-2.6026630000000002</v>
      </c>
      <c r="Q489">
        <v>0.74</v>
      </c>
      <c r="R489" t="str">
        <v/>
      </c>
      <c r="S489" t="str">
        <v/>
      </c>
      <c r="T489">
        <v>0</v>
      </c>
      <c r="U489">
        <v>0</v>
      </c>
      <c r="V489">
        <v>0</v>
      </c>
      <c r="W489">
        <v>0</v>
      </c>
      <c r="X489" s="5">
        <f t="shared" si="17"/>
        <v>0.30952380952380953</v>
      </c>
      <c r="Y489" s="6">
        <f t="shared" si="18"/>
        <v>766658697</v>
      </c>
    </row>
    <row r="490" spans="2:25" x14ac:dyDescent="0.25">
      <c r="B490" t="str">
        <f>Siam_Chart[[#This Row],[Name]]</f>
        <v>PF</v>
      </c>
      <c r="C490">
        <f>Siam_Chart[[#This Row],[No.]]</f>
        <v>489</v>
      </c>
      <c r="D490">
        <f>Siam_Chart[[#This Row],[Last]]</f>
        <v>2026</v>
      </c>
      <c r="E490">
        <f>Siam_Chart[[#This Row],[Chg%]]</f>
        <v>-33.333333333333329</v>
      </c>
      <c r="F490">
        <f>Siam_Chart[[#This Row],[Volume]]</f>
        <v>956670807</v>
      </c>
      <c r="G490">
        <f>Siam_Chart[[#This Row],[Value (k)]]</f>
        <v>40365.588949999998</v>
      </c>
      <c r="H490" cm="1">
        <f t="array" ref="H490:W490">Siam_Chart[[#This Row],[MCap (M)]:[CG]]</f>
        <v>400443224.16000003</v>
      </c>
      <c r="I490">
        <v>400443224.16000003</v>
      </c>
      <c r="J490">
        <v>0.05</v>
      </c>
      <c r="K490">
        <v>3.9909919999999999</v>
      </c>
      <c r="L490">
        <v>1.2999999999999999E-2</v>
      </c>
      <c r="M490">
        <v>-0.05</v>
      </c>
      <c r="N490">
        <v>-3.1807460000000001</v>
      </c>
      <c r="O490">
        <v>-32.264558000000001</v>
      </c>
      <c r="P490">
        <v>-56.348340999999998</v>
      </c>
      <c r="Q490">
        <v>0.05</v>
      </c>
      <c r="R490" t="str">
        <v/>
      </c>
      <c r="S490" t="str">
        <v/>
      </c>
      <c r="T490">
        <v>0</v>
      </c>
      <c r="U490">
        <v>0</v>
      </c>
      <c r="V490">
        <v>0</v>
      </c>
      <c r="W490">
        <v>0</v>
      </c>
      <c r="X490" s="5">
        <f t="shared" si="17"/>
        <v>40520</v>
      </c>
      <c r="Y490" s="6">
        <f t="shared" si="18"/>
        <v>197652.1343336624</v>
      </c>
    </row>
    <row r="491" spans="2:25" x14ac:dyDescent="0.25">
      <c r="B491" t="str">
        <f>Siam_Chart[[#This Row],[Name]]</f>
        <v>PG</v>
      </c>
      <c r="C491">
        <f>Siam_Chart[[#This Row],[No.]]</f>
        <v>490</v>
      </c>
      <c r="D491">
        <f>Siam_Chart[[#This Row],[Last]]</f>
        <v>6.5</v>
      </c>
      <c r="E491">
        <f>Siam_Chart[[#This Row],[Chg%]]</f>
        <v>-0.76</v>
      </c>
      <c r="F491">
        <f>Siam_Chart[[#This Row],[Volume]]</f>
        <v>14200</v>
      </c>
      <c r="G491">
        <f>Siam_Chart[[#This Row],[Value (k)]]</f>
        <v>91090</v>
      </c>
      <c r="H491" cm="1">
        <f t="array" ref="H491:W491">Siam_Chart[[#This Row],[MCap (M)]:[CG]]</f>
        <v>624000000</v>
      </c>
      <c r="I491">
        <v>19.73</v>
      </c>
      <c r="J491">
        <v>0.46</v>
      </c>
      <c r="K491">
        <v>0.11512600000000001</v>
      </c>
      <c r="L491">
        <v>0.5</v>
      </c>
      <c r="M491">
        <v>0.19</v>
      </c>
      <c r="N491">
        <v>2.400515</v>
      </c>
      <c r="O491">
        <v>2.3235420000000002</v>
      </c>
      <c r="P491">
        <v>5.6907990000000002</v>
      </c>
      <c r="Q491">
        <v>7.69</v>
      </c>
      <c r="R491" t="str">
        <v/>
      </c>
      <c r="S491" t="str">
        <v/>
      </c>
      <c r="T491">
        <v>1363</v>
      </c>
      <c r="U491">
        <v>1391</v>
      </c>
      <c r="V491">
        <v>-3.89</v>
      </c>
      <c r="W491">
        <v>5</v>
      </c>
      <c r="X491" s="5">
        <f t="shared" si="17"/>
        <v>14.130434782608695</v>
      </c>
      <c r="Y491" s="6">
        <f t="shared" si="18"/>
        <v>96000000</v>
      </c>
    </row>
    <row r="492" spans="2:25" x14ac:dyDescent="0.25">
      <c r="B492" t="str">
        <f>Siam_Chart[[#This Row],[Name]]</f>
        <v>PHG</v>
      </c>
      <c r="C492">
        <f>Siam_Chart[[#This Row],[No.]]</f>
        <v>491</v>
      </c>
      <c r="D492">
        <f>Siam_Chart[[#This Row],[Last]]</f>
        <v>10.3</v>
      </c>
      <c r="E492">
        <f>Siam_Chart[[#This Row],[Chg%]]</f>
        <v>0</v>
      </c>
      <c r="F492">
        <f>Siam_Chart[[#This Row],[Volume]]</f>
        <v>45700</v>
      </c>
      <c r="G492">
        <f>Siam_Chart[[#This Row],[Value (k)]]</f>
        <v>466710</v>
      </c>
      <c r="H492" cm="1">
        <f t="array" ref="H492:W492">Siam_Chart[[#This Row],[MCap (M)]:[CG]]</f>
        <v>3090000000</v>
      </c>
      <c r="I492">
        <v>13.17</v>
      </c>
      <c r="J492">
        <v>1.48</v>
      </c>
      <c r="K492">
        <v>0.19322600000000001</v>
      </c>
      <c r="L492">
        <v>0.7</v>
      </c>
      <c r="M492">
        <v>0.3</v>
      </c>
      <c r="N492">
        <v>11.584961</v>
      </c>
      <c r="O492">
        <v>11.289175</v>
      </c>
      <c r="P492">
        <v>7.4821569999999999</v>
      </c>
      <c r="Q492">
        <v>6.8</v>
      </c>
      <c r="R492" t="str">
        <v/>
      </c>
      <c r="S492" t="str">
        <v/>
      </c>
      <c r="T492">
        <v>636</v>
      </c>
      <c r="U492">
        <v>534</v>
      </c>
      <c r="V492">
        <v>4.7300000000000004</v>
      </c>
      <c r="W492">
        <v>3</v>
      </c>
      <c r="X492" s="5">
        <f t="shared" si="17"/>
        <v>6.9594594594594597</v>
      </c>
      <c r="Y492" s="6">
        <f t="shared" si="18"/>
        <v>300000000</v>
      </c>
    </row>
    <row r="493" spans="2:25" x14ac:dyDescent="0.25">
      <c r="B493" t="str">
        <f>Siam_Chart[[#This Row],[Name]]</f>
        <v>PHOL</v>
      </c>
      <c r="C493">
        <f>Siam_Chart[[#This Row],[No.]]</f>
        <v>492</v>
      </c>
      <c r="D493">
        <f>Siam_Chart[[#This Row],[Last]]</f>
        <v>3.24</v>
      </c>
      <c r="E493">
        <f>Siam_Chart[[#This Row],[Chg%]]</f>
        <v>-0.61</v>
      </c>
      <c r="F493">
        <f>Siam_Chart[[#This Row],[Volume]]</f>
        <v>74550</v>
      </c>
      <c r="G493">
        <f>Siam_Chart[[#This Row],[Value (k)]]</f>
        <v>242563.5</v>
      </c>
      <c r="H493" cm="1">
        <f t="array" ref="H493:W493">Siam_Chart[[#This Row],[MCap (M)]:[CG]]</f>
        <v>656100751.67999995</v>
      </c>
      <c r="I493">
        <v>8.92</v>
      </c>
      <c r="J493">
        <v>1.55</v>
      </c>
      <c r="K493">
        <v>0.725414</v>
      </c>
      <c r="L493">
        <v>0.12</v>
      </c>
      <c r="M493">
        <v>0.19</v>
      </c>
      <c r="N493">
        <v>13.446555999999999</v>
      </c>
      <c r="O493">
        <v>17.877773000000001</v>
      </c>
      <c r="P493">
        <v>7.1436330000000003</v>
      </c>
      <c r="Q493">
        <v>7.72</v>
      </c>
      <c r="R493" t="str">
        <v/>
      </c>
      <c r="S493" t="str">
        <v/>
      </c>
      <c r="T493">
        <v>347</v>
      </c>
      <c r="U493">
        <v>322</v>
      </c>
      <c r="V493">
        <v>-2.99</v>
      </c>
      <c r="W493">
        <v>5</v>
      </c>
      <c r="X493" s="5">
        <f t="shared" si="17"/>
        <v>2.0903225806451613</v>
      </c>
      <c r="Y493" s="6">
        <f t="shared" si="18"/>
        <v>202500231.99999997</v>
      </c>
    </row>
    <row r="494" spans="2:25" x14ac:dyDescent="0.25">
      <c r="B494" t="str">
        <f>Siam_Chart[[#This Row],[Name]]</f>
        <v>PICO</v>
      </c>
      <c r="C494">
        <f>Siam_Chart[[#This Row],[No.]]</f>
        <v>493</v>
      </c>
      <c r="D494">
        <f>Siam_Chart[[#This Row],[Last]]</f>
        <v>2026</v>
      </c>
      <c r="E494">
        <f>Siam_Chart[[#This Row],[Chg%]]</f>
        <v>-3.6697247706422047</v>
      </c>
      <c r="F494">
        <f>Siam_Chart[[#This Row],[Volume]]</f>
        <v>26902651</v>
      </c>
      <c r="G494">
        <f>Siam_Chart[[#This Row],[Value (k)]]</f>
        <v>86193.416979999995</v>
      </c>
      <c r="H494" cm="1">
        <f t="array" ref="H494:W494">Siam_Chart[[#This Row],[MCap (M)]:[CG]]</f>
        <v>904</v>
      </c>
      <c r="I494">
        <v>0</v>
      </c>
      <c r="J494">
        <v>0.67462087940372228</v>
      </c>
      <c r="K494">
        <v>0.67462100000000003</v>
      </c>
      <c r="L494">
        <v>0.05</v>
      </c>
      <c r="M494">
        <v>-0.1</v>
      </c>
      <c r="N494">
        <v>3.0540039999999999</v>
      </c>
      <c r="O494">
        <v>5.1902780000000002</v>
      </c>
      <c r="P494">
        <v>-5.1251040000000003</v>
      </c>
      <c r="Q494">
        <v>0</v>
      </c>
      <c r="R494" t="str">
        <v/>
      </c>
      <c r="S494" t="str">
        <v/>
      </c>
      <c r="T494">
        <v>0</v>
      </c>
      <c r="U494">
        <v>0</v>
      </c>
      <c r="V494">
        <v>0</v>
      </c>
      <c r="W494">
        <v>3</v>
      </c>
      <c r="X494" s="5">
        <f t="shared" si="17"/>
        <v>3003.16824138429</v>
      </c>
      <c r="Y494" s="6">
        <f t="shared" si="18"/>
        <v>0.4461994076999013</v>
      </c>
    </row>
    <row r="495" spans="2:25" x14ac:dyDescent="0.25">
      <c r="B495" t="str">
        <f>Siam_Chart[[#This Row],[Name]]</f>
        <v>PIMO</v>
      </c>
      <c r="C495">
        <f>Siam_Chart[[#This Row],[No.]]</f>
        <v>494</v>
      </c>
      <c r="D495">
        <f>Siam_Chart[[#This Row],[Last]]</f>
        <v>1.39</v>
      </c>
      <c r="E495">
        <f>Siam_Chart[[#This Row],[Chg%]]</f>
        <v>0</v>
      </c>
      <c r="F495">
        <f>Siam_Chart[[#This Row],[Volume]]</f>
        <v>2135462</v>
      </c>
      <c r="G495">
        <f>Siam_Chart[[#This Row],[Value (k)]]</f>
        <v>2928569.84</v>
      </c>
      <c r="H495" cm="1">
        <f t="array" ref="H495:W495">Siam_Chart[[#This Row],[MCap (M)]:[CG]]</f>
        <v>1053113023.91</v>
      </c>
      <c r="I495">
        <v>9.9600000000000009</v>
      </c>
      <c r="J495">
        <v>0.89</v>
      </c>
      <c r="K495">
        <v>0.230936</v>
      </c>
      <c r="L495">
        <v>2.5999999999999999E-2</v>
      </c>
      <c r="M495">
        <v>0.08</v>
      </c>
      <c r="N495">
        <v>9.3764990000000008</v>
      </c>
      <c r="O495">
        <v>9.1834199999999999</v>
      </c>
      <c r="P495">
        <v>10.859204999999999</v>
      </c>
      <c r="Q495">
        <v>3.57</v>
      </c>
      <c r="R495" t="str">
        <v/>
      </c>
      <c r="S495" t="str">
        <v/>
      </c>
      <c r="T495">
        <v>606</v>
      </c>
      <c r="U495">
        <v>492</v>
      </c>
      <c r="V495">
        <v>-18.36</v>
      </c>
      <c r="W495">
        <v>5</v>
      </c>
      <c r="X495" s="5">
        <f t="shared" si="17"/>
        <v>1.5617977528089886</v>
      </c>
      <c r="Y495" s="6">
        <f t="shared" si="18"/>
        <v>757635269</v>
      </c>
    </row>
    <row r="496" spans="2:25" x14ac:dyDescent="0.25">
      <c r="B496" t="str">
        <f>Siam_Chart[[#This Row],[Name]]</f>
        <v>PIN</v>
      </c>
      <c r="C496">
        <f>Siam_Chart[[#This Row],[No.]]</f>
        <v>495</v>
      </c>
      <c r="D496">
        <f>Siam_Chart[[#This Row],[Last]]</f>
        <v>4.38</v>
      </c>
      <c r="E496">
        <f>Siam_Chart[[#This Row],[Chg%]]</f>
        <v>2.34</v>
      </c>
      <c r="F496">
        <f>Siam_Chart[[#This Row],[Volume]]</f>
        <v>1153808</v>
      </c>
      <c r="G496">
        <f>Siam_Chart[[#This Row],[Value (k)]]</f>
        <v>5060617.04</v>
      </c>
      <c r="H496" cm="1">
        <f t="array" ref="H496:W496">Siam_Chart[[#This Row],[MCap (M)]:[CG]]</f>
        <v>5080800000</v>
      </c>
      <c r="I496">
        <v>9.1199999999999992</v>
      </c>
      <c r="J496">
        <v>1.1599999999999999</v>
      </c>
      <c r="K496">
        <v>0.88541300000000001</v>
      </c>
      <c r="L496">
        <v>0.216</v>
      </c>
      <c r="M496">
        <v>0.25</v>
      </c>
      <c r="N496">
        <v>8.5559670000000008</v>
      </c>
      <c r="O496">
        <v>13.162393</v>
      </c>
      <c r="P496">
        <v>38.835222000000002</v>
      </c>
      <c r="Q496">
        <v>4.93</v>
      </c>
      <c r="R496" t="str">
        <v/>
      </c>
      <c r="S496" t="str">
        <v/>
      </c>
      <c r="T496">
        <v>282</v>
      </c>
      <c r="U496">
        <v>292</v>
      </c>
      <c r="V496">
        <v>0.08</v>
      </c>
      <c r="W496">
        <v>3</v>
      </c>
      <c r="X496" s="5">
        <f t="shared" si="17"/>
        <v>3.7758620689655173</v>
      </c>
      <c r="Y496" s="6">
        <f t="shared" si="18"/>
        <v>1160000000</v>
      </c>
    </row>
    <row r="497" spans="2:25" x14ac:dyDescent="0.25">
      <c r="B497" t="str">
        <f>Siam_Chart[[#This Row],[Name]]</f>
        <v>PIS</v>
      </c>
      <c r="C497">
        <f>Siam_Chart[[#This Row],[No.]]</f>
        <v>496</v>
      </c>
      <c r="D497">
        <f>Siam_Chart[[#This Row],[Last]]</f>
        <v>5.85</v>
      </c>
      <c r="E497">
        <f>Siam_Chart[[#This Row],[Chg%]]</f>
        <v>0.86</v>
      </c>
      <c r="F497">
        <f>Siam_Chart[[#This Row],[Volume]]</f>
        <v>433001</v>
      </c>
      <c r="G497">
        <f>Siam_Chart[[#This Row],[Value (k)]]</f>
        <v>2489160.7000000002</v>
      </c>
      <c r="H497" cm="1">
        <f t="array" ref="H497:W497">Siam_Chart[[#This Row],[MCap (M)]:[CG]]</f>
        <v>3159000000</v>
      </c>
      <c r="I497">
        <v>11.18</v>
      </c>
      <c r="J497">
        <v>2.88</v>
      </c>
      <c r="K497">
        <v>2.7600549999999999</v>
      </c>
      <c r="L497">
        <v>0.2</v>
      </c>
      <c r="M497">
        <v>0.3</v>
      </c>
      <c r="N497">
        <v>11.943892</v>
      </c>
      <c r="O497">
        <v>27.923741</v>
      </c>
      <c r="P497">
        <v>10.671493</v>
      </c>
      <c r="Q497">
        <v>3.42</v>
      </c>
      <c r="R497" t="str">
        <v/>
      </c>
      <c r="S497" t="str">
        <v/>
      </c>
      <c r="T497">
        <v>289</v>
      </c>
      <c r="U497">
        <v>341</v>
      </c>
      <c r="V497">
        <v>0.06</v>
      </c>
      <c r="W497">
        <v>3</v>
      </c>
      <c r="X497" s="5">
        <f t="shared" si="17"/>
        <v>2.03125</v>
      </c>
      <c r="Y497" s="6">
        <f t="shared" si="18"/>
        <v>540000000</v>
      </c>
    </row>
    <row r="498" spans="2:25" x14ac:dyDescent="0.25">
      <c r="B498" t="str">
        <f>Siam_Chart[[#This Row],[Name]]</f>
        <v>PJW</v>
      </c>
      <c r="C498">
        <f>Siam_Chart[[#This Row],[No.]]</f>
        <v>497</v>
      </c>
      <c r="D498">
        <f>Siam_Chart[[#This Row],[Last]]</f>
        <v>2.02</v>
      </c>
      <c r="E498">
        <f>Siam_Chart[[#This Row],[Chg%]]</f>
        <v>-0.98</v>
      </c>
      <c r="F498">
        <f>Siam_Chart[[#This Row],[Volume]]</f>
        <v>49902</v>
      </c>
      <c r="G498">
        <f>Siam_Chart[[#This Row],[Value (k)]]</f>
        <v>100810.04</v>
      </c>
      <c r="H498" cm="1">
        <f t="array" ref="H498:W498">Siam_Chart[[#This Row],[MCap (M)]:[CG]]</f>
        <v>1260610146.5799999</v>
      </c>
      <c r="I498">
        <v>9.2899999999999991</v>
      </c>
      <c r="J498">
        <v>0.81</v>
      </c>
      <c r="K498">
        <v>1.678904</v>
      </c>
      <c r="L498">
        <v>0.11</v>
      </c>
      <c r="M498">
        <v>0.09</v>
      </c>
      <c r="N498">
        <v>5.608714</v>
      </c>
      <c r="O498">
        <v>8.9800609999999992</v>
      </c>
      <c r="P498">
        <v>2.5899260000000002</v>
      </c>
      <c r="Q498">
        <v>5.45</v>
      </c>
      <c r="R498" t="str">
        <v/>
      </c>
      <c r="S498" t="str">
        <v/>
      </c>
      <c r="T498">
        <v>572</v>
      </c>
      <c r="U498">
        <v>645</v>
      </c>
      <c r="V498">
        <v>0.91</v>
      </c>
      <c r="W498">
        <v>5</v>
      </c>
      <c r="X498" s="5">
        <f t="shared" si="17"/>
        <v>2.4938271604938271</v>
      </c>
      <c r="Y498" s="6">
        <f t="shared" si="18"/>
        <v>624064429</v>
      </c>
    </row>
    <row r="499" spans="2:25" x14ac:dyDescent="0.25">
      <c r="B499" t="str">
        <f>Siam_Chart[[#This Row],[Name]]</f>
        <v>PK</v>
      </c>
      <c r="C499">
        <f>Siam_Chart[[#This Row],[No.]]</f>
        <v>498</v>
      </c>
      <c r="D499">
        <f>Siam_Chart[[#This Row],[Last]]</f>
        <v>0.49</v>
      </c>
      <c r="E499">
        <f>Siam_Chart[[#This Row],[Chg%]]</f>
        <v>-2</v>
      </c>
      <c r="F499">
        <f>Siam_Chart[[#This Row],[Volume]]</f>
        <v>772340</v>
      </c>
      <c r="G499">
        <f>Siam_Chart[[#This Row],[Value (k)]]</f>
        <v>386704.4</v>
      </c>
      <c r="H499" cm="1">
        <f t="array" ref="H499:W499">Siam_Chart[[#This Row],[MCap (M)]:[CG]]</f>
        <v>255170577.69</v>
      </c>
      <c r="I499">
        <v>244755452.06999999</v>
      </c>
      <c r="J499">
        <v>0.23</v>
      </c>
      <c r="K499">
        <v>1.1434169999999999</v>
      </c>
      <c r="L499">
        <v>6.5000000000000002E-2</v>
      </c>
      <c r="M499">
        <v>-0.12</v>
      </c>
      <c r="N499">
        <v>-1.0881419999999999</v>
      </c>
      <c r="O499">
        <v>-8.1678890000000006</v>
      </c>
      <c r="P499">
        <v>-8.8599180000000004</v>
      </c>
      <c r="Q499">
        <v>0.22</v>
      </c>
      <c r="R499" t="str">
        <v/>
      </c>
      <c r="S499" t="str">
        <v/>
      </c>
      <c r="T499">
        <v>0</v>
      </c>
      <c r="U499">
        <v>0</v>
      </c>
      <c r="V499">
        <v>0</v>
      </c>
      <c r="W499">
        <v>0</v>
      </c>
      <c r="X499" s="5">
        <f t="shared" si="17"/>
        <v>2.1304347826086953</v>
      </c>
      <c r="Y499" s="6">
        <f t="shared" si="18"/>
        <v>520756281</v>
      </c>
    </row>
    <row r="500" spans="2:25" x14ac:dyDescent="0.25">
      <c r="B500" t="str">
        <f>Siam_Chart[[#This Row],[Name]]</f>
        <v>PL</v>
      </c>
      <c r="C500">
        <f>Siam_Chart[[#This Row],[No.]]</f>
        <v>499</v>
      </c>
      <c r="D500">
        <f>Siam_Chart[[#This Row],[Last]]</f>
        <v>1.33</v>
      </c>
      <c r="E500">
        <f>Siam_Chart[[#This Row],[Chg%]]</f>
        <v>-1.48</v>
      </c>
      <c r="F500">
        <f>Siam_Chart[[#This Row],[Volume]]</f>
        <v>500</v>
      </c>
      <c r="G500">
        <f>Siam_Chart[[#This Row],[Value (k)]]</f>
        <v>666</v>
      </c>
      <c r="H500" cm="1">
        <f t="array" ref="H500:W500">Siam_Chart[[#This Row],[MCap (M)]:[CG]]</f>
        <v>793358067.25</v>
      </c>
      <c r="I500">
        <v>16.03</v>
      </c>
      <c r="J500">
        <v>0.26</v>
      </c>
      <c r="K500">
        <v>2.7811870000000001</v>
      </c>
      <c r="L500">
        <v>6.2E-2</v>
      </c>
      <c r="M500">
        <v>0.05</v>
      </c>
      <c r="N500">
        <v>3.324519</v>
      </c>
      <c r="O500">
        <v>1.622533</v>
      </c>
      <c r="P500">
        <v>2.5258780000000001</v>
      </c>
      <c r="Q500">
        <v>4.66</v>
      </c>
      <c r="R500" t="str">
        <v/>
      </c>
      <c r="S500" t="str">
        <v/>
      </c>
      <c r="T500">
        <v>1121</v>
      </c>
      <c r="U500">
        <v>1196</v>
      </c>
      <c r="V500">
        <v>-0.18</v>
      </c>
      <c r="W500">
        <v>5</v>
      </c>
      <c r="X500" s="5">
        <f t="shared" si="17"/>
        <v>5.1153846153846159</v>
      </c>
      <c r="Y500" s="6">
        <f t="shared" si="18"/>
        <v>596509825</v>
      </c>
    </row>
    <row r="501" spans="2:25" x14ac:dyDescent="0.25">
      <c r="B501" t="str">
        <f>Siam_Chart[[#This Row],[Name]]</f>
        <v>PLANB</v>
      </c>
      <c r="C501">
        <f>Siam_Chart[[#This Row],[No.]]</f>
        <v>500</v>
      </c>
      <c r="D501">
        <f>Siam_Chart[[#This Row],[Last]]</f>
        <v>6.75</v>
      </c>
      <c r="E501">
        <f>Siam_Chart[[#This Row],[Chg%]]</f>
        <v>0.75</v>
      </c>
      <c r="F501">
        <f>Siam_Chart[[#This Row],[Volume]]</f>
        <v>31029185</v>
      </c>
      <c r="G501">
        <f>Siam_Chart[[#This Row],[Value (k)]]</f>
        <v>208361817.55000001</v>
      </c>
      <c r="H501" cm="1">
        <f t="array" ref="H501:W501">Siam_Chart[[#This Row],[MCap (M)]:[CG]]</f>
        <v>31051886726.25</v>
      </c>
      <c r="I501">
        <v>27.07</v>
      </c>
      <c r="J501">
        <v>2.5499999999999998</v>
      </c>
      <c r="K501">
        <v>1.1259539999999999</v>
      </c>
      <c r="L501">
        <v>4.3499999999999997E-2</v>
      </c>
      <c r="M501">
        <v>0.11</v>
      </c>
      <c r="N501">
        <v>8.6737020000000005</v>
      </c>
      <c r="O501">
        <v>10.439183</v>
      </c>
      <c r="P501">
        <v>13.254792</v>
      </c>
      <c r="Q501">
        <v>3.12</v>
      </c>
      <c r="R501" t="str">
        <v/>
      </c>
      <c r="S501" t="str">
        <v/>
      </c>
      <c r="T501">
        <v>847</v>
      </c>
      <c r="U501">
        <v>747</v>
      </c>
      <c r="V501">
        <v>0.09</v>
      </c>
      <c r="W501">
        <v>5</v>
      </c>
      <c r="X501" s="5">
        <f t="shared" si="17"/>
        <v>2.6470588235294121</v>
      </c>
      <c r="Y501" s="6">
        <f t="shared" si="18"/>
        <v>4600279515</v>
      </c>
    </row>
    <row r="502" spans="2:25" x14ac:dyDescent="0.25">
      <c r="B502" t="str">
        <f>Siam_Chart[[#This Row],[Name]]</f>
        <v>PLANET</v>
      </c>
      <c r="C502">
        <f>Siam_Chart[[#This Row],[No.]]</f>
        <v>501</v>
      </c>
      <c r="D502">
        <f>Siam_Chart[[#This Row],[Last]]</f>
        <v>0.55000000000000004</v>
      </c>
      <c r="E502">
        <f>Siam_Chart[[#This Row],[Chg%]]</f>
        <v>1.85</v>
      </c>
      <c r="F502">
        <f>Siam_Chart[[#This Row],[Volume]]</f>
        <v>11220</v>
      </c>
      <c r="G502">
        <f>Siam_Chart[[#This Row],[Value (k)]]</f>
        <v>6046.6</v>
      </c>
      <c r="H502" cm="1">
        <f t="array" ref="H502:W502">Siam_Chart[[#This Row],[MCap (M)]:[CG]]</f>
        <v>365933756.10000002</v>
      </c>
      <c r="I502">
        <v>392547120.18000001</v>
      </c>
      <c r="J502">
        <v>0.75</v>
      </c>
      <c r="K502">
        <v>1.57847</v>
      </c>
      <c r="L502">
        <v>-0.13</v>
      </c>
      <c r="M502">
        <v>-0.13</v>
      </c>
      <c r="N502">
        <v>-6.2411050000000001</v>
      </c>
      <c r="O502">
        <v>-20.896706999999999</v>
      </c>
      <c r="P502">
        <v>-68.772720000000007</v>
      </c>
      <c r="Q502">
        <v>0.81</v>
      </c>
      <c r="R502" t="str">
        <v/>
      </c>
      <c r="S502" t="str">
        <v/>
      </c>
      <c r="T502">
        <v>0</v>
      </c>
      <c r="U502">
        <v>0</v>
      </c>
      <c r="V502">
        <v>0</v>
      </c>
      <c r="W502">
        <v>3</v>
      </c>
      <c r="X502" s="5">
        <f t="shared" si="17"/>
        <v>0.73333333333333339</v>
      </c>
      <c r="Y502" s="6">
        <f t="shared" si="18"/>
        <v>665334102</v>
      </c>
    </row>
    <row r="503" spans="2:25" x14ac:dyDescent="0.25">
      <c r="B503" t="str">
        <f>Siam_Chart[[#This Row],[Name]]</f>
        <v>PLAT</v>
      </c>
      <c r="C503">
        <f>Siam_Chart[[#This Row],[No.]]</f>
        <v>502</v>
      </c>
      <c r="D503">
        <f>Siam_Chart[[#This Row],[Last]]</f>
        <v>1.44</v>
      </c>
      <c r="E503">
        <f>Siam_Chart[[#This Row],[Chg%]]</f>
        <v>-0.69</v>
      </c>
      <c r="F503">
        <f>Siam_Chart[[#This Row],[Volume]]</f>
        <v>1710959</v>
      </c>
      <c r="G503">
        <f>Siam_Chart[[#This Row],[Value (k)]]</f>
        <v>2462119.3199999998</v>
      </c>
      <c r="H503" cm="1">
        <f t="array" ref="H503:W503">Siam_Chart[[#This Row],[MCap (M)]:[CG]]</f>
        <v>4032000000</v>
      </c>
      <c r="I503">
        <v>7.91</v>
      </c>
      <c r="J503">
        <v>0.46</v>
      </c>
      <c r="K503">
        <v>0.50360300000000002</v>
      </c>
      <c r="L503">
        <v>0.02</v>
      </c>
      <c r="M503">
        <v>0.11</v>
      </c>
      <c r="N503">
        <v>6.782</v>
      </c>
      <c r="O503">
        <v>5.995336</v>
      </c>
      <c r="P503">
        <v>20.535924000000001</v>
      </c>
      <c r="Q503">
        <v>1.39</v>
      </c>
      <c r="R503" t="str">
        <v/>
      </c>
      <c r="S503" t="str">
        <v/>
      </c>
      <c r="T503">
        <v>680</v>
      </c>
      <c r="U503">
        <v>522</v>
      </c>
      <c r="V503">
        <v>-0.8</v>
      </c>
      <c r="W503">
        <v>5</v>
      </c>
      <c r="X503" s="5">
        <f t="shared" si="17"/>
        <v>3.1304347826086953</v>
      </c>
      <c r="Y503" s="6">
        <f t="shared" si="18"/>
        <v>2800000000</v>
      </c>
    </row>
    <row r="504" spans="2:25" x14ac:dyDescent="0.25">
      <c r="B504" t="str">
        <f>Siam_Chart[[#This Row],[Name]]</f>
        <v>PLE</v>
      </c>
      <c r="C504">
        <f>Siam_Chart[[#This Row],[No.]]</f>
        <v>503</v>
      </c>
      <c r="D504">
        <f>Siam_Chart[[#This Row],[Last]]</f>
        <v>0.06</v>
      </c>
      <c r="E504">
        <f>Siam_Chart[[#This Row],[Chg%]]</f>
        <v>0</v>
      </c>
      <c r="F504">
        <f>Siam_Chart[[#This Row],[Volume]]</f>
        <v>5106600</v>
      </c>
      <c r="G504">
        <f>Siam_Chart[[#This Row],[Value (k)]]</f>
        <v>309121</v>
      </c>
      <c r="H504" cm="1">
        <f t="array" ref="H504:W504">Siam_Chart[[#This Row],[MCap (M)]:[CG]]</f>
        <v>132047716.56</v>
      </c>
      <c r="I504">
        <v>154055669.31999999</v>
      </c>
      <c r="J504">
        <v>0.09</v>
      </c>
      <c r="K504">
        <v>8.6674249999999997</v>
      </c>
      <c r="L504">
        <v>1.9E-2</v>
      </c>
      <c r="M504">
        <v>-0.14000000000000001</v>
      </c>
      <c r="N504">
        <v>0.16398199999999999</v>
      </c>
      <c r="O504">
        <v>-23.549312</v>
      </c>
      <c r="P504">
        <v>-27.529793999999999</v>
      </c>
      <c r="Q504">
        <v>0.11</v>
      </c>
      <c r="R504" t="str">
        <v/>
      </c>
      <c r="S504" t="str">
        <v/>
      </c>
      <c r="T504">
        <v>1155</v>
      </c>
      <c r="U504">
        <v>1047</v>
      </c>
      <c r="V504">
        <v>-0.06</v>
      </c>
      <c r="W504">
        <v>0</v>
      </c>
      <c r="X504" s="5">
        <f t="shared" si="17"/>
        <v>0.66666666666666663</v>
      </c>
      <c r="Y504" s="6">
        <f t="shared" si="18"/>
        <v>2200795276</v>
      </c>
    </row>
    <row r="505" spans="2:25" x14ac:dyDescent="0.25">
      <c r="B505" t="str">
        <f>Siam_Chart[[#This Row],[Name]]</f>
        <v>PLT</v>
      </c>
      <c r="C505">
        <f>Siam_Chart[[#This Row],[No.]]</f>
        <v>504</v>
      </c>
      <c r="D505">
        <f>Siam_Chart[[#This Row],[Last]]</f>
        <v>0.53</v>
      </c>
      <c r="E505">
        <f>Siam_Chart[[#This Row],[Chg%]]</f>
        <v>0</v>
      </c>
      <c r="F505">
        <f>Siam_Chart[[#This Row],[Volume]]</f>
        <v>1651200</v>
      </c>
      <c r="G505">
        <f>Siam_Chart[[#This Row],[Value (k)]]</f>
        <v>891677</v>
      </c>
      <c r="H505" cm="1">
        <f t="array" ref="H505:W505">Siam_Chart[[#This Row],[MCap (M)]:[CG]]</f>
        <v>508800000</v>
      </c>
      <c r="I505">
        <v>8.91</v>
      </c>
      <c r="J505">
        <v>0.55000000000000004</v>
      </c>
      <c r="K505">
        <v>0.92285300000000003</v>
      </c>
      <c r="L505">
        <v>0.01</v>
      </c>
      <c r="M505">
        <v>0.03</v>
      </c>
      <c r="N505">
        <v>5.6998519999999999</v>
      </c>
      <c r="O505">
        <v>6.3109989999999998</v>
      </c>
      <c r="P505">
        <v>4.9441750000000004</v>
      </c>
      <c r="Q505">
        <v>3.77</v>
      </c>
      <c r="R505" t="str">
        <v/>
      </c>
      <c r="S505" t="str">
        <v/>
      </c>
      <c r="T505">
        <v>580</v>
      </c>
      <c r="U505">
        <v>512</v>
      </c>
      <c r="V505">
        <v>2.41</v>
      </c>
      <c r="W505">
        <v>0</v>
      </c>
      <c r="X505" s="5">
        <f t="shared" si="17"/>
        <v>0.96363636363636362</v>
      </c>
      <c r="Y505" s="6">
        <f t="shared" si="18"/>
        <v>960000000</v>
      </c>
    </row>
    <row r="506" spans="2:25" x14ac:dyDescent="0.25">
      <c r="B506" t="str">
        <f>Siam_Chart[[#This Row],[Name]]</f>
        <v>PLUS</v>
      </c>
      <c r="C506">
        <f>Siam_Chart[[#This Row],[No.]]</f>
        <v>505</v>
      </c>
      <c r="D506">
        <f>Siam_Chart[[#This Row],[Last]]</f>
        <v>1.2</v>
      </c>
      <c r="E506">
        <f>Siam_Chart[[#This Row],[Chg%]]</f>
        <v>2.56</v>
      </c>
      <c r="F506">
        <f>Siam_Chart[[#This Row],[Volume]]</f>
        <v>1453311</v>
      </c>
      <c r="G506">
        <f>Siam_Chart[[#This Row],[Value (k)]]</f>
        <v>1768823.18</v>
      </c>
      <c r="H506" cm="1">
        <f t="array" ref="H506:W506">Siam_Chart[[#This Row],[MCap (M)]:[CG]]</f>
        <v>804000000</v>
      </c>
      <c r="I506">
        <v>804000000</v>
      </c>
      <c r="J506">
        <v>0.7</v>
      </c>
      <c r="K506">
        <v>0.67406200000000005</v>
      </c>
      <c r="L506">
        <v>0.06</v>
      </c>
      <c r="M506">
        <v>-0.06</v>
      </c>
      <c r="N506">
        <v>-4.3408220000000002</v>
      </c>
      <c r="O506">
        <v>-7.4311699999999998</v>
      </c>
      <c r="P506">
        <v>-6.0301489999999998</v>
      </c>
      <c r="Q506">
        <v>0.7</v>
      </c>
      <c r="R506" t="str">
        <v/>
      </c>
      <c r="S506" t="str">
        <v/>
      </c>
      <c r="T506">
        <v>0</v>
      </c>
      <c r="U506">
        <v>0</v>
      </c>
      <c r="V506">
        <v>0</v>
      </c>
      <c r="W506">
        <v>5</v>
      </c>
      <c r="X506" s="5">
        <f t="shared" si="17"/>
        <v>1.7142857142857144</v>
      </c>
      <c r="Y506" s="6">
        <f t="shared" si="18"/>
        <v>670000000</v>
      </c>
    </row>
    <row r="507" spans="2:25" x14ac:dyDescent="0.25">
      <c r="B507" t="str">
        <f>Siam_Chart[[#This Row],[Name]]</f>
        <v>PM</v>
      </c>
      <c r="C507">
        <f>Siam_Chart[[#This Row],[No.]]</f>
        <v>506</v>
      </c>
      <c r="D507">
        <f>Siam_Chart[[#This Row],[Last]]</f>
        <v>11.1</v>
      </c>
      <c r="E507">
        <f>Siam_Chart[[#This Row],[Chg%]]</f>
        <v>-2.63</v>
      </c>
      <c r="F507">
        <f>Siam_Chart[[#This Row],[Volume]]</f>
        <v>680386</v>
      </c>
      <c r="G507">
        <f>Siam_Chart[[#This Row],[Value (k)]]</f>
        <v>7480145</v>
      </c>
      <c r="H507" cm="1">
        <f t="array" ref="H507:W507">Siam_Chart[[#This Row],[MCap (M)]:[CG]]</f>
        <v>6195132000</v>
      </c>
      <c r="I507">
        <v>11.8</v>
      </c>
      <c r="J507">
        <v>3.39</v>
      </c>
      <c r="K507">
        <v>0.86591499999999999</v>
      </c>
      <c r="L507">
        <v>0.5</v>
      </c>
      <c r="M507">
        <v>0.41</v>
      </c>
      <c r="N507">
        <v>18.170294999999999</v>
      </c>
      <c r="O507">
        <v>28.690397999999998</v>
      </c>
      <c r="P507">
        <v>7.7842880000000001</v>
      </c>
      <c r="Q507">
        <v>8.3800000000000008</v>
      </c>
      <c r="R507" t="str">
        <v/>
      </c>
      <c r="S507" t="str">
        <v/>
      </c>
      <c r="T507">
        <v>358</v>
      </c>
      <c r="U507">
        <v>352</v>
      </c>
      <c r="V507">
        <v>0.62</v>
      </c>
      <c r="W507">
        <v>5</v>
      </c>
      <c r="X507" s="5">
        <f t="shared" si="17"/>
        <v>3.2743362831858405</v>
      </c>
      <c r="Y507" s="6">
        <f t="shared" si="18"/>
        <v>558120000</v>
      </c>
    </row>
    <row r="508" spans="2:25" x14ac:dyDescent="0.25">
      <c r="B508" t="str">
        <f>Siam_Chart[[#This Row],[Name]]</f>
        <v>PMC</v>
      </c>
      <c r="C508">
        <f>Siam_Chart[[#This Row],[No.]]</f>
        <v>507</v>
      </c>
      <c r="D508">
        <f>Siam_Chart[[#This Row],[Last]]</f>
        <v>0.99</v>
      </c>
      <c r="E508">
        <f>Siam_Chart[[#This Row],[Chg%]]</f>
        <v>-1</v>
      </c>
      <c r="F508">
        <f>Siam_Chart[[#This Row],[Volume]]</f>
        <v>2230460</v>
      </c>
      <c r="G508">
        <f>Siam_Chart[[#This Row],[Value (k)]]</f>
        <v>2235812.4</v>
      </c>
      <c r="H508" cm="1">
        <f t="array" ref="H508:W508">Siam_Chart[[#This Row],[MCap (M)]:[CG]]</f>
        <v>411498923.22000003</v>
      </c>
      <c r="I508">
        <v>5.7</v>
      </c>
      <c r="J508">
        <v>0.69</v>
      </c>
      <c r="K508">
        <v>0.78249299999999999</v>
      </c>
      <c r="L508">
        <v>1.8314E-2</v>
      </c>
      <c r="M508">
        <v>0.09</v>
      </c>
      <c r="N508">
        <v>9.3159969999999994</v>
      </c>
      <c r="O508">
        <v>12.247956</v>
      </c>
      <c r="P508">
        <v>8.7279479999999996</v>
      </c>
      <c r="Q508">
        <v>1.76</v>
      </c>
      <c r="R508" t="str">
        <v/>
      </c>
      <c r="S508" t="str">
        <v/>
      </c>
      <c r="T508">
        <v>308</v>
      </c>
      <c r="U508">
        <v>289</v>
      </c>
      <c r="V508">
        <v>0.06</v>
      </c>
      <c r="W508">
        <v>5</v>
      </c>
      <c r="X508" s="5">
        <f t="shared" si="17"/>
        <v>1.4347826086956523</v>
      </c>
      <c r="Y508" s="6">
        <f t="shared" si="18"/>
        <v>415655478.00000006</v>
      </c>
    </row>
    <row r="509" spans="2:25" x14ac:dyDescent="0.25">
      <c r="B509" t="str">
        <f>Siam_Chart[[#This Row],[Name]]</f>
        <v>PMTA</v>
      </c>
      <c r="C509">
        <f>Siam_Chart[[#This Row],[No.]]</f>
        <v>508</v>
      </c>
      <c r="D509">
        <f>Siam_Chart[[#This Row],[Last]]</f>
        <v>9</v>
      </c>
      <c r="E509">
        <f>Siam_Chart[[#This Row],[Chg%]]</f>
        <v>-1.64</v>
      </c>
      <c r="F509">
        <f>Siam_Chart[[#This Row],[Volume]]</f>
        <v>29200</v>
      </c>
      <c r="G509">
        <f>Siam_Chart[[#This Row],[Value (k)]]</f>
        <v>256195</v>
      </c>
      <c r="H509" cm="1">
        <f t="array" ref="H509:W509">Siam_Chart[[#This Row],[MCap (M)]:[CG]]</f>
        <v>910800000</v>
      </c>
      <c r="I509">
        <v>11.49</v>
      </c>
      <c r="J509">
        <v>0.56999999999999995</v>
      </c>
      <c r="K509">
        <v>0.63739900000000005</v>
      </c>
      <c r="L509">
        <v>0.7</v>
      </c>
      <c r="M509">
        <v>0.14000000000000001</v>
      </c>
      <c r="N509">
        <v>5.6602740000000002</v>
      </c>
      <c r="O509">
        <v>4.9885669999999998</v>
      </c>
      <c r="P509">
        <v>0.86718300000000004</v>
      </c>
      <c r="Q509">
        <v>7.78</v>
      </c>
      <c r="R509" t="str">
        <v/>
      </c>
      <c r="S509" t="str">
        <v/>
      </c>
      <c r="T509">
        <v>827</v>
      </c>
      <c r="U509">
        <v>705</v>
      </c>
      <c r="V509">
        <v>0.5</v>
      </c>
      <c r="W509">
        <v>0</v>
      </c>
      <c r="X509" s="5">
        <f t="shared" si="17"/>
        <v>15.789473684210527</v>
      </c>
      <c r="Y509" s="6">
        <f t="shared" si="18"/>
        <v>101200000</v>
      </c>
    </row>
    <row r="510" spans="2:25" x14ac:dyDescent="0.25">
      <c r="B510" t="str">
        <f>Siam_Chart[[#This Row],[Name]]</f>
        <v>POLY</v>
      </c>
      <c r="C510">
        <f>Siam_Chart[[#This Row],[No.]]</f>
        <v>509</v>
      </c>
      <c r="D510">
        <f>Siam_Chart[[#This Row],[Last]]</f>
        <v>7.05</v>
      </c>
      <c r="E510">
        <f>Siam_Chart[[#This Row],[Chg%]]</f>
        <v>-6</v>
      </c>
      <c r="F510">
        <f>Siam_Chart[[#This Row],[Volume]]</f>
        <v>23200</v>
      </c>
      <c r="G510">
        <f>Siam_Chart[[#This Row],[Value (k)]]</f>
        <v>165630</v>
      </c>
      <c r="H510" cm="1">
        <f t="array" ref="H510:W510">Siam_Chart[[#This Row],[MCap (M)]:[CG]]</f>
        <v>3172500000</v>
      </c>
      <c r="I510">
        <v>11.07</v>
      </c>
      <c r="J510">
        <v>2.37</v>
      </c>
      <c r="K510">
        <v>0.14868999999999999</v>
      </c>
      <c r="L510">
        <v>0.3</v>
      </c>
      <c r="M510">
        <v>0.32</v>
      </c>
      <c r="N510">
        <v>20.815736999999999</v>
      </c>
      <c r="O510">
        <v>21.656652999999999</v>
      </c>
      <c r="P510">
        <v>22.974536000000001</v>
      </c>
      <c r="Q510">
        <v>8.09</v>
      </c>
      <c r="R510" t="str">
        <v/>
      </c>
      <c r="S510" t="str">
        <v/>
      </c>
      <c r="T510">
        <v>406</v>
      </c>
      <c r="U510">
        <v>370</v>
      </c>
      <c r="V510">
        <v>0.64</v>
      </c>
      <c r="W510">
        <v>3</v>
      </c>
      <c r="X510" s="5">
        <f t="shared" si="17"/>
        <v>2.9746835443037973</v>
      </c>
      <c r="Y510" s="6">
        <f t="shared" si="18"/>
        <v>450000000</v>
      </c>
    </row>
    <row r="511" spans="2:25" x14ac:dyDescent="0.25">
      <c r="B511" t="str">
        <f>Siam_Chart[[#This Row],[Name]]</f>
        <v>PORT</v>
      </c>
      <c r="C511">
        <f>Siam_Chart[[#This Row],[No.]]</f>
        <v>510</v>
      </c>
      <c r="D511">
        <f>Siam_Chart[[#This Row],[Last]]</f>
        <v>0.8</v>
      </c>
      <c r="E511">
        <f>Siam_Chart[[#This Row],[Chg%]]</f>
        <v>0</v>
      </c>
      <c r="F511">
        <f>Siam_Chart[[#This Row],[Volume]]</f>
        <v>119797</v>
      </c>
      <c r="G511">
        <f>Siam_Chart[[#This Row],[Value (k)]]</f>
        <v>96511.63</v>
      </c>
      <c r="H511" cm="1">
        <f t="array" ref="H511:W511">Siam_Chart[[#This Row],[MCap (M)]:[CG]]</f>
        <v>485762133.60000002</v>
      </c>
      <c r="I511">
        <v>105.24</v>
      </c>
      <c r="J511">
        <v>0.36</v>
      </c>
      <c r="K511">
        <v>1.237751</v>
      </c>
      <c r="L511">
        <v>2.5000000000000001E-2</v>
      </c>
      <c r="M511">
        <v>0.02</v>
      </c>
      <c r="N511">
        <v>1.9824170000000001</v>
      </c>
      <c r="O511">
        <v>0.34285199999999999</v>
      </c>
      <c r="P511">
        <v>1.963182</v>
      </c>
      <c r="Q511">
        <v>0.37</v>
      </c>
      <c r="R511" t="str">
        <v/>
      </c>
      <c r="S511" t="str">
        <v/>
      </c>
      <c r="T511">
        <v>1356</v>
      </c>
      <c r="U511">
        <v>1298</v>
      </c>
      <c r="V511">
        <v>-0.48</v>
      </c>
      <c r="W511">
        <v>5</v>
      </c>
      <c r="X511" s="5">
        <f t="shared" si="17"/>
        <v>2.2222222222222223</v>
      </c>
      <c r="Y511" s="6">
        <f t="shared" si="18"/>
        <v>607202667</v>
      </c>
    </row>
    <row r="512" spans="2:25" x14ac:dyDescent="0.25">
      <c r="B512" t="str">
        <f>Siam_Chart[[#This Row],[Name]]</f>
        <v>POWER</v>
      </c>
      <c r="C512">
        <f>Siam_Chart[[#This Row],[No.]]</f>
        <v>511</v>
      </c>
      <c r="D512">
        <f>Siam_Chart[[#This Row],[Last]]</f>
        <v>0.4</v>
      </c>
      <c r="E512">
        <f>Siam_Chart[[#This Row],[Chg%]]</f>
        <v>0</v>
      </c>
      <c r="F512">
        <f>Siam_Chart[[#This Row],[Volume]]</f>
        <v>1048500</v>
      </c>
      <c r="G512">
        <f>Siam_Chart[[#This Row],[Value (k)]]</f>
        <v>421210</v>
      </c>
      <c r="H512" cm="1">
        <f t="array" ref="H512:W512">Siam_Chart[[#This Row],[MCap (M)]:[CG]]</f>
        <v>1385871979.5999999</v>
      </c>
      <c r="I512">
        <v>1281931581.1300001</v>
      </c>
      <c r="J512">
        <v>0.68</v>
      </c>
      <c r="K512">
        <v>0.43815199999999999</v>
      </c>
      <c r="L512">
        <v>0.02</v>
      </c>
      <c r="M512">
        <v>0.02</v>
      </c>
      <c r="N512">
        <v>-60.377862999999998</v>
      </c>
      <c r="O512">
        <v>-84.985483000000002</v>
      </c>
      <c r="P512">
        <v>5.8635120000000001</v>
      </c>
      <c r="Q512">
        <v>0.63</v>
      </c>
      <c r="R512" t="str">
        <v/>
      </c>
      <c r="S512" t="str">
        <v/>
      </c>
      <c r="T512">
        <v>0</v>
      </c>
      <c r="U512">
        <v>0</v>
      </c>
      <c r="V512">
        <v>0</v>
      </c>
      <c r="W512">
        <v>4</v>
      </c>
      <c r="X512" s="5">
        <f t="shared" si="17"/>
        <v>0.58823529411764708</v>
      </c>
      <c r="Y512" s="6">
        <f t="shared" si="18"/>
        <v>3464679948.9999995</v>
      </c>
    </row>
    <row r="513" spans="2:25" x14ac:dyDescent="0.25">
      <c r="B513" t="str">
        <f>Siam_Chart[[#This Row],[Name]]</f>
        <v>PPM</v>
      </c>
      <c r="C513">
        <f>Siam_Chart[[#This Row],[No.]]</f>
        <v>512</v>
      </c>
      <c r="D513">
        <f>Siam_Chart[[#This Row],[Last]]</f>
        <v>2.02</v>
      </c>
      <c r="E513">
        <f>Siam_Chart[[#This Row],[Chg%]]</f>
        <v>0</v>
      </c>
      <c r="F513">
        <f>Siam_Chart[[#This Row],[Volume]]</f>
        <v>96300</v>
      </c>
      <c r="G513">
        <f>Siam_Chart[[#This Row],[Value (k)]]</f>
        <v>190448</v>
      </c>
      <c r="H513" cm="1">
        <f t="array" ref="H513:W513">Siam_Chart[[#This Row],[MCap (M)]:[CG]]</f>
        <v>852441440.25999999</v>
      </c>
      <c r="I513">
        <v>5.45</v>
      </c>
      <c r="J513">
        <v>0.64</v>
      </c>
      <c r="K513">
        <v>0.87041199999999996</v>
      </c>
      <c r="L513">
        <v>0.05</v>
      </c>
      <c r="M513">
        <v>0.18</v>
      </c>
      <c r="N513">
        <v>9.6600830000000002</v>
      </c>
      <c r="O513">
        <v>12.350254</v>
      </c>
      <c r="P513">
        <v>6.0126059999999999</v>
      </c>
      <c r="Q513">
        <v>2.48</v>
      </c>
      <c r="R513" t="str">
        <v/>
      </c>
      <c r="S513" t="str">
        <v/>
      </c>
      <c r="T513">
        <v>259</v>
      </c>
      <c r="U513">
        <v>233</v>
      </c>
      <c r="V513">
        <v>0.01</v>
      </c>
      <c r="W513">
        <v>0</v>
      </c>
      <c r="X513" s="5">
        <f t="shared" si="17"/>
        <v>3.15625</v>
      </c>
      <c r="Y513" s="6">
        <f t="shared" si="18"/>
        <v>422000713</v>
      </c>
    </row>
    <row r="514" spans="2:25" x14ac:dyDescent="0.25">
      <c r="B514" t="str">
        <f>Siam_Chart[[#This Row],[Name]]</f>
        <v>PPP</v>
      </c>
      <c r="C514">
        <f>Siam_Chart[[#This Row],[No.]]</f>
        <v>513</v>
      </c>
      <c r="D514">
        <f>Siam_Chart[[#This Row],[Last]]</f>
        <v>0.74</v>
      </c>
      <c r="E514">
        <f>Siam_Chart[[#This Row],[Chg%]]</f>
        <v>-2.63</v>
      </c>
      <c r="F514">
        <f>Siam_Chart[[#This Row],[Volume]]</f>
        <v>1000</v>
      </c>
      <c r="G514">
        <f>Siam_Chart[[#This Row],[Value (k)]]</f>
        <v>740</v>
      </c>
      <c r="H514" cm="1">
        <f t="array" ref="H514:W514">Siam_Chart[[#This Row],[MCap (M)]:[CG]]</f>
        <v>222000000</v>
      </c>
      <c r="I514">
        <v>219000000</v>
      </c>
      <c r="J514">
        <v>0.35</v>
      </c>
      <c r="K514">
        <v>0.52173899999999995</v>
      </c>
      <c r="L514">
        <v>-0.33</v>
      </c>
      <c r="M514">
        <v>-0.33</v>
      </c>
      <c r="N514">
        <v>-12.889305999999999</v>
      </c>
      <c r="O514">
        <v>-22.525608999999999</v>
      </c>
      <c r="P514">
        <v>-36.973784999999999</v>
      </c>
      <c r="Q514">
        <v>0.35</v>
      </c>
      <c r="R514" t="str">
        <v/>
      </c>
      <c r="S514" t="str">
        <v/>
      </c>
      <c r="T514">
        <v>0</v>
      </c>
      <c r="U514">
        <v>0</v>
      </c>
      <c r="V514">
        <v>0</v>
      </c>
      <c r="W514">
        <v>5</v>
      </c>
      <c r="X514" s="5">
        <f t="shared" si="17"/>
        <v>2.1142857142857143</v>
      </c>
      <c r="Y514" s="6">
        <f t="shared" si="18"/>
        <v>300000000</v>
      </c>
    </row>
    <row r="515" spans="2:25" x14ac:dyDescent="0.25">
      <c r="B515" t="str">
        <f>Siam_Chart[[#This Row],[Name]]</f>
        <v>PPPM</v>
      </c>
      <c r="C515">
        <f>Siam_Chart[[#This Row],[No.]]</f>
        <v>514</v>
      </c>
      <c r="D515">
        <f>Siam_Chart[[#This Row],[Last]]</f>
        <v>0.28000000000000003</v>
      </c>
      <c r="E515">
        <f>Siam_Chart[[#This Row],[Chg%]]</f>
        <v>0</v>
      </c>
      <c r="F515">
        <f>Siam_Chart[[#This Row],[Volume]]</f>
        <v>14021</v>
      </c>
      <c r="G515">
        <f>Siam_Chart[[#This Row],[Value (k)]]</f>
        <v>3771.7</v>
      </c>
      <c r="H515" cm="1">
        <f t="array" ref="H515:W515">Siam_Chart[[#This Row],[MCap (M)]:[CG]]</f>
        <v>261282256.19999999</v>
      </c>
      <c r="I515">
        <v>228486532.30000001</v>
      </c>
      <c r="J515">
        <v>0.73</v>
      </c>
      <c r="K515">
        <v>1.0602450000000001</v>
      </c>
      <c r="L515">
        <v>-0.01</v>
      </c>
      <c r="M515">
        <v>-0.01</v>
      </c>
      <c r="N515">
        <v>-29.034388</v>
      </c>
      <c r="O515">
        <v>-58.805802</v>
      </c>
      <c r="P515">
        <v>-1.5281439999999999</v>
      </c>
      <c r="Q515">
        <v>0.66</v>
      </c>
      <c r="R515" t="str">
        <v/>
      </c>
      <c r="S515" t="str">
        <v/>
      </c>
      <c r="T515">
        <v>0</v>
      </c>
      <c r="U515">
        <v>0</v>
      </c>
      <c r="V515">
        <v>0</v>
      </c>
      <c r="W515">
        <v>0</v>
      </c>
      <c r="X515" s="5">
        <f t="shared" si="17"/>
        <v>0.38356164383561647</v>
      </c>
      <c r="Y515" s="6">
        <f t="shared" si="18"/>
        <v>933150914.99999988</v>
      </c>
    </row>
    <row r="516" spans="2:25" x14ac:dyDescent="0.25">
      <c r="B516" t="str">
        <f>Siam_Chart[[#This Row],[Name]]</f>
        <v>PPS</v>
      </c>
      <c r="C516">
        <f>Siam_Chart[[#This Row],[No.]]</f>
        <v>515</v>
      </c>
      <c r="D516">
        <f>Siam_Chart[[#This Row],[Last]]</f>
        <v>0.15</v>
      </c>
      <c r="E516">
        <f>Siam_Chart[[#This Row],[Chg%]]</f>
        <v>-6.25</v>
      </c>
      <c r="F516">
        <f>Siam_Chart[[#This Row],[Volume]]</f>
        <v>312200</v>
      </c>
      <c r="G516">
        <f>Siam_Chart[[#This Row],[Value (k)]]</f>
        <v>46855</v>
      </c>
      <c r="H516" cm="1">
        <f t="array" ref="H516:W516">Siam_Chart[[#This Row],[MCap (M)]:[CG]]</f>
        <v>128978271.3</v>
      </c>
      <c r="I516">
        <v>194.92</v>
      </c>
      <c r="J516">
        <v>0.44</v>
      </c>
      <c r="K516">
        <v>0.97183299999999995</v>
      </c>
      <c r="L516">
        <v>0.01</v>
      </c>
      <c r="M516">
        <v>-0.01</v>
      </c>
      <c r="N516">
        <v>4.226458</v>
      </c>
      <c r="O516">
        <v>0.228993</v>
      </c>
      <c r="P516">
        <v>-2.755789</v>
      </c>
      <c r="Q516">
        <v>0.5</v>
      </c>
      <c r="R516" t="str">
        <v/>
      </c>
      <c r="S516" t="str">
        <v/>
      </c>
      <c r="T516">
        <v>1363</v>
      </c>
      <c r="U516">
        <v>1166</v>
      </c>
      <c r="V516">
        <v>-3.1</v>
      </c>
      <c r="W516">
        <v>5</v>
      </c>
      <c r="X516" s="5">
        <f t="shared" ref="X516:X579" si="19">IFERROR(D516/J516,0)</f>
        <v>0.34090909090909088</v>
      </c>
      <c r="Y516" s="6">
        <f t="shared" ref="Y516:Y579" si="20">IFERROR(H516/D516,0)</f>
        <v>859855142</v>
      </c>
    </row>
    <row r="517" spans="2:25" x14ac:dyDescent="0.25">
      <c r="B517" t="str">
        <f>Siam_Chart[[#This Row],[Name]]</f>
        <v>PQS</v>
      </c>
      <c r="C517">
        <f>Siam_Chart[[#This Row],[No.]]</f>
        <v>516</v>
      </c>
      <c r="D517">
        <f>Siam_Chart[[#This Row],[Last]]</f>
        <v>1.44</v>
      </c>
      <c r="E517">
        <f>Siam_Chart[[#This Row],[Chg%]]</f>
        <v>0</v>
      </c>
      <c r="F517">
        <f>Siam_Chart[[#This Row],[Volume]]</f>
        <v>82700</v>
      </c>
      <c r="G517">
        <f>Siam_Chart[[#This Row],[Value (k)]]</f>
        <v>117995</v>
      </c>
      <c r="H517" cm="1">
        <f t="array" ref="H517:W517">Siam_Chart[[#This Row],[MCap (M)]:[CG]]</f>
        <v>964800000</v>
      </c>
      <c r="I517">
        <v>951400000</v>
      </c>
      <c r="J517">
        <v>0.48</v>
      </c>
      <c r="K517">
        <v>0.37804500000000002</v>
      </c>
      <c r="L517">
        <v>0.03</v>
      </c>
      <c r="M517">
        <v>-0.03</v>
      </c>
      <c r="N517">
        <v>-3.7313670000000001</v>
      </c>
      <c r="O517">
        <v>-6.1826600000000003</v>
      </c>
      <c r="P517">
        <v>-1.6341030000000001</v>
      </c>
      <c r="Q517">
        <v>2.08</v>
      </c>
      <c r="R517" t="str">
        <v/>
      </c>
      <c r="S517" t="str">
        <v/>
      </c>
      <c r="T517">
        <v>0</v>
      </c>
      <c r="U517">
        <v>0</v>
      </c>
      <c r="V517">
        <v>0</v>
      </c>
      <c r="W517">
        <v>5</v>
      </c>
      <c r="X517" s="5">
        <f t="shared" si="19"/>
        <v>3</v>
      </c>
      <c r="Y517" s="6">
        <f t="shared" si="20"/>
        <v>670000000</v>
      </c>
    </row>
    <row r="518" spans="2:25" x14ac:dyDescent="0.25">
      <c r="B518" t="str">
        <f>Siam_Chart[[#This Row],[Name]]</f>
        <v>PR9</v>
      </c>
      <c r="C518">
        <f>Siam_Chart[[#This Row],[No.]]</f>
        <v>517</v>
      </c>
      <c r="D518">
        <f>Siam_Chart[[#This Row],[Last]]</f>
        <v>18.600000000000001</v>
      </c>
      <c r="E518">
        <f>Siam_Chart[[#This Row],[Chg%]]</f>
        <v>0.54</v>
      </c>
      <c r="F518">
        <f>Siam_Chart[[#This Row],[Volume]]</f>
        <v>3088537</v>
      </c>
      <c r="G518">
        <f>Siam_Chart[[#This Row],[Value (k)]]</f>
        <v>57656770.5</v>
      </c>
      <c r="H518" cm="1">
        <f t="array" ref="H518:W518">Siam_Chart[[#This Row],[MCap (M)]:[CG]]</f>
        <v>14625180000</v>
      </c>
      <c r="I518">
        <v>18.079999999999998</v>
      </c>
      <c r="J518">
        <v>2.4300000000000002</v>
      </c>
      <c r="K518">
        <v>0.19261</v>
      </c>
      <c r="L518">
        <v>0.2</v>
      </c>
      <c r="M518">
        <v>0.47</v>
      </c>
      <c r="N518">
        <v>14.338043000000001</v>
      </c>
      <c r="O518">
        <v>13.910033</v>
      </c>
      <c r="P518">
        <v>13.921163</v>
      </c>
      <c r="Q518">
        <v>2.69</v>
      </c>
      <c r="R518" t="str">
        <v/>
      </c>
      <c r="S518" t="str">
        <v/>
      </c>
      <c r="T518">
        <v>679</v>
      </c>
      <c r="U518">
        <v>587</v>
      </c>
      <c r="V518">
        <v>0.41</v>
      </c>
      <c r="W518">
        <v>5</v>
      </c>
      <c r="X518" s="5">
        <f t="shared" si="19"/>
        <v>7.6543209876543212</v>
      </c>
      <c r="Y518" s="6">
        <f t="shared" si="20"/>
        <v>786299999.99999988</v>
      </c>
    </row>
    <row r="519" spans="2:25" x14ac:dyDescent="0.25">
      <c r="B519" t="str">
        <f>Siam_Chart[[#This Row],[Name]]</f>
        <v>PRAKIT</v>
      </c>
      <c r="C519">
        <f>Siam_Chart[[#This Row],[No.]]</f>
        <v>518</v>
      </c>
      <c r="D519">
        <f>Siam_Chart[[#This Row],[Last]]</f>
        <v>10.3</v>
      </c>
      <c r="E519">
        <f>Siam_Chart[[#This Row],[Chg%]]</f>
        <v>3</v>
      </c>
      <c r="F519">
        <f>Siam_Chart[[#This Row],[Volume]]</f>
        <v>90400</v>
      </c>
      <c r="G519">
        <f>Siam_Chart[[#This Row],[Value (k)]]</f>
        <v>910710</v>
      </c>
      <c r="H519" cm="1">
        <f t="array" ref="H519:W519">Siam_Chart[[#This Row],[MCap (M)]:[CG]]</f>
        <v>610547646.20000005</v>
      </c>
      <c r="I519">
        <v>604502620</v>
      </c>
      <c r="J519">
        <v>0.91</v>
      </c>
      <c r="K519">
        <v>0.50080000000000002</v>
      </c>
      <c r="L519">
        <v>0.9</v>
      </c>
      <c r="M519">
        <v>-0.56999999999999995</v>
      </c>
      <c r="N519">
        <v>-1.4328399999999999</v>
      </c>
      <c r="O519">
        <v>-5.2203840000000001</v>
      </c>
      <c r="P519">
        <v>-16.427503000000002</v>
      </c>
      <c r="Q519">
        <v>8.91</v>
      </c>
      <c r="R519" t="str">
        <v/>
      </c>
      <c r="S519" t="str">
        <v/>
      </c>
      <c r="T519">
        <v>0</v>
      </c>
      <c r="U519">
        <v>0</v>
      </c>
      <c r="V519">
        <v>0</v>
      </c>
      <c r="W519">
        <v>3</v>
      </c>
      <c r="X519" s="5">
        <f t="shared" si="19"/>
        <v>11.318681318681319</v>
      </c>
      <c r="Y519" s="6">
        <f t="shared" si="20"/>
        <v>59276470.504854366</v>
      </c>
    </row>
    <row r="520" spans="2:25" x14ac:dyDescent="0.25">
      <c r="B520" t="str">
        <f>Siam_Chart[[#This Row],[Name]]</f>
        <v>PRAPAT</v>
      </c>
      <c r="C520">
        <f>Siam_Chart[[#This Row],[No.]]</f>
        <v>519</v>
      </c>
      <c r="D520">
        <f>Siam_Chart[[#This Row],[Last]]</f>
        <v>0.89</v>
      </c>
      <c r="E520">
        <f>Siam_Chart[[#This Row],[Chg%]]</f>
        <v>-1.1100000000000001</v>
      </c>
      <c r="F520">
        <f>Siam_Chart[[#This Row],[Volume]]</f>
        <v>1077400</v>
      </c>
      <c r="G520">
        <f>Siam_Chart[[#This Row],[Value (k)]]</f>
        <v>982385</v>
      </c>
      <c r="H520" cm="1">
        <f t="array" ref="H520:W520">Siam_Chart[[#This Row],[MCap (M)]:[CG]]</f>
        <v>380790804.04000002</v>
      </c>
      <c r="I520">
        <v>9.2799999999999994</v>
      </c>
      <c r="J520">
        <v>0.67</v>
      </c>
      <c r="K520">
        <v>1.449422</v>
      </c>
      <c r="L520">
        <v>0.04</v>
      </c>
      <c r="M520">
        <v>0.05</v>
      </c>
      <c r="N520">
        <v>5.6134940000000002</v>
      </c>
      <c r="O520">
        <v>7.3424680000000002</v>
      </c>
      <c r="P520">
        <v>3.7028889999999999</v>
      </c>
      <c r="Q520">
        <v>4.49</v>
      </c>
      <c r="R520" t="str">
        <v/>
      </c>
      <c r="S520" t="str">
        <v/>
      </c>
      <c r="T520">
        <v>667</v>
      </c>
      <c r="U520">
        <v>645</v>
      </c>
      <c r="V520">
        <v>-0.18</v>
      </c>
      <c r="W520">
        <v>3</v>
      </c>
      <c r="X520" s="5">
        <f t="shared" si="19"/>
        <v>1.3283582089552237</v>
      </c>
      <c r="Y520" s="6">
        <f t="shared" si="20"/>
        <v>427854836</v>
      </c>
    </row>
    <row r="521" spans="2:25" x14ac:dyDescent="0.25">
      <c r="B521" t="str">
        <f>Siam_Chart[[#This Row],[Name]]</f>
        <v>PREB</v>
      </c>
      <c r="C521">
        <f>Siam_Chart[[#This Row],[No.]]</f>
        <v>520</v>
      </c>
      <c r="D521">
        <f>Siam_Chart[[#This Row],[Last]]</f>
        <v>3.44</v>
      </c>
      <c r="E521">
        <f>Siam_Chart[[#This Row],[Chg%]]</f>
        <v>-0.57999999999999996</v>
      </c>
      <c r="F521">
        <f>Siam_Chart[[#This Row],[Volume]]</f>
        <v>5600</v>
      </c>
      <c r="G521">
        <f>Siam_Chart[[#This Row],[Value (k)]]</f>
        <v>19160</v>
      </c>
      <c r="H521" cm="1">
        <f t="array" ref="H521:W521">Siam_Chart[[#This Row],[MCap (M)]:[CG]]</f>
        <v>1061847029.28</v>
      </c>
      <c r="I521">
        <v>5.0999999999999996</v>
      </c>
      <c r="J521">
        <v>0.4</v>
      </c>
      <c r="K521">
        <v>1.245879</v>
      </c>
      <c r="L521">
        <v>0.2</v>
      </c>
      <c r="M521">
        <v>0.21</v>
      </c>
      <c r="N521">
        <v>5.5140900000000004</v>
      </c>
      <c r="O521">
        <v>8.0080329999999993</v>
      </c>
      <c r="P521">
        <v>2.3107679999999999</v>
      </c>
      <c r="Q521">
        <v>5.81</v>
      </c>
      <c r="R521" t="str">
        <v/>
      </c>
      <c r="S521" t="str">
        <v/>
      </c>
      <c r="T521">
        <v>386</v>
      </c>
      <c r="U521">
        <v>433</v>
      </c>
      <c r="V521">
        <v>1.01</v>
      </c>
      <c r="W521">
        <v>4</v>
      </c>
      <c r="X521" s="5">
        <f t="shared" si="19"/>
        <v>8.6</v>
      </c>
      <c r="Y521" s="6">
        <f t="shared" si="20"/>
        <v>308676462</v>
      </c>
    </row>
    <row r="522" spans="2:25" x14ac:dyDescent="0.25">
      <c r="B522" t="str">
        <f>Siam_Chart[[#This Row],[Name]]</f>
        <v>PRECHA</v>
      </c>
      <c r="C522">
        <f>Siam_Chart[[#This Row],[No.]]</f>
        <v>521</v>
      </c>
      <c r="D522">
        <f>Siam_Chart[[#This Row],[Last]]</f>
        <v>0.44</v>
      </c>
      <c r="E522">
        <f>Siam_Chart[[#This Row],[Chg%]]</f>
        <v>0</v>
      </c>
      <c r="F522">
        <f>Siam_Chart[[#This Row],[Volume]]</f>
        <v>51900</v>
      </c>
      <c r="G522">
        <f>Siam_Chart[[#This Row],[Value (k)]]</f>
        <v>23157</v>
      </c>
      <c r="H522" cm="1">
        <f t="array" ref="H522:W522">Siam_Chart[[#This Row],[MCap (M)]:[CG]]</f>
        <v>151200000</v>
      </c>
      <c r="I522">
        <v>154560000</v>
      </c>
      <c r="J522">
        <v>0.79</v>
      </c>
      <c r="K522">
        <v>1.6373</v>
      </c>
      <c r="L522">
        <v>-0.11</v>
      </c>
      <c r="M522">
        <v>-0.11</v>
      </c>
      <c r="N522">
        <v>-17.2788</v>
      </c>
      <c r="O522">
        <v>-41.538034000000003</v>
      </c>
      <c r="P522">
        <v>-30.498201999999999</v>
      </c>
      <c r="Q522">
        <v>0.8</v>
      </c>
      <c r="R522" t="str">
        <v/>
      </c>
      <c r="S522" t="str">
        <v/>
      </c>
      <c r="T522">
        <v>0</v>
      </c>
      <c r="U522">
        <v>0</v>
      </c>
      <c r="V522">
        <v>0</v>
      </c>
      <c r="W522">
        <v>0</v>
      </c>
      <c r="X522" s="5">
        <f t="shared" si="19"/>
        <v>0.55696202531645567</v>
      </c>
      <c r="Y522" s="6">
        <f t="shared" si="20"/>
        <v>343636363.63636363</v>
      </c>
    </row>
    <row r="523" spans="2:25" x14ac:dyDescent="0.25">
      <c r="B523" t="str">
        <f>Siam_Chart[[#This Row],[Name]]</f>
        <v>PRG</v>
      </c>
      <c r="C523">
        <f>Siam_Chart[[#This Row],[No.]]</f>
        <v>522</v>
      </c>
      <c r="D523">
        <f>Siam_Chart[[#This Row],[Last]]</f>
        <v>11</v>
      </c>
      <c r="E523">
        <f>Siam_Chart[[#This Row],[Chg%]]</f>
        <v>0</v>
      </c>
      <c r="F523">
        <f>Siam_Chart[[#This Row],[Volume]]</f>
        <v>2800</v>
      </c>
      <c r="G523">
        <f>Siam_Chart[[#This Row],[Value (k)]]</f>
        <v>31130</v>
      </c>
      <c r="H523" cm="1">
        <f t="array" ref="H523:W523">Siam_Chart[[#This Row],[MCap (M)]:[CG]]</f>
        <v>8409477054</v>
      </c>
      <c r="I523">
        <v>12.71</v>
      </c>
      <c r="J523">
        <v>0.8</v>
      </c>
      <c r="K523">
        <v>0.23871200000000001</v>
      </c>
      <c r="L523">
        <v>0.38</v>
      </c>
      <c r="M523">
        <v>0.47</v>
      </c>
      <c r="N523">
        <v>5.4933990000000001</v>
      </c>
      <c r="O523">
        <v>6.7040889999999997</v>
      </c>
      <c r="P523">
        <v>23.853209</v>
      </c>
      <c r="Q523">
        <v>6.9</v>
      </c>
      <c r="R523" t="str">
        <v/>
      </c>
      <c r="S523" t="str">
        <v/>
      </c>
      <c r="T523">
        <v>869</v>
      </c>
      <c r="U523">
        <v>842</v>
      </c>
      <c r="V523">
        <v>0.85</v>
      </c>
      <c r="W523">
        <v>5</v>
      </c>
      <c r="X523" s="5">
        <f t="shared" si="19"/>
        <v>13.75</v>
      </c>
      <c r="Y523" s="6">
        <f t="shared" si="20"/>
        <v>764497914</v>
      </c>
    </row>
    <row r="524" spans="2:25" x14ac:dyDescent="0.25">
      <c r="B524" t="str">
        <f>Siam_Chart[[#This Row],[Name]]</f>
        <v>PRI</v>
      </c>
      <c r="C524">
        <f>Siam_Chart[[#This Row],[No.]]</f>
        <v>523</v>
      </c>
      <c r="D524">
        <f>Siam_Chart[[#This Row],[Last]]</f>
        <v>3.48</v>
      </c>
      <c r="E524">
        <f>Siam_Chart[[#This Row],[Chg%]]</f>
        <v>-0.56999999999999995</v>
      </c>
      <c r="F524">
        <f>Siam_Chart[[#This Row],[Volume]]</f>
        <v>67200</v>
      </c>
      <c r="G524">
        <f>Siam_Chart[[#This Row],[Value (k)]]</f>
        <v>234924</v>
      </c>
      <c r="H524" cm="1">
        <f t="array" ref="H524:W524">Siam_Chart[[#This Row],[MCap (M)]:[CG]]</f>
        <v>1113600000</v>
      </c>
      <c r="I524">
        <v>7.03</v>
      </c>
      <c r="J524">
        <v>0.69</v>
      </c>
      <c r="K524">
        <v>0.38351000000000002</v>
      </c>
      <c r="L524">
        <v>0.1875</v>
      </c>
      <c r="M524">
        <v>0.19</v>
      </c>
      <c r="N524">
        <v>10.500591999999999</v>
      </c>
      <c r="O524">
        <v>10.149111</v>
      </c>
      <c r="P524">
        <v>9.2510630000000003</v>
      </c>
      <c r="Q524">
        <v>14.37</v>
      </c>
      <c r="R524" t="str">
        <v/>
      </c>
      <c r="S524" t="str">
        <v/>
      </c>
      <c r="T524">
        <v>389</v>
      </c>
      <c r="U524">
        <v>263</v>
      </c>
      <c r="V524">
        <v>-4.3600000000000003</v>
      </c>
      <c r="W524">
        <v>4</v>
      </c>
      <c r="X524" s="5">
        <f t="shared" si="19"/>
        <v>5.0434782608695654</v>
      </c>
      <c r="Y524" s="6">
        <f t="shared" si="20"/>
        <v>320000000</v>
      </c>
    </row>
    <row r="525" spans="2:25" x14ac:dyDescent="0.25">
      <c r="B525" t="str">
        <f>Siam_Chart[[#This Row],[Name]]</f>
        <v>PRIME</v>
      </c>
      <c r="C525">
        <f>Siam_Chart[[#This Row],[No.]]</f>
        <v>524</v>
      </c>
      <c r="D525">
        <f>Siam_Chart[[#This Row],[Last]]</f>
        <v>0.05</v>
      </c>
      <c r="E525">
        <f>Siam_Chart[[#This Row],[Chg%]]</f>
        <v>0</v>
      </c>
      <c r="F525">
        <f>Siam_Chart[[#This Row],[Volume]]</f>
        <v>1262000</v>
      </c>
      <c r="G525">
        <f>Siam_Chart[[#This Row],[Value (k)]]</f>
        <v>63243</v>
      </c>
      <c r="H525" cm="1">
        <f t="array" ref="H525:W525">Siam_Chart[[#This Row],[MCap (M)]:[CG]]</f>
        <v>212724275.75</v>
      </c>
      <c r="I525">
        <v>255269130.90000001</v>
      </c>
      <c r="J525">
        <v>0.12</v>
      </c>
      <c r="K525">
        <v>1.8669</v>
      </c>
      <c r="L525">
        <v>0.04</v>
      </c>
      <c r="M525">
        <v>0.04</v>
      </c>
      <c r="N525">
        <v>0.69444499999999998</v>
      </c>
      <c r="O525">
        <v>-0.19800200000000001</v>
      </c>
      <c r="P525">
        <v>66.064836</v>
      </c>
      <c r="Q525">
        <v>0.14000000000000001</v>
      </c>
      <c r="R525" t="str">
        <v/>
      </c>
      <c r="S525" t="str">
        <v/>
      </c>
      <c r="T525">
        <v>530</v>
      </c>
      <c r="U525">
        <v>613</v>
      </c>
      <c r="V525">
        <v>-0.01</v>
      </c>
      <c r="W525">
        <v>4</v>
      </c>
      <c r="X525" s="5">
        <f t="shared" si="19"/>
        <v>0.41666666666666669</v>
      </c>
      <c r="Y525" s="6">
        <f t="shared" si="20"/>
        <v>4254485515</v>
      </c>
    </row>
    <row r="526" spans="2:25" x14ac:dyDescent="0.25">
      <c r="B526" t="str">
        <f>Siam_Chart[[#This Row],[Name]]</f>
        <v>PRIN</v>
      </c>
      <c r="C526">
        <f>Siam_Chart[[#This Row],[No.]]</f>
        <v>525</v>
      </c>
      <c r="D526">
        <f>Siam_Chart[[#This Row],[Last]]</f>
        <v>1.35</v>
      </c>
      <c r="E526">
        <f>Siam_Chart[[#This Row],[Chg%]]</f>
        <v>-0.74</v>
      </c>
      <c r="F526">
        <f>Siam_Chart[[#This Row],[Volume]]</f>
        <v>20300</v>
      </c>
      <c r="G526">
        <f>Siam_Chart[[#This Row],[Value (k)]]</f>
        <v>27414</v>
      </c>
      <c r="H526" cm="1">
        <f t="array" ref="H526:W526">Siam_Chart[[#This Row],[MCap (M)]:[CG]]</f>
        <v>1647015869.25</v>
      </c>
      <c r="I526">
        <v>27.79</v>
      </c>
      <c r="J526">
        <v>0.3</v>
      </c>
      <c r="K526">
        <v>1.178901</v>
      </c>
      <c r="L526">
        <v>9.7000000000000003E-2</v>
      </c>
      <c r="M526">
        <v>0.03</v>
      </c>
      <c r="N526">
        <v>1.590284</v>
      </c>
      <c r="O526">
        <v>1.0926389999999999</v>
      </c>
      <c r="P526">
        <v>3.5473089999999998</v>
      </c>
      <c r="Q526">
        <v>0.3</v>
      </c>
      <c r="R526" t="str">
        <v/>
      </c>
      <c r="S526" t="str">
        <v/>
      </c>
      <c r="T526">
        <v>1235</v>
      </c>
      <c r="U526">
        <v>1233</v>
      </c>
      <c r="V526">
        <v>-0.78</v>
      </c>
      <c r="W526">
        <v>4</v>
      </c>
      <c r="X526" s="5">
        <f t="shared" si="19"/>
        <v>4.5000000000000009</v>
      </c>
      <c r="Y526" s="6">
        <f t="shared" si="20"/>
        <v>1220011755</v>
      </c>
    </row>
    <row r="527" spans="2:25" x14ac:dyDescent="0.25">
      <c r="B527" t="str">
        <f>Siam_Chart[[#This Row],[Name]]</f>
        <v>PRINC</v>
      </c>
      <c r="C527">
        <f>Siam_Chart[[#This Row],[No.]]</f>
        <v>526</v>
      </c>
      <c r="D527">
        <f>Siam_Chart[[#This Row],[Last]]</f>
        <v>1.71</v>
      </c>
      <c r="E527">
        <f>Siam_Chart[[#This Row],[Chg%]]</f>
        <v>-0.57999999999999996</v>
      </c>
      <c r="F527">
        <f>Siam_Chart[[#This Row],[Volume]]</f>
        <v>76500</v>
      </c>
      <c r="G527">
        <f>Siam_Chart[[#This Row],[Value (k)]]</f>
        <v>131360</v>
      </c>
      <c r="H527" cm="1">
        <f t="array" ref="H527:W527">Siam_Chart[[#This Row],[MCap (M)]:[CG]]</f>
        <v>6512655558.4200001</v>
      </c>
      <c r="I527">
        <v>6512655558.4200001</v>
      </c>
      <c r="J527">
        <v>0.77</v>
      </c>
      <c r="K527">
        <v>0.729989</v>
      </c>
      <c r="L527">
        <v>1.2E-2</v>
      </c>
      <c r="M527">
        <v>-7.0000000000000007E-2</v>
      </c>
      <c r="N527">
        <v>-1.4991909999999999</v>
      </c>
      <c r="O527">
        <v>-4.7359359999999997</v>
      </c>
      <c r="P527">
        <v>-8.902787</v>
      </c>
      <c r="Q527">
        <v>0.7</v>
      </c>
      <c r="R527" t="str">
        <v/>
      </c>
      <c r="S527" t="str">
        <v/>
      </c>
      <c r="T527">
        <v>0</v>
      </c>
      <c r="U527">
        <v>0</v>
      </c>
      <c r="V527">
        <v>0</v>
      </c>
      <c r="W527">
        <v>4</v>
      </c>
      <c r="X527" s="5">
        <f t="shared" si="19"/>
        <v>2.2207792207792205</v>
      </c>
      <c r="Y527" s="6">
        <f t="shared" si="20"/>
        <v>3808570502</v>
      </c>
    </row>
    <row r="528" spans="2:25" x14ac:dyDescent="0.25">
      <c r="B528" t="str">
        <f>Siam_Chart[[#This Row],[Name]]</f>
        <v>PRM</v>
      </c>
      <c r="C528">
        <f>Siam_Chart[[#This Row],[No.]]</f>
        <v>527</v>
      </c>
      <c r="D528">
        <f>Siam_Chart[[#This Row],[Last]]</f>
        <v>9.5</v>
      </c>
      <c r="E528">
        <f>Siam_Chart[[#This Row],[Chg%]]</f>
        <v>-2.06</v>
      </c>
      <c r="F528">
        <f>Siam_Chart[[#This Row],[Volume]]</f>
        <v>4420273</v>
      </c>
      <c r="G528">
        <f>Siam_Chart[[#This Row],[Value (k)]]</f>
        <v>42301790.100000001</v>
      </c>
      <c r="H528" cm="1">
        <f t="array" ref="H528:W528">Siam_Chart[[#This Row],[MCap (M)]:[CG]]</f>
        <v>21090000000</v>
      </c>
      <c r="I528">
        <v>9.7799999999999994</v>
      </c>
      <c r="J528">
        <v>1.72</v>
      </c>
      <c r="K528">
        <v>0.82179100000000005</v>
      </c>
      <c r="L528">
        <v>0.2</v>
      </c>
      <c r="M528">
        <v>0.53</v>
      </c>
      <c r="N528">
        <v>11.615174</v>
      </c>
      <c r="O528">
        <v>18.243387999999999</v>
      </c>
      <c r="P528">
        <v>26.48855</v>
      </c>
      <c r="Q528">
        <v>5.26</v>
      </c>
      <c r="R528" t="str">
        <v/>
      </c>
      <c r="S528" t="str">
        <v/>
      </c>
      <c r="T528">
        <v>417</v>
      </c>
      <c r="U528">
        <v>447</v>
      </c>
      <c r="V528">
        <v>0.8</v>
      </c>
      <c r="W528">
        <v>5</v>
      </c>
      <c r="X528" s="5">
        <f t="shared" si="19"/>
        <v>5.5232558139534884</v>
      </c>
      <c r="Y528" s="6">
        <f t="shared" si="20"/>
        <v>2220000000</v>
      </c>
    </row>
    <row r="529" spans="2:25" x14ac:dyDescent="0.25">
      <c r="B529" t="str">
        <f>Siam_Chart[[#This Row],[Name]]</f>
        <v>PROEN</v>
      </c>
      <c r="C529">
        <f>Siam_Chart[[#This Row],[No.]]</f>
        <v>528</v>
      </c>
      <c r="D529">
        <f>Siam_Chart[[#This Row],[Last]]</f>
        <v>0.86</v>
      </c>
      <c r="E529">
        <f>Siam_Chart[[#This Row],[Chg%]]</f>
        <v>-5.49</v>
      </c>
      <c r="F529">
        <f>Siam_Chart[[#This Row],[Volume]]</f>
        <v>3882601</v>
      </c>
      <c r="G529">
        <f>Siam_Chart[[#This Row],[Value (k)]]</f>
        <v>3400612.88</v>
      </c>
      <c r="H529" cm="1">
        <f t="array" ref="H529:W529">Siam_Chart[[#This Row],[MCap (M)]:[CG]]</f>
        <v>337608539.33999997</v>
      </c>
      <c r="I529">
        <v>365088304.17000002</v>
      </c>
      <c r="J529">
        <v>0.62</v>
      </c>
      <c r="K529">
        <v>1.0991299999999999</v>
      </c>
      <c r="L529">
        <v>0.12</v>
      </c>
      <c r="M529">
        <v>-0.09</v>
      </c>
      <c r="N529">
        <v>-2.2424590000000002</v>
      </c>
      <c r="O529">
        <v>-8.7008109999999999</v>
      </c>
      <c r="P529">
        <v>-18.964447</v>
      </c>
      <c r="Q529">
        <v>0.67</v>
      </c>
      <c r="R529" t="str">
        <v/>
      </c>
      <c r="S529" t="str">
        <v/>
      </c>
      <c r="T529">
        <v>0</v>
      </c>
      <c r="U529">
        <v>0</v>
      </c>
      <c r="V529">
        <v>0</v>
      </c>
      <c r="W529">
        <v>3</v>
      </c>
      <c r="X529" s="5">
        <f t="shared" si="19"/>
        <v>1.3870967741935483</v>
      </c>
      <c r="Y529" s="6">
        <f t="shared" si="20"/>
        <v>392568069</v>
      </c>
    </row>
    <row r="530" spans="2:25" x14ac:dyDescent="0.25">
      <c r="B530" t="str">
        <f>Siam_Chart[[#This Row],[Name]]</f>
        <v>PROS</v>
      </c>
      <c r="C530">
        <f>Siam_Chart[[#This Row],[No.]]</f>
        <v>529</v>
      </c>
      <c r="D530">
        <f>Siam_Chart[[#This Row],[Last]]</f>
        <v>0.16</v>
      </c>
      <c r="E530">
        <f>Siam_Chart[[#This Row],[Chg%]]</f>
        <v>6.67</v>
      </c>
      <c r="F530">
        <f>Siam_Chart[[#This Row],[Volume]]</f>
        <v>701500</v>
      </c>
      <c r="G530">
        <f>Siam_Chart[[#This Row],[Value (k)]]</f>
        <v>110661</v>
      </c>
      <c r="H530" cm="1">
        <f t="array" ref="H530:W530">Siam_Chart[[#This Row],[MCap (M)]:[CG]]</f>
        <v>96000000</v>
      </c>
      <c r="I530">
        <v>102000000</v>
      </c>
      <c r="J530">
        <v>1.86</v>
      </c>
      <c r="K530">
        <v>9.2548290000000009</v>
      </c>
      <c r="L530">
        <v>0.03</v>
      </c>
      <c r="M530">
        <v>-0.09</v>
      </c>
      <c r="N530">
        <v>-26.410301</v>
      </c>
      <c r="O530">
        <v>-154.31866600000001</v>
      </c>
      <c r="P530">
        <v>-22.778683000000001</v>
      </c>
      <c r="Q530">
        <v>1.97</v>
      </c>
      <c r="R530" t="str">
        <v/>
      </c>
      <c r="S530" t="str">
        <v/>
      </c>
      <c r="T530">
        <v>0</v>
      </c>
      <c r="U530">
        <v>0</v>
      </c>
      <c r="V530">
        <v>0</v>
      </c>
      <c r="W530">
        <v>3</v>
      </c>
      <c r="X530" s="5">
        <f t="shared" si="19"/>
        <v>8.6021505376344079E-2</v>
      </c>
      <c r="Y530" s="6">
        <f t="shared" si="20"/>
        <v>600000000</v>
      </c>
    </row>
    <row r="531" spans="2:25" x14ac:dyDescent="0.25">
      <c r="B531" t="str">
        <f>Siam_Chart[[#This Row],[Name]]</f>
        <v>PROUD</v>
      </c>
      <c r="C531">
        <f>Siam_Chart[[#This Row],[No.]]</f>
        <v>530</v>
      </c>
      <c r="D531">
        <f>Siam_Chart[[#This Row],[Last]]</f>
        <v>1.2</v>
      </c>
      <c r="E531">
        <f>Siam_Chart[[#This Row],[Chg%]]</f>
        <v>0</v>
      </c>
      <c r="F531">
        <f>Siam_Chart[[#This Row],[Volume]]</f>
        <v>675900</v>
      </c>
      <c r="G531">
        <f>Siam_Chart[[#This Row],[Value (k)]]</f>
        <v>819062</v>
      </c>
      <c r="H531" cm="1">
        <f t="array" ref="H531:W531">Siam_Chart[[#This Row],[MCap (M)]:[CG]]</f>
        <v>1168816812</v>
      </c>
      <c r="I531">
        <v>4.8899999999999997</v>
      </c>
      <c r="J531">
        <v>0.65</v>
      </c>
      <c r="K531">
        <v>2.3618519999999998</v>
      </c>
      <c r="L531">
        <v>0.09</v>
      </c>
      <c r="M531">
        <v>0.17</v>
      </c>
      <c r="N531">
        <v>6.5429789999999999</v>
      </c>
      <c r="O531">
        <v>13.803065</v>
      </c>
      <c r="P531">
        <v>5.3691230000000001</v>
      </c>
      <c r="Q531">
        <v>7.5</v>
      </c>
      <c r="R531" t="str">
        <v/>
      </c>
      <c r="S531" t="str">
        <v/>
      </c>
      <c r="T531">
        <v>392</v>
      </c>
      <c r="U531">
        <v>507</v>
      </c>
      <c r="V531">
        <v>-0.11</v>
      </c>
      <c r="W531">
        <v>4</v>
      </c>
      <c r="X531" s="5">
        <f t="shared" si="19"/>
        <v>1.846153846153846</v>
      </c>
      <c r="Y531" s="6">
        <f t="shared" si="20"/>
        <v>974014010</v>
      </c>
    </row>
    <row r="532" spans="2:25" x14ac:dyDescent="0.25">
      <c r="B532" t="str">
        <f>Siam_Chart[[#This Row],[Name]]</f>
        <v>PRTR</v>
      </c>
      <c r="C532">
        <f>Siam_Chart[[#This Row],[No.]]</f>
        <v>531</v>
      </c>
      <c r="D532">
        <f>Siam_Chart[[#This Row],[Last]]</f>
        <v>3.3</v>
      </c>
      <c r="E532">
        <f>Siam_Chart[[#This Row],[Chg%]]</f>
        <v>0.61</v>
      </c>
      <c r="F532">
        <f>Siam_Chart[[#This Row],[Volume]]</f>
        <v>102100</v>
      </c>
      <c r="G532">
        <f>Siam_Chart[[#This Row],[Value (k)]]</f>
        <v>336808</v>
      </c>
      <c r="H532" cm="1">
        <f t="array" ref="H532:W532">Siam_Chart[[#This Row],[MCap (M)]:[CG]]</f>
        <v>1980000000</v>
      </c>
      <c r="I532">
        <v>9.67</v>
      </c>
      <c r="J532">
        <v>1.21</v>
      </c>
      <c r="K532">
        <v>0.45378299999999999</v>
      </c>
      <c r="L532">
        <v>0.1</v>
      </c>
      <c r="M532">
        <v>0.17</v>
      </c>
      <c r="N532">
        <v>10.710334</v>
      </c>
      <c r="O532">
        <v>12.55885</v>
      </c>
      <c r="P532">
        <v>2.5584099999999999</v>
      </c>
      <c r="Q532">
        <v>9.09</v>
      </c>
      <c r="R532" t="str">
        <v/>
      </c>
      <c r="S532" t="str">
        <v/>
      </c>
      <c r="T532">
        <v>434</v>
      </c>
      <c r="U532">
        <v>384</v>
      </c>
      <c r="V532">
        <v>4.09</v>
      </c>
      <c r="W532">
        <v>5</v>
      </c>
      <c r="X532" s="5">
        <f t="shared" si="19"/>
        <v>2.7272727272727271</v>
      </c>
      <c r="Y532" s="6">
        <f t="shared" si="20"/>
        <v>600000000</v>
      </c>
    </row>
    <row r="533" spans="2:25" x14ac:dyDescent="0.25">
      <c r="B533" t="str">
        <f>Siam_Chart[[#This Row],[Name]]</f>
        <v>PSGC</v>
      </c>
      <c r="C533">
        <f>Siam_Chart[[#This Row],[No.]]</f>
        <v>532</v>
      </c>
      <c r="D533">
        <f>Siam_Chart[[#This Row],[Last]]</f>
        <v>5.85</v>
      </c>
      <c r="E533">
        <f>Siam_Chart[[#This Row],[Chg%]]</f>
        <v>-0.85</v>
      </c>
      <c r="F533">
        <f>Siam_Chart[[#This Row],[Volume]]</f>
        <v>28911</v>
      </c>
      <c r="G533">
        <f>Siam_Chart[[#This Row],[Value (k)]]</f>
        <v>169767.2</v>
      </c>
      <c r="H533" cm="1">
        <f t="array" ref="H533:W533">Siam_Chart[[#This Row],[MCap (M)]:[CG]]</f>
        <v>13020745315.5</v>
      </c>
      <c r="I533">
        <v>17.41</v>
      </c>
      <c r="J533">
        <v>2.42</v>
      </c>
      <c r="K533">
        <v>1.0314829999999999</v>
      </c>
      <c r="L533">
        <v>0.22</v>
      </c>
      <c r="M533">
        <v>0.22</v>
      </c>
      <c r="N533">
        <v>14.270833</v>
      </c>
      <c r="O533">
        <v>15.000085</v>
      </c>
      <c r="P533">
        <v>8.815728</v>
      </c>
      <c r="Q533">
        <v>2.5499999999999998</v>
      </c>
      <c r="R533" t="str">
        <v/>
      </c>
      <c r="S533" t="str">
        <v/>
      </c>
      <c r="T533">
        <v>829</v>
      </c>
      <c r="U533">
        <v>774</v>
      </c>
      <c r="V533">
        <v>-0.1</v>
      </c>
      <c r="W533">
        <v>4</v>
      </c>
      <c r="X533" s="5">
        <f t="shared" si="19"/>
        <v>2.4173553719008263</v>
      </c>
      <c r="Y533" s="6">
        <f t="shared" si="20"/>
        <v>2225768430</v>
      </c>
    </row>
    <row r="534" spans="2:25" x14ac:dyDescent="0.25">
      <c r="B534" t="str">
        <f>Siam_Chart[[#This Row],[Name]]</f>
        <v>PSH</v>
      </c>
      <c r="C534">
        <f>Siam_Chart[[#This Row],[No.]]</f>
        <v>533</v>
      </c>
      <c r="D534">
        <f>Siam_Chart[[#This Row],[Last]]</f>
        <v>3.94</v>
      </c>
      <c r="E534">
        <f>Siam_Chart[[#This Row],[Chg%]]</f>
        <v>-2.48</v>
      </c>
      <c r="F534">
        <f>Siam_Chart[[#This Row],[Volume]]</f>
        <v>671293</v>
      </c>
      <c r="G534">
        <f>Siam_Chart[[#This Row],[Value (k)]]</f>
        <v>2672273.62</v>
      </c>
      <c r="H534" cm="1">
        <f t="array" ref="H534:W534">Siam_Chart[[#This Row],[MCap (M)]:[CG]]</f>
        <v>8622709392.6800003</v>
      </c>
      <c r="I534">
        <v>8885329983.3199997</v>
      </c>
      <c r="J534">
        <v>0.22</v>
      </c>
      <c r="K534">
        <v>0.42587900000000001</v>
      </c>
      <c r="L534">
        <v>0.05</v>
      </c>
      <c r="M534">
        <v>0.09</v>
      </c>
      <c r="N534">
        <v>0.32962900000000001</v>
      </c>
      <c r="O534">
        <v>-1.066325</v>
      </c>
      <c r="P534">
        <v>2.8637609999999998</v>
      </c>
      <c r="Q534">
        <v>2.79</v>
      </c>
      <c r="R534" t="str">
        <v/>
      </c>
      <c r="S534" t="str">
        <v/>
      </c>
      <c r="T534">
        <v>0</v>
      </c>
      <c r="U534">
        <v>0</v>
      </c>
      <c r="V534">
        <v>0</v>
      </c>
      <c r="W534">
        <v>5</v>
      </c>
      <c r="X534" s="5">
        <f t="shared" si="19"/>
        <v>17.90909090909091</v>
      </c>
      <c r="Y534" s="6">
        <f t="shared" si="20"/>
        <v>2188504922</v>
      </c>
    </row>
    <row r="535" spans="2:25" x14ac:dyDescent="0.25">
      <c r="B535" t="str">
        <f>Siam_Chart[[#This Row],[Name]]</f>
        <v>PSL</v>
      </c>
      <c r="C535">
        <f>Siam_Chart[[#This Row],[No.]]</f>
        <v>534</v>
      </c>
      <c r="D535">
        <f>Siam_Chart[[#This Row],[Last]]</f>
        <v>10.4</v>
      </c>
      <c r="E535">
        <f>Siam_Chart[[#This Row],[Chg%]]</f>
        <v>0</v>
      </c>
      <c r="F535">
        <f>Siam_Chart[[#This Row],[Volume]]</f>
        <v>4742465</v>
      </c>
      <c r="G535">
        <f>Siam_Chart[[#This Row],[Value (k)]]</f>
        <v>49274294.100000001</v>
      </c>
      <c r="H535" cm="1">
        <f t="array" ref="H535:W535">Siam_Chart[[#This Row],[MCap (M)]:[CG]]</f>
        <v>16216635364.799999</v>
      </c>
      <c r="I535">
        <v>12.58</v>
      </c>
      <c r="J535">
        <v>0.96</v>
      </c>
      <c r="K535">
        <v>0.87371900000000002</v>
      </c>
      <c r="L535">
        <v>0.1</v>
      </c>
      <c r="M535">
        <v>0.42</v>
      </c>
      <c r="N535">
        <v>7.1742910000000002</v>
      </c>
      <c r="O535">
        <v>7.8317490000000003</v>
      </c>
      <c r="P535">
        <v>18.970002999999998</v>
      </c>
      <c r="Q535">
        <v>3.87</v>
      </c>
      <c r="R535" t="str">
        <v/>
      </c>
      <c r="S535" t="str">
        <v/>
      </c>
      <c r="T535">
        <v>743</v>
      </c>
      <c r="U535">
        <v>665</v>
      </c>
      <c r="V535">
        <v>-1.23</v>
      </c>
      <c r="W535">
        <v>5</v>
      </c>
      <c r="X535" s="5">
        <f t="shared" si="19"/>
        <v>10.833333333333334</v>
      </c>
      <c r="Y535" s="6">
        <f t="shared" si="20"/>
        <v>1559291861.9999998</v>
      </c>
    </row>
    <row r="536" spans="2:25" x14ac:dyDescent="0.25">
      <c r="B536" t="str">
        <f>Siam_Chart[[#This Row],[Name]]</f>
        <v>PSP</v>
      </c>
      <c r="C536">
        <f>Siam_Chart[[#This Row],[No.]]</f>
        <v>535</v>
      </c>
      <c r="D536">
        <f>Siam_Chart[[#This Row],[Last]]</f>
        <v>7.4</v>
      </c>
      <c r="E536">
        <f>Siam_Chart[[#This Row],[Chg%]]</f>
        <v>0</v>
      </c>
      <c r="F536">
        <f>Siam_Chart[[#This Row],[Volume]]</f>
        <v>1593001</v>
      </c>
      <c r="G536">
        <f>Siam_Chart[[#This Row],[Value (k)]]</f>
        <v>11782762.5</v>
      </c>
      <c r="H536" cm="1">
        <f t="array" ref="H536:W536">Siam_Chart[[#This Row],[MCap (M)]:[CG]]</f>
        <v>10360000000</v>
      </c>
      <c r="I536">
        <v>9.19</v>
      </c>
      <c r="J536">
        <v>2.2000000000000002</v>
      </c>
      <c r="K536">
        <v>1.168577</v>
      </c>
      <c r="L536">
        <v>0.2</v>
      </c>
      <c r="M536">
        <v>0.56999999999999995</v>
      </c>
      <c r="N536">
        <v>15.697115999999999</v>
      </c>
      <c r="O536">
        <v>25.934277000000002</v>
      </c>
      <c r="P536">
        <v>10.943517999999999</v>
      </c>
      <c r="Q536">
        <v>3.78</v>
      </c>
      <c r="R536" t="str">
        <v/>
      </c>
      <c r="S536" t="str">
        <v/>
      </c>
      <c r="T536">
        <v>492</v>
      </c>
      <c r="U536">
        <v>493</v>
      </c>
      <c r="V536">
        <v>0.64</v>
      </c>
      <c r="W536">
        <v>5</v>
      </c>
      <c r="X536" s="5">
        <f t="shared" si="19"/>
        <v>3.3636363636363633</v>
      </c>
      <c r="Y536" s="6">
        <f t="shared" si="20"/>
        <v>1400000000</v>
      </c>
    </row>
    <row r="537" spans="2:25" x14ac:dyDescent="0.25">
      <c r="B537" t="str">
        <f>Siam_Chart[[#This Row],[Name]]</f>
        <v>PSTC</v>
      </c>
      <c r="C537">
        <f>Siam_Chart[[#This Row],[No.]]</f>
        <v>536</v>
      </c>
      <c r="D537">
        <f>Siam_Chart[[#This Row],[Last]]</f>
        <v>0.35</v>
      </c>
      <c r="E537">
        <f>Siam_Chart[[#This Row],[Chg%]]</f>
        <v>0</v>
      </c>
      <c r="F537">
        <f>Siam_Chart[[#This Row],[Volume]]</f>
        <v>1556700</v>
      </c>
      <c r="G537">
        <f>Siam_Chart[[#This Row],[Value (k)]]</f>
        <v>557</v>
      </c>
      <c r="H537" cm="1">
        <f t="array" ref="H537:W537">Siam_Chart[[#This Row],[MCap (M)]:[CG]]</f>
        <v>1213</v>
      </c>
      <c r="I537">
        <v>0</v>
      </c>
      <c r="J537">
        <v>0.6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 t="str">
        <v/>
      </c>
      <c r="S537" t="str">
        <v/>
      </c>
      <c r="T537">
        <v>0</v>
      </c>
      <c r="U537">
        <v>0</v>
      </c>
      <c r="V537">
        <v>0</v>
      </c>
      <c r="W537">
        <v>4</v>
      </c>
      <c r="X537" s="5">
        <f t="shared" si="19"/>
        <v>0.58333333333333337</v>
      </c>
      <c r="Y537" s="6">
        <f t="shared" si="20"/>
        <v>3465.7142857142858</v>
      </c>
    </row>
    <row r="538" spans="2:25" x14ac:dyDescent="0.25">
      <c r="B538" t="str">
        <f>Siam_Chart[[#This Row],[Name]]</f>
        <v>PT</v>
      </c>
      <c r="C538">
        <f>Siam_Chart[[#This Row],[No.]]</f>
        <v>537</v>
      </c>
      <c r="D538">
        <f>Siam_Chart[[#This Row],[Last]]</f>
        <v>11.4</v>
      </c>
      <c r="E538">
        <f>Siam_Chart[[#This Row],[Chg%]]</f>
        <v>0</v>
      </c>
      <c r="F538">
        <f>Siam_Chart[[#This Row],[Volume]]</f>
        <v>98372</v>
      </c>
      <c r="G538">
        <f>Siam_Chart[[#This Row],[Value (k)]]</f>
        <v>1117149.8</v>
      </c>
      <c r="H538" cm="1">
        <f t="array" ref="H538:W538">Siam_Chart[[#This Row],[MCap (M)]:[CG]]</f>
        <v>3236333938.8000002</v>
      </c>
      <c r="I538">
        <v>11.99</v>
      </c>
      <c r="J538">
        <v>4.37</v>
      </c>
      <c r="K538">
        <v>2.4233310000000001</v>
      </c>
      <c r="L538">
        <v>0.45</v>
      </c>
      <c r="M538">
        <v>0.36</v>
      </c>
      <c r="N538">
        <v>12.844099999999999</v>
      </c>
      <c r="O538">
        <v>35.760269000000001</v>
      </c>
      <c r="P538">
        <v>6.6671230000000001</v>
      </c>
      <c r="Q538">
        <v>8.77</v>
      </c>
      <c r="R538" t="str">
        <v/>
      </c>
      <c r="S538" t="str">
        <v/>
      </c>
      <c r="T538">
        <v>370</v>
      </c>
      <c r="U538">
        <v>454</v>
      </c>
      <c r="V538">
        <v>0.33</v>
      </c>
      <c r="W538">
        <v>4</v>
      </c>
      <c r="X538" s="5">
        <f t="shared" si="19"/>
        <v>2.6086956521739131</v>
      </c>
      <c r="Y538" s="6">
        <f t="shared" si="20"/>
        <v>283888942</v>
      </c>
    </row>
    <row r="539" spans="2:25" x14ac:dyDescent="0.25">
      <c r="B539" t="str">
        <f>Siam_Chart[[#This Row],[Name]]</f>
        <v>PTC</v>
      </c>
      <c r="C539">
        <f>Siam_Chart[[#This Row],[No.]]</f>
        <v>538</v>
      </c>
      <c r="D539">
        <f>Siam_Chart[[#This Row],[Last]]</f>
        <v>0.6</v>
      </c>
      <c r="E539">
        <f>Siam_Chart[[#This Row],[Chg%]]</f>
        <v>0</v>
      </c>
      <c r="F539">
        <f>Siam_Chart[[#This Row],[Volume]]</f>
        <v>50200</v>
      </c>
      <c r="G539">
        <f>Siam_Chart[[#This Row],[Value (k)]]</f>
        <v>29625</v>
      </c>
      <c r="H539" cm="1">
        <f t="array" ref="H539:W539">Siam_Chart[[#This Row],[MCap (M)]:[CG]]</f>
        <v>246000000</v>
      </c>
      <c r="I539">
        <v>43.86</v>
      </c>
      <c r="J539">
        <v>0.28000000000000003</v>
      </c>
      <c r="K539">
        <v>1.6388E-2</v>
      </c>
      <c r="L539">
        <v>0.01</v>
      </c>
      <c r="M539">
        <v>0.01</v>
      </c>
      <c r="N539">
        <v>0.70291599999999999</v>
      </c>
      <c r="O539">
        <v>0.63245399999999996</v>
      </c>
      <c r="P539">
        <v>7.4470840000000003</v>
      </c>
      <c r="Q539">
        <v>1.67</v>
      </c>
      <c r="R539" t="str">
        <v/>
      </c>
      <c r="S539" t="str">
        <v/>
      </c>
      <c r="T539">
        <v>1338</v>
      </c>
      <c r="U539">
        <v>1365</v>
      </c>
      <c r="V539">
        <v>-1.57</v>
      </c>
      <c r="W539">
        <v>5</v>
      </c>
      <c r="X539" s="5">
        <f t="shared" si="19"/>
        <v>2.1428571428571428</v>
      </c>
      <c r="Y539" s="6">
        <f t="shared" si="20"/>
        <v>410000000</v>
      </c>
    </row>
    <row r="540" spans="2:25" x14ac:dyDescent="0.25">
      <c r="B540" t="str">
        <f>Siam_Chart[[#This Row],[Name]]</f>
        <v>PTG</v>
      </c>
      <c r="C540">
        <f>Siam_Chart[[#This Row],[No.]]</f>
        <v>539</v>
      </c>
      <c r="D540">
        <f>Siam_Chart[[#This Row],[Last]]</f>
        <v>7.85</v>
      </c>
      <c r="E540">
        <f>Siam_Chart[[#This Row],[Chg%]]</f>
        <v>-1.88</v>
      </c>
      <c r="F540">
        <f>Siam_Chart[[#This Row],[Volume]]</f>
        <v>11350484</v>
      </c>
      <c r="G540">
        <f>Siam_Chart[[#This Row],[Value (k)]]</f>
        <v>90472316.599999994</v>
      </c>
      <c r="H540" cm="1">
        <f t="array" ref="H540:W540">Siam_Chart[[#This Row],[MCap (M)]:[CG]]</f>
        <v>13109500000</v>
      </c>
      <c r="I540">
        <v>33.79</v>
      </c>
      <c r="J540">
        <v>1.41</v>
      </c>
      <c r="K540">
        <v>4.5166810000000002</v>
      </c>
      <c r="L540">
        <v>0.35</v>
      </c>
      <c r="M540">
        <v>-0.08</v>
      </c>
      <c r="N540">
        <v>3.325666</v>
      </c>
      <c r="O540">
        <v>4.1985939999999999</v>
      </c>
      <c r="P540">
        <v>-6.5005999999999994E-2</v>
      </c>
      <c r="Q540">
        <v>4.46</v>
      </c>
      <c r="R540" t="str">
        <v/>
      </c>
      <c r="S540" t="str">
        <v/>
      </c>
      <c r="T540">
        <v>975</v>
      </c>
      <c r="U540">
        <v>1063</v>
      </c>
      <c r="V540">
        <v>38.21</v>
      </c>
      <c r="W540">
        <v>5</v>
      </c>
      <c r="X540" s="5">
        <f t="shared" si="19"/>
        <v>5.5673758865248226</v>
      </c>
      <c r="Y540" s="6">
        <f t="shared" si="20"/>
        <v>1670000000</v>
      </c>
    </row>
    <row r="541" spans="2:25" x14ac:dyDescent="0.25">
      <c r="B541" t="str">
        <f>Siam_Chart[[#This Row],[Name]]</f>
        <v>PTL</v>
      </c>
      <c r="C541">
        <f>Siam_Chart[[#This Row],[No.]]</f>
        <v>540</v>
      </c>
      <c r="D541">
        <f>Siam_Chart[[#This Row],[Last]]</f>
        <v>14.8</v>
      </c>
      <c r="E541">
        <f>Siam_Chart[[#This Row],[Chg%]]</f>
        <v>0.68</v>
      </c>
      <c r="F541">
        <f>Siam_Chart[[#This Row],[Volume]]</f>
        <v>119133</v>
      </c>
      <c r="G541">
        <f>Siam_Chart[[#This Row],[Value (k)]]</f>
        <v>1750545.1</v>
      </c>
      <c r="H541" cm="1">
        <f t="array" ref="H541:W541">Siam_Chart[[#This Row],[MCap (M)]:[CG]]</f>
        <v>13320000000</v>
      </c>
      <c r="I541">
        <v>19.420000000000002</v>
      </c>
      <c r="J541">
        <v>0.67</v>
      </c>
      <c r="K541">
        <v>0.30784699999999998</v>
      </c>
      <c r="L541">
        <v>0.12</v>
      </c>
      <c r="M541">
        <v>0.56000000000000005</v>
      </c>
      <c r="N541">
        <v>3.669686</v>
      </c>
      <c r="O541">
        <v>3.479708</v>
      </c>
      <c r="P541">
        <v>8.5225639999999991</v>
      </c>
      <c r="Q541">
        <v>0.81</v>
      </c>
      <c r="R541" t="str">
        <v/>
      </c>
      <c r="S541" t="str">
        <v/>
      </c>
      <c r="T541">
        <v>1107</v>
      </c>
      <c r="U541">
        <v>1060</v>
      </c>
      <c r="V541">
        <v>0.44</v>
      </c>
      <c r="W541">
        <v>0</v>
      </c>
      <c r="X541" s="5">
        <f t="shared" si="19"/>
        <v>22.089552238805968</v>
      </c>
      <c r="Y541" s="6">
        <f t="shared" si="20"/>
        <v>900000000</v>
      </c>
    </row>
    <row r="542" spans="2:25" x14ac:dyDescent="0.25">
      <c r="B542" t="str">
        <f>Siam_Chart[[#This Row],[Name]]</f>
        <v>PTT</v>
      </c>
      <c r="C542">
        <f>Siam_Chart[[#This Row],[No.]]</f>
        <v>541</v>
      </c>
      <c r="D542">
        <f>Siam_Chart[[#This Row],[Last]]</f>
        <v>40.25</v>
      </c>
      <c r="E542">
        <f>Siam_Chart[[#This Row],[Chg%]]</f>
        <v>0</v>
      </c>
      <c r="F542">
        <f>Siam_Chart[[#This Row],[Volume]]</f>
        <v>74636678</v>
      </c>
      <c r="G542">
        <f>Siam_Chart[[#This Row],[Value (k)]]</f>
        <v>3001665448.75</v>
      </c>
      <c r="H542" cm="1">
        <f t="array" ref="H542:W542">Siam_Chart[[#This Row],[MCap (M)]:[CG]]</f>
        <v>1149660599062.5</v>
      </c>
      <c r="I542">
        <v>9.23</v>
      </c>
      <c r="J542">
        <v>0.95</v>
      </c>
      <c r="K542">
        <v>0.97862499999999997</v>
      </c>
      <c r="L542">
        <v>1.4</v>
      </c>
      <c r="M542">
        <v>2.76</v>
      </c>
      <c r="N542">
        <v>8.5277200000000004</v>
      </c>
      <c r="O542">
        <v>10.621456</v>
      </c>
      <c r="P542">
        <v>7.6233490000000002</v>
      </c>
      <c r="Q542">
        <v>5.71</v>
      </c>
      <c r="R542" t="str">
        <v/>
      </c>
      <c r="S542" t="str">
        <v/>
      </c>
      <c r="T542">
        <v>710</v>
      </c>
      <c r="U542">
        <v>678</v>
      </c>
      <c r="V542">
        <v>-3.9</v>
      </c>
      <c r="W542">
        <v>5</v>
      </c>
      <c r="X542" s="5">
        <f t="shared" si="19"/>
        <v>42.368421052631582</v>
      </c>
      <c r="Y542" s="6">
        <f t="shared" si="20"/>
        <v>28562996250</v>
      </c>
    </row>
    <row r="543" spans="2:25" x14ac:dyDescent="0.25">
      <c r="B543" t="str">
        <f>Siam_Chart[[#This Row],[Name]]</f>
        <v>PTTEP</v>
      </c>
      <c r="C543">
        <f>Siam_Chart[[#This Row],[No.]]</f>
        <v>542</v>
      </c>
      <c r="D543">
        <f>Siam_Chart[[#This Row],[Last]]</f>
        <v>146</v>
      </c>
      <c r="E543">
        <f>Siam_Chart[[#This Row],[Chg%]]</f>
        <v>0.34</v>
      </c>
      <c r="F543">
        <f>Siam_Chart[[#This Row],[Volume]]</f>
        <v>6032188</v>
      </c>
      <c r="G543">
        <f>Siam_Chart[[#This Row],[Value (k)]]</f>
        <v>881397592</v>
      </c>
      <c r="H543" cm="1">
        <f t="array" ref="H543:W543">Siam_Chart[[#This Row],[MCap (M)]:[CG]]</f>
        <v>579617868400</v>
      </c>
      <c r="I543">
        <v>8.3699999999999992</v>
      </c>
      <c r="J543">
        <v>1.02</v>
      </c>
      <c r="K543">
        <v>0.81539300000000003</v>
      </c>
      <c r="L543">
        <v>4.5</v>
      </c>
      <c r="M543">
        <v>9.83</v>
      </c>
      <c r="N543">
        <v>13.778518</v>
      </c>
      <c r="O543">
        <v>12.694418000000001</v>
      </c>
      <c r="P543">
        <v>22.074739000000001</v>
      </c>
      <c r="Q543">
        <v>5.99</v>
      </c>
      <c r="R543" t="str">
        <v/>
      </c>
      <c r="S543" t="str">
        <v/>
      </c>
      <c r="T543">
        <v>371</v>
      </c>
      <c r="U543">
        <v>262</v>
      </c>
      <c r="V543">
        <v>0.5</v>
      </c>
      <c r="W543">
        <v>5</v>
      </c>
      <c r="X543" s="5">
        <f t="shared" si="19"/>
        <v>143.13725490196077</v>
      </c>
      <c r="Y543" s="6">
        <f t="shared" si="20"/>
        <v>3969985400</v>
      </c>
    </row>
    <row r="544" spans="2:25" x14ac:dyDescent="0.25">
      <c r="B544" t="str">
        <f>Siam_Chart[[#This Row],[Name]]</f>
        <v>PTTGC</v>
      </c>
      <c r="C544">
        <f>Siam_Chart[[#This Row],[No.]]</f>
        <v>543</v>
      </c>
      <c r="D544">
        <f>Siam_Chart[[#This Row],[Last]]</f>
        <v>43.25</v>
      </c>
      <c r="E544">
        <f>Siam_Chart[[#This Row],[Chg%]]</f>
        <v>1.17</v>
      </c>
      <c r="F544">
        <f>Siam_Chart[[#This Row],[Volume]]</f>
        <v>30553800</v>
      </c>
      <c r="G544">
        <f>Siam_Chart[[#This Row],[Value (k)]]</f>
        <v>1312285448.5</v>
      </c>
      <c r="H544" cm="1">
        <f t="array" ref="H544:W544">Siam_Chart[[#This Row],[MCap (M)]:[CG]]</f>
        <v>195007724310.25</v>
      </c>
      <c r="I544">
        <v>27.77</v>
      </c>
      <c r="J544">
        <v>0.63</v>
      </c>
      <c r="K544">
        <v>1.1053269999999999</v>
      </c>
      <c r="L544">
        <v>0.5</v>
      </c>
      <c r="M544">
        <v>3.01</v>
      </c>
      <c r="N544">
        <v>2.330832</v>
      </c>
      <c r="O544">
        <v>2.4799509999999998</v>
      </c>
      <c r="P544">
        <v>4.4206700000000003</v>
      </c>
      <c r="Q544">
        <v>1.1599999999999999</v>
      </c>
      <c r="R544" t="str">
        <v/>
      </c>
      <c r="S544" t="str">
        <v/>
      </c>
      <c r="T544">
        <v>1195</v>
      </c>
      <c r="U544">
        <v>1191</v>
      </c>
      <c r="V544">
        <v>-0.03</v>
      </c>
      <c r="W544">
        <v>5</v>
      </c>
      <c r="X544" s="5">
        <f t="shared" si="19"/>
        <v>68.650793650793645</v>
      </c>
      <c r="Y544" s="6">
        <f t="shared" si="20"/>
        <v>4508849117</v>
      </c>
    </row>
    <row r="545" spans="2:25" x14ac:dyDescent="0.25">
      <c r="B545" t="str">
        <f>Siam_Chart[[#This Row],[Name]]</f>
        <v>PYLON</v>
      </c>
      <c r="C545">
        <f>Siam_Chart[[#This Row],[No.]]</f>
        <v>544</v>
      </c>
      <c r="D545">
        <f>Siam_Chart[[#This Row],[Last]]</f>
        <v>3.86</v>
      </c>
      <c r="E545">
        <f>Siam_Chart[[#This Row],[Chg%]]</f>
        <v>-3.02</v>
      </c>
      <c r="F545">
        <f>Siam_Chart[[#This Row],[Volume]]</f>
        <v>1563350</v>
      </c>
      <c r="G545">
        <f>Siam_Chart[[#This Row],[Value (k)]]</f>
        <v>6055802</v>
      </c>
      <c r="H545" cm="1">
        <f t="array" ref="H545:W545">Siam_Chart[[#This Row],[MCap (M)]:[CG]]</f>
        <v>2894511308.5599999</v>
      </c>
      <c r="I545">
        <v>9.94</v>
      </c>
      <c r="J545">
        <v>2.63</v>
      </c>
      <c r="K545">
        <v>0.50860899999999998</v>
      </c>
      <c r="L545">
        <v>0.15</v>
      </c>
      <c r="M545">
        <v>0.21</v>
      </c>
      <c r="N545">
        <v>24.443370000000002</v>
      </c>
      <c r="O545">
        <v>27.857523</v>
      </c>
      <c r="P545">
        <v>17.342155000000002</v>
      </c>
      <c r="Q545">
        <v>6.22</v>
      </c>
      <c r="R545" t="str">
        <v/>
      </c>
      <c r="S545" t="str">
        <v/>
      </c>
      <c r="T545">
        <v>283</v>
      </c>
      <c r="U545">
        <v>249</v>
      </c>
      <c r="V545">
        <v>0</v>
      </c>
      <c r="W545">
        <v>3</v>
      </c>
      <c r="X545" s="5">
        <f t="shared" si="19"/>
        <v>1.4676806083650191</v>
      </c>
      <c r="Y545" s="6">
        <f t="shared" si="20"/>
        <v>749873396</v>
      </c>
    </row>
    <row r="546" spans="2:25" x14ac:dyDescent="0.25">
      <c r="B546" t="str">
        <f>Siam_Chart[[#This Row],[Name]]</f>
        <v>Q-CON</v>
      </c>
      <c r="C546">
        <f>Siam_Chart[[#This Row],[No.]]</f>
        <v>545</v>
      </c>
      <c r="D546">
        <f>Siam_Chart[[#This Row],[Last]]</f>
        <v>6</v>
      </c>
      <c r="E546">
        <f>Siam_Chart[[#This Row],[Chg%]]</f>
        <v>0.84</v>
      </c>
      <c r="F546">
        <f>Siam_Chart[[#This Row],[Volume]]</f>
        <v>7267</v>
      </c>
      <c r="G546">
        <f>Siam_Chart[[#This Row],[Value (k)]]</f>
        <v>43598.65</v>
      </c>
      <c r="H546" cm="1">
        <f t="array" ref="H546:W546">Siam_Chart[[#This Row],[MCap (M)]:[CG]]</f>
        <v>2400000000</v>
      </c>
      <c r="I546">
        <v>13.02</v>
      </c>
      <c r="J546">
        <v>0.91</v>
      </c>
      <c r="K546">
        <v>0.149949</v>
      </c>
      <c r="L546">
        <v>0.4</v>
      </c>
      <c r="M546">
        <v>0.19</v>
      </c>
      <c r="N546">
        <v>7.5797460000000001</v>
      </c>
      <c r="O546">
        <v>7.0015099999999997</v>
      </c>
      <c r="P546">
        <v>8.2179900000000004</v>
      </c>
      <c r="Q546">
        <v>6.67</v>
      </c>
      <c r="R546" t="str">
        <v/>
      </c>
      <c r="S546" t="str">
        <v/>
      </c>
      <c r="T546">
        <v>805</v>
      </c>
      <c r="U546">
        <v>663</v>
      </c>
      <c r="V546">
        <v>0.28999999999999998</v>
      </c>
      <c r="W546">
        <v>5</v>
      </c>
      <c r="X546" s="5">
        <f t="shared" si="19"/>
        <v>6.5934065934065931</v>
      </c>
      <c r="Y546" s="6">
        <f t="shared" si="20"/>
        <v>400000000</v>
      </c>
    </row>
    <row r="547" spans="2:25" x14ac:dyDescent="0.25">
      <c r="B547" t="str">
        <f>Siam_Chart[[#This Row],[Name]]</f>
        <v>QDC</v>
      </c>
      <c r="C547">
        <f>Siam_Chart[[#This Row],[No.]]</f>
        <v>546</v>
      </c>
      <c r="D547">
        <f>Siam_Chart[[#This Row],[Last]]</f>
        <v>0.05</v>
      </c>
      <c r="E547">
        <f>Siam_Chart[[#This Row],[Chg%]]</f>
        <v>-16.670000000000002</v>
      </c>
      <c r="F547">
        <f>Siam_Chart[[#This Row],[Volume]]</f>
        <v>710190</v>
      </c>
      <c r="G547">
        <f>Siam_Chart[[#This Row],[Value (k)]]</f>
        <v>35750.5</v>
      </c>
      <c r="H547" cm="1">
        <f t="array" ref="H547:W547">Siam_Chart[[#This Row],[MCap (M)]:[CG]]</f>
        <v>18595087.899999999</v>
      </c>
      <c r="I547">
        <v>22314105.48</v>
      </c>
      <c r="J547">
        <v>0.15</v>
      </c>
      <c r="K547">
        <v>8.6733200000000004</v>
      </c>
      <c r="L547">
        <v>-0.09</v>
      </c>
      <c r="M547">
        <v>-0.09</v>
      </c>
      <c r="N547">
        <v>-1.582956</v>
      </c>
      <c r="O547">
        <v>-38.977254000000002</v>
      </c>
      <c r="P547">
        <v>-112.08880600000001</v>
      </c>
      <c r="Q547">
        <v>0.18</v>
      </c>
      <c r="R547" t="str">
        <v/>
      </c>
      <c r="S547" t="str">
        <v/>
      </c>
      <c r="T547">
        <v>0</v>
      </c>
      <c r="U547">
        <v>0</v>
      </c>
      <c r="V547">
        <v>0</v>
      </c>
      <c r="W547">
        <v>0</v>
      </c>
      <c r="X547" s="5">
        <f t="shared" si="19"/>
        <v>0.33333333333333337</v>
      </c>
      <c r="Y547" s="6">
        <f t="shared" si="20"/>
        <v>371901757.99999994</v>
      </c>
    </row>
    <row r="548" spans="2:25" x14ac:dyDescent="0.25">
      <c r="B548" t="str">
        <f>Siam_Chart[[#This Row],[Name]]</f>
        <v>QH</v>
      </c>
      <c r="C548">
        <f>Siam_Chart[[#This Row],[No.]]</f>
        <v>547</v>
      </c>
      <c r="D548">
        <f>Siam_Chart[[#This Row],[Last]]</f>
        <v>1.42</v>
      </c>
      <c r="E548">
        <f>Siam_Chart[[#This Row],[Chg%]]</f>
        <v>0</v>
      </c>
      <c r="F548">
        <f>Siam_Chart[[#This Row],[Volume]]</f>
        <v>1515907</v>
      </c>
      <c r="G548">
        <f>Siam_Chart[[#This Row],[Value (k)]]</f>
        <v>2162384.02</v>
      </c>
      <c r="H548" cm="1">
        <f t="array" ref="H548:W548">Siam_Chart[[#This Row],[MCap (M)]:[CG]]</f>
        <v>15214421935.9</v>
      </c>
      <c r="I548">
        <v>7.88</v>
      </c>
      <c r="J548">
        <v>0.5</v>
      </c>
      <c r="K548">
        <v>0.388237</v>
      </c>
      <c r="L548">
        <v>0.02</v>
      </c>
      <c r="M548">
        <v>0.09</v>
      </c>
      <c r="N548">
        <v>5.17361</v>
      </c>
      <c r="O548">
        <v>6.4284049999999997</v>
      </c>
      <c r="P548">
        <v>26.555004</v>
      </c>
      <c r="Q548">
        <v>6.4</v>
      </c>
      <c r="R548" t="str">
        <v/>
      </c>
      <c r="S548" t="str">
        <v/>
      </c>
      <c r="T548">
        <v>590</v>
      </c>
      <c r="U548">
        <v>575</v>
      </c>
      <c r="V548">
        <v>2.3199999999999998</v>
      </c>
      <c r="W548">
        <v>5</v>
      </c>
      <c r="X548" s="5">
        <f t="shared" si="19"/>
        <v>2.84</v>
      </c>
      <c r="Y548" s="6">
        <f t="shared" si="20"/>
        <v>10714381645</v>
      </c>
    </row>
    <row r="549" spans="2:25" x14ac:dyDescent="0.25">
      <c r="B549" t="str">
        <f>Siam_Chart[[#This Row],[Name]]</f>
        <v>QLT</v>
      </c>
      <c r="C549">
        <f>Siam_Chart[[#This Row],[No.]]</f>
        <v>548</v>
      </c>
      <c r="D549">
        <f>Siam_Chart[[#This Row],[Last]]</f>
        <v>2.04</v>
      </c>
      <c r="E549">
        <f>Siam_Chart[[#This Row],[Chg%]]</f>
        <v>2.5099999999999998</v>
      </c>
      <c r="F549">
        <f>Siam_Chart[[#This Row],[Volume]]</f>
        <v>231</v>
      </c>
      <c r="G549">
        <f>Siam_Chart[[#This Row],[Value (k)]]</f>
        <v>469.38</v>
      </c>
      <c r="H549" cm="1">
        <f t="array" ref="H549:W549">Siam_Chart[[#This Row],[MCap (M)]:[CG]]</f>
        <v>201079709.40000001</v>
      </c>
      <c r="I549">
        <v>205022448.80000001</v>
      </c>
      <c r="J549">
        <v>0.74</v>
      </c>
      <c r="K549">
        <v>0.27568399999999998</v>
      </c>
      <c r="L549">
        <v>3.1E-2</v>
      </c>
      <c r="M549">
        <v>-7.0000000000000007E-2</v>
      </c>
      <c r="N549">
        <v>-0.20532400000000001</v>
      </c>
      <c r="O549">
        <v>-0.427923</v>
      </c>
      <c r="P549">
        <v>-4.0579879999999999</v>
      </c>
      <c r="Q549">
        <v>1.52</v>
      </c>
      <c r="R549" t="str">
        <v/>
      </c>
      <c r="S549" t="str">
        <v/>
      </c>
      <c r="T549">
        <v>1238</v>
      </c>
      <c r="U549">
        <v>1240</v>
      </c>
      <c r="V549">
        <v>-0.14000000000000001</v>
      </c>
      <c r="W549">
        <v>4</v>
      </c>
      <c r="X549" s="5">
        <f t="shared" si="19"/>
        <v>2.756756756756757</v>
      </c>
      <c r="Y549" s="6">
        <f t="shared" si="20"/>
        <v>98568485</v>
      </c>
    </row>
    <row r="550" spans="2:25" x14ac:dyDescent="0.25">
      <c r="B550" t="str">
        <f>Siam_Chart[[#This Row],[Name]]</f>
        <v>QTC</v>
      </c>
      <c r="C550">
        <f>Siam_Chart[[#This Row],[No.]]</f>
        <v>549</v>
      </c>
      <c r="D550">
        <f>Siam_Chart[[#This Row],[Last]]</f>
        <v>5.35</v>
      </c>
      <c r="E550">
        <f>Siam_Chart[[#This Row],[Chg%]]</f>
        <v>1.9</v>
      </c>
      <c r="F550">
        <f>Siam_Chart[[#This Row],[Volume]]</f>
        <v>480808</v>
      </c>
      <c r="G550">
        <f>Siam_Chart[[#This Row],[Value (k)]]</f>
        <v>2545757.4</v>
      </c>
      <c r="H550" cm="1">
        <f t="array" ref="H550:W550">Siam_Chart[[#This Row],[MCap (M)]:[CG]]</f>
        <v>1824845179.95</v>
      </c>
      <c r="I550">
        <v>21.11</v>
      </c>
      <c r="J550">
        <v>1.18</v>
      </c>
      <c r="K550">
        <v>0.80491199999999996</v>
      </c>
      <c r="L550">
        <v>0.2</v>
      </c>
      <c r="M550">
        <v>0.15</v>
      </c>
      <c r="N550">
        <v>4.987457</v>
      </c>
      <c r="O550">
        <v>5.6264000000000003</v>
      </c>
      <c r="P550">
        <v>4.3426289999999996</v>
      </c>
      <c r="Q550">
        <v>3.74</v>
      </c>
      <c r="R550" t="str">
        <v/>
      </c>
      <c r="S550" t="str">
        <v/>
      </c>
      <c r="T550">
        <v>1047</v>
      </c>
      <c r="U550">
        <v>994</v>
      </c>
      <c r="V550">
        <v>0.36</v>
      </c>
      <c r="W550">
        <v>5</v>
      </c>
      <c r="X550" s="5">
        <f t="shared" si="19"/>
        <v>4.5338983050847457</v>
      </c>
      <c r="Y550" s="6">
        <f t="shared" si="20"/>
        <v>341092557.00000006</v>
      </c>
    </row>
    <row r="551" spans="2:25" x14ac:dyDescent="0.25">
      <c r="B551" t="str">
        <f>Siam_Chart[[#This Row],[Name]]</f>
        <v>QTCG</v>
      </c>
      <c r="C551">
        <f>Siam_Chart[[#This Row],[No.]]</f>
        <v>550</v>
      </c>
      <c r="D551">
        <f>Siam_Chart[[#This Row],[Last]]</f>
        <v>0.16</v>
      </c>
      <c r="E551">
        <f>Siam_Chart[[#This Row],[Chg%]]</f>
        <v>0</v>
      </c>
      <c r="F551">
        <f>Siam_Chart[[#This Row],[Volume]]</f>
        <v>370100</v>
      </c>
      <c r="G551">
        <f>Siam_Chart[[#This Row],[Value (k)]]</f>
        <v>55316</v>
      </c>
      <c r="H551" cm="1">
        <f t="array" ref="H551:W551">Siam_Chart[[#This Row],[MCap (M)]:[CG]]</f>
        <v>456270160</v>
      </c>
      <c r="I551">
        <v>399236390</v>
      </c>
      <c r="J551">
        <v>1.56</v>
      </c>
      <c r="K551">
        <v>3.7141890000000002</v>
      </c>
      <c r="L551">
        <v>-0.05</v>
      </c>
      <c r="M551">
        <v>-0.05</v>
      </c>
      <c r="N551">
        <v>-7.976788</v>
      </c>
      <c r="O551">
        <v>-45.096690000000002</v>
      </c>
      <c r="P551">
        <v>-41.186287999999998</v>
      </c>
      <c r="Q551">
        <v>1.37</v>
      </c>
      <c r="R551" t="str">
        <v/>
      </c>
      <c r="S551" t="str">
        <v/>
      </c>
      <c r="T551">
        <v>0</v>
      </c>
      <c r="U551">
        <v>0</v>
      </c>
      <c r="V551">
        <v>0</v>
      </c>
      <c r="W551">
        <v>0</v>
      </c>
      <c r="X551" s="5">
        <f t="shared" si="19"/>
        <v>0.10256410256410256</v>
      </c>
      <c r="Y551" s="6">
        <f t="shared" si="20"/>
        <v>2851688500</v>
      </c>
    </row>
    <row r="552" spans="2:25" x14ac:dyDescent="0.25">
      <c r="B552" t="str">
        <f>Siam_Chart[[#This Row],[Name]]</f>
        <v>RABBIT</v>
      </c>
      <c r="C552">
        <f>Siam_Chart[[#This Row],[No.]]</f>
        <v>551</v>
      </c>
      <c r="D552">
        <f>Siam_Chart[[#This Row],[Last]]</f>
        <v>0.34</v>
      </c>
      <c r="E552">
        <f>Siam_Chart[[#This Row],[Chg%]]</f>
        <v>-2.86</v>
      </c>
      <c r="F552">
        <f>Siam_Chart[[#This Row],[Volume]]</f>
        <v>4045334</v>
      </c>
      <c r="G552">
        <f>Siam_Chart[[#This Row],[Value (k)]]</f>
        <v>1415565.56</v>
      </c>
      <c r="H552" cm="1">
        <f t="array" ref="H552:W552">Siam_Chart[[#This Row],[MCap (M)]:[CG]]</f>
        <v>2544656177.5</v>
      </c>
      <c r="I552">
        <v>7.87</v>
      </c>
      <c r="J552">
        <v>0.34</v>
      </c>
      <c r="K552">
        <v>0.854854</v>
      </c>
      <c r="L552">
        <v>0.05</v>
      </c>
      <c r="M552">
        <v>0.05</v>
      </c>
      <c r="N552">
        <v>4.6913619999999998</v>
      </c>
      <c r="O552">
        <v>4.3888170000000004</v>
      </c>
      <c r="P552">
        <v>12.045681</v>
      </c>
      <c r="Q552">
        <v>0.35</v>
      </c>
      <c r="R552" t="str">
        <v/>
      </c>
      <c r="S552" t="str">
        <v/>
      </c>
      <c r="T552">
        <v>540</v>
      </c>
      <c r="U552">
        <v>460</v>
      </c>
      <c r="V552">
        <v>0.02</v>
      </c>
      <c r="W552">
        <v>5</v>
      </c>
      <c r="X552" s="5">
        <f t="shared" si="19"/>
        <v>1</v>
      </c>
      <c r="Y552" s="6">
        <f t="shared" si="20"/>
        <v>7484282874.999999</v>
      </c>
    </row>
    <row r="553" spans="2:25" x14ac:dyDescent="0.25">
      <c r="B553" t="str">
        <f>Siam_Chart[[#This Row],[Name]]</f>
        <v>RAM</v>
      </c>
      <c r="C553">
        <f>Siam_Chart[[#This Row],[No.]]</f>
        <v>552</v>
      </c>
      <c r="D553">
        <f>Siam_Chart[[#This Row],[Last]]</f>
        <v>17.7</v>
      </c>
      <c r="E553">
        <f>Siam_Chart[[#This Row],[Chg%]]</f>
        <v>-0.56000000000000005</v>
      </c>
      <c r="F553">
        <f>Siam_Chart[[#This Row],[Volume]]</f>
        <v>79993</v>
      </c>
      <c r="G553">
        <f>Siam_Chart[[#This Row],[Value (k)]]</f>
        <v>1418055.7</v>
      </c>
      <c r="H553" cm="1">
        <f t="array" ref="H553:W553">Siam_Chart[[#This Row],[MCap (M)]:[CG]]</f>
        <v>21240000000</v>
      </c>
      <c r="I553">
        <v>7.65</v>
      </c>
      <c r="J553">
        <v>0.93</v>
      </c>
      <c r="K553">
        <v>0.56723800000000002</v>
      </c>
      <c r="L553">
        <v>0.1</v>
      </c>
      <c r="M553">
        <v>0.49</v>
      </c>
      <c r="N553">
        <v>8.0936649999999997</v>
      </c>
      <c r="O553">
        <v>13.484838</v>
      </c>
      <c r="P553">
        <v>6.592498</v>
      </c>
      <c r="Q553">
        <v>0.56000000000000005</v>
      </c>
      <c r="R553" t="str">
        <v/>
      </c>
      <c r="S553" t="str">
        <v/>
      </c>
      <c r="T553">
        <v>321</v>
      </c>
      <c r="U553">
        <v>403</v>
      </c>
      <c r="V553">
        <v>0.2</v>
      </c>
      <c r="W553">
        <v>3</v>
      </c>
      <c r="X553" s="5">
        <f t="shared" si="19"/>
        <v>19.032258064516128</v>
      </c>
      <c r="Y553" s="6">
        <f t="shared" si="20"/>
        <v>1200000000</v>
      </c>
    </row>
    <row r="554" spans="2:25" x14ac:dyDescent="0.25">
      <c r="B554" t="str">
        <f>Siam_Chart[[#This Row],[Name]]</f>
        <v>RATCH</v>
      </c>
      <c r="C554">
        <f>Siam_Chart[[#This Row],[No.]]</f>
        <v>553</v>
      </c>
      <c r="D554">
        <f>Siam_Chart[[#This Row],[Last]]</f>
        <v>37.25</v>
      </c>
      <c r="E554">
        <f>Siam_Chart[[#This Row],[Chg%]]</f>
        <v>-1.32</v>
      </c>
      <c r="F554">
        <f>Siam_Chart[[#This Row],[Volume]]</f>
        <v>3022945</v>
      </c>
      <c r="G554">
        <f>Siam_Chart[[#This Row],[Value (k)]]</f>
        <v>113223165.5</v>
      </c>
      <c r="H554" cm="1">
        <f t="array" ref="H554:W554">Siam_Chart[[#This Row],[MCap (M)]:[CG]]</f>
        <v>81018749441.25</v>
      </c>
      <c r="I554">
        <v>14.54</v>
      </c>
      <c r="J554">
        <v>0.8</v>
      </c>
      <c r="K554">
        <v>1.146949</v>
      </c>
      <c r="L554">
        <v>0.8</v>
      </c>
      <c r="M554">
        <v>1.21</v>
      </c>
      <c r="N554">
        <v>4.998818</v>
      </c>
      <c r="O554">
        <v>5.6968050000000003</v>
      </c>
      <c r="P554">
        <v>13.567392</v>
      </c>
      <c r="Q554">
        <v>4.3</v>
      </c>
      <c r="R554" t="str">
        <v/>
      </c>
      <c r="S554" t="str">
        <v/>
      </c>
      <c r="T554">
        <v>854</v>
      </c>
      <c r="U554">
        <v>830</v>
      </c>
      <c r="V554">
        <v>-3.36</v>
      </c>
      <c r="W554">
        <v>5</v>
      </c>
      <c r="X554" s="5">
        <f t="shared" si="19"/>
        <v>46.5625</v>
      </c>
      <c r="Y554" s="6">
        <f t="shared" si="20"/>
        <v>2174999985</v>
      </c>
    </row>
    <row r="555" spans="2:25" x14ac:dyDescent="0.25">
      <c r="B555" t="str">
        <f>Siam_Chart[[#This Row],[Name]]</f>
        <v>RBF</v>
      </c>
      <c r="C555">
        <f>Siam_Chart[[#This Row],[No.]]</f>
        <v>554</v>
      </c>
      <c r="D555">
        <f>Siam_Chart[[#This Row],[Last]]</f>
        <v>5.2</v>
      </c>
      <c r="E555">
        <f>Siam_Chart[[#This Row],[Chg%]]</f>
        <v>-1.89</v>
      </c>
      <c r="F555">
        <f>Siam_Chart[[#This Row],[Volume]]</f>
        <v>1733529</v>
      </c>
      <c r="G555">
        <f>Siam_Chart[[#This Row],[Value (k)]]</f>
        <v>9106718.6999999993</v>
      </c>
      <c r="H555" cm="1">
        <f t="array" ref="H555:W555">Siam_Chart[[#This Row],[MCap (M)]:[CG]]</f>
        <v>10400000000</v>
      </c>
      <c r="I555">
        <v>19.059999999999999</v>
      </c>
      <c r="J555">
        <v>2.1800000000000002</v>
      </c>
      <c r="K555">
        <v>0.21501100000000001</v>
      </c>
      <c r="L555">
        <v>0.21</v>
      </c>
      <c r="M555">
        <v>0.16</v>
      </c>
      <c r="N555">
        <v>10.444912</v>
      </c>
      <c r="O555">
        <v>11.281228</v>
      </c>
      <c r="P555">
        <v>13.575535</v>
      </c>
      <c r="Q555">
        <v>4.04</v>
      </c>
      <c r="R555" t="str">
        <v/>
      </c>
      <c r="S555" t="str">
        <v/>
      </c>
      <c r="T555">
        <v>870</v>
      </c>
      <c r="U555">
        <v>759</v>
      </c>
      <c r="V555">
        <v>6.89</v>
      </c>
      <c r="W555">
        <v>5</v>
      </c>
      <c r="X555" s="5">
        <f t="shared" si="19"/>
        <v>2.3853211009174311</v>
      </c>
      <c r="Y555" s="6">
        <f t="shared" si="20"/>
        <v>2000000000</v>
      </c>
    </row>
    <row r="556" spans="2:25" x14ac:dyDescent="0.25">
      <c r="B556" t="str">
        <f>Siam_Chart[[#This Row],[Name]]</f>
        <v>RCL</v>
      </c>
      <c r="C556">
        <f>Siam_Chart[[#This Row],[No.]]</f>
        <v>555</v>
      </c>
      <c r="D556">
        <f>Siam_Chart[[#This Row],[Last]]</f>
        <v>46</v>
      </c>
      <c r="E556">
        <f>Siam_Chart[[#This Row],[Chg%]]</f>
        <v>2.2200000000000002</v>
      </c>
      <c r="F556">
        <f>Siam_Chart[[#This Row],[Volume]]</f>
        <v>5391383</v>
      </c>
      <c r="G556">
        <f>Siam_Chart[[#This Row],[Value (k)]]</f>
        <v>244652924.75</v>
      </c>
      <c r="H556" cm="1">
        <f t="array" ref="H556:W556">Siam_Chart[[#This Row],[MCap (M)]:[CG]]</f>
        <v>38122500000</v>
      </c>
      <c r="I556">
        <v>4.92</v>
      </c>
      <c r="J556">
        <v>0.65</v>
      </c>
      <c r="K556">
        <v>0.41340700000000002</v>
      </c>
      <c r="L556">
        <v>0.5</v>
      </c>
      <c r="M556">
        <v>4.41</v>
      </c>
      <c r="N556">
        <v>11.124359999999999</v>
      </c>
      <c r="O556">
        <v>14.065255000000001</v>
      </c>
      <c r="P556">
        <v>19.417446000000002</v>
      </c>
      <c r="Q556">
        <v>5.43</v>
      </c>
      <c r="R556" t="str">
        <v/>
      </c>
      <c r="S556" t="str">
        <v/>
      </c>
      <c r="T556">
        <v>189</v>
      </c>
      <c r="U556">
        <v>165</v>
      </c>
      <c r="V556">
        <v>0.04</v>
      </c>
      <c r="W556">
        <v>4</v>
      </c>
      <c r="X556" s="5">
        <f t="shared" si="19"/>
        <v>70.769230769230774</v>
      </c>
      <c r="Y556" s="6">
        <f t="shared" si="20"/>
        <v>828750000</v>
      </c>
    </row>
    <row r="557" spans="2:25" x14ac:dyDescent="0.25">
      <c r="B557" t="str">
        <f>Siam_Chart[[#This Row],[Name]]</f>
        <v>READY</v>
      </c>
      <c r="C557">
        <f>Siam_Chart[[#This Row],[No.]]</f>
        <v>556</v>
      </c>
      <c r="D557">
        <f>Siam_Chart[[#This Row],[Last]]</f>
        <v>3.06</v>
      </c>
      <c r="E557">
        <f>Siam_Chart[[#This Row],[Chg%]]</f>
        <v>0.66</v>
      </c>
      <c r="F557">
        <f>Siam_Chart[[#This Row],[Volume]]</f>
        <v>6700</v>
      </c>
      <c r="G557">
        <f>Siam_Chart[[#This Row],[Value (k)]]</f>
        <v>20380</v>
      </c>
      <c r="H557" cm="1">
        <f t="array" ref="H557:W557">Siam_Chart[[#This Row],[MCap (M)]:[CG]]</f>
        <v>367199929.62</v>
      </c>
      <c r="I557">
        <v>8.24</v>
      </c>
      <c r="J557">
        <v>1.6</v>
      </c>
      <c r="K557">
        <v>0.74413499999999999</v>
      </c>
      <c r="L557">
        <v>0.15</v>
      </c>
      <c r="M557">
        <v>0.09</v>
      </c>
      <c r="N557">
        <v>13.348717000000001</v>
      </c>
      <c r="O557">
        <v>19.702490000000001</v>
      </c>
      <c r="P557">
        <v>10.29594</v>
      </c>
      <c r="Q557">
        <v>9.8000000000000007</v>
      </c>
      <c r="R557" t="str">
        <v/>
      </c>
      <c r="S557" t="str">
        <v/>
      </c>
      <c r="T557">
        <v>246</v>
      </c>
      <c r="U557">
        <v>249</v>
      </c>
      <c r="V557">
        <v>0.22</v>
      </c>
      <c r="W557">
        <v>4</v>
      </c>
      <c r="X557" s="5">
        <f t="shared" si="19"/>
        <v>1.9124999999999999</v>
      </c>
      <c r="Y557" s="6">
        <f t="shared" si="20"/>
        <v>119999977</v>
      </c>
    </row>
    <row r="558" spans="2:25" x14ac:dyDescent="0.25">
      <c r="B558" t="str">
        <f>Siam_Chart[[#This Row],[Name]]</f>
        <v>RICHY</v>
      </c>
      <c r="C558">
        <f>Siam_Chart[[#This Row],[No.]]</f>
        <v>557</v>
      </c>
      <c r="D558">
        <f>Siam_Chart[[#This Row],[Last]]</f>
        <v>0.16</v>
      </c>
      <c r="E558">
        <f>Siam_Chart[[#This Row],[Chg%]]</f>
        <v>-5.88</v>
      </c>
      <c r="F558">
        <f>Siam_Chart[[#This Row],[Volume]]</f>
        <v>52700</v>
      </c>
      <c r="G558">
        <f>Siam_Chart[[#This Row],[Value (k)]]</f>
        <v>8459</v>
      </c>
      <c r="H558" cm="1">
        <f t="array" ref="H558:W558">Siam_Chart[[#This Row],[MCap (M)]:[CG]]</f>
        <v>260531644.31999999</v>
      </c>
      <c r="I558">
        <v>276814872.08999997</v>
      </c>
      <c r="J558">
        <v>0.1</v>
      </c>
      <c r="K558">
        <v>1.367105</v>
      </c>
      <c r="L558">
        <v>3.8500000000000001E-3</v>
      </c>
      <c r="M558">
        <v>-0.05</v>
      </c>
      <c r="N558">
        <v>2.3342200000000002</v>
      </c>
      <c r="O558">
        <v>-4.4551550000000004</v>
      </c>
      <c r="P558">
        <v>-17.801345999999999</v>
      </c>
      <c r="Q558">
        <v>0.1</v>
      </c>
      <c r="R558" t="str">
        <v/>
      </c>
      <c r="S558" t="str">
        <v/>
      </c>
      <c r="T558">
        <v>0</v>
      </c>
      <c r="U558">
        <v>0</v>
      </c>
      <c r="V558">
        <v>0</v>
      </c>
      <c r="W558">
        <v>0</v>
      </c>
      <c r="X558" s="5">
        <f t="shared" si="19"/>
        <v>1.5999999999999999</v>
      </c>
      <c r="Y558" s="6">
        <f t="shared" si="20"/>
        <v>1628322777</v>
      </c>
    </row>
    <row r="559" spans="2:25" x14ac:dyDescent="0.25">
      <c r="B559" t="str">
        <f>Siam_Chart[[#This Row],[Name]]</f>
        <v>RJH</v>
      </c>
      <c r="C559">
        <f>Siam_Chart[[#This Row],[No.]]</f>
        <v>558</v>
      </c>
      <c r="D559">
        <f>Siam_Chart[[#This Row],[Last]]</f>
        <v>15.4</v>
      </c>
      <c r="E559">
        <f>Siam_Chart[[#This Row],[Chg%]]</f>
        <v>-2.5299999999999998</v>
      </c>
      <c r="F559">
        <f>Siam_Chart[[#This Row],[Volume]]</f>
        <v>269413</v>
      </c>
      <c r="G559">
        <f>Siam_Chart[[#This Row],[Value (k)]]</f>
        <v>4166489.6</v>
      </c>
      <c r="H559" cm="1">
        <f t="array" ref="H559:W559">Siam_Chart[[#This Row],[MCap (M)]:[CG]]</f>
        <v>4620000000</v>
      </c>
      <c r="I559">
        <v>12.14</v>
      </c>
      <c r="J559">
        <v>2</v>
      </c>
      <c r="K559">
        <v>0.76583400000000001</v>
      </c>
      <c r="L559">
        <v>0.45</v>
      </c>
      <c r="M559">
        <v>0.69</v>
      </c>
      <c r="N559">
        <v>9.3324239999999996</v>
      </c>
      <c r="O559">
        <v>17.246310000000001</v>
      </c>
      <c r="P559">
        <v>13.399336</v>
      </c>
      <c r="Q559">
        <v>3.9</v>
      </c>
      <c r="R559" t="str">
        <v/>
      </c>
      <c r="S559" t="str">
        <v/>
      </c>
      <c r="T559">
        <v>581</v>
      </c>
      <c r="U559">
        <v>644</v>
      </c>
      <c r="V559">
        <v>-0.72</v>
      </c>
      <c r="W559">
        <v>3</v>
      </c>
      <c r="X559" s="5">
        <f t="shared" si="19"/>
        <v>7.7</v>
      </c>
      <c r="Y559" s="6">
        <f t="shared" si="20"/>
        <v>300000000</v>
      </c>
    </row>
    <row r="560" spans="2:25" x14ac:dyDescent="0.25">
      <c r="B560" t="str">
        <f>Siam_Chart[[#This Row],[Name]]</f>
        <v>RML</v>
      </c>
      <c r="C560">
        <f>Siam_Chart[[#This Row],[No.]]</f>
        <v>559</v>
      </c>
      <c r="D560">
        <f>Siam_Chart[[#This Row],[Last]]</f>
        <v>0.09</v>
      </c>
      <c r="E560">
        <f>Siam_Chart[[#This Row],[Chg%]]</f>
        <v>12.5</v>
      </c>
      <c r="F560">
        <f>Siam_Chart[[#This Row],[Volume]]</f>
        <v>253454</v>
      </c>
      <c r="G560">
        <f>Siam_Chart[[#This Row],[Value (k)]]</f>
        <v>21369.78</v>
      </c>
      <c r="H560" cm="1">
        <f t="array" ref="H560:W560">Siam_Chart[[#This Row],[MCap (M)]:[CG]]</f>
        <v>521569870.19999999</v>
      </c>
      <c r="I560">
        <v>521569870.19999999</v>
      </c>
      <c r="J560">
        <v>0.3</v>
      </c>
      <c r="K560">
        <v>2.5982889999999998</v>
      </c>
      <c r="L560">
        <v>-0.06</v>
      </c>
      <c r="M560">
        <v>-0.06</v>
      </c>
      <c r="N560">
        <v>-7.5636210000000004</v>
      </c>
      <c r="O560">
        <v>-41.116304</v>
      </c>
      <c r="P560">
        <v>-216.61602300000001</v>
      </c>
      <c r="Q560">
        <v>0.3</v>
      </c>
      <c r="R560" t="str">
        <v/>
      </c>
      <c r="S560" t="str">
        <v/>
      </c>
      <c r="T560">
        <v>0</v>
      </c>
      <c r="U560">
        <v>0</v>
      </c>
      <c r="V560">
        <v>0</v>
      </c>
      <c r="W560">
        <v>3</v>
      </c>
      <c r="X560" s="5">
        <f t="shared" si="19"/>
        <v>0.3</v>
      </c>
      <c r="Y560" s="6">
        <f t="shared" si="20"/>
        <v>5795220780</v>
      </c>
    </row>
    <row r="561" spans="2:25" x14ac:dyDescent="0.25">
      <c r="B561" t="str">
        <f>Siam_Chart[[#This Row],[Name]]</f>
        <v>ROCK</v>
      </c>
      <c r="C561">
        <f>Siam_Chart[[#This Row],[No.]]</f>
        <v>560</v>
      </c>
      <c r="D561">
        <f>Siam_Chart[[#This Row],[Last]]</f>
        <v>10.6</v>
      </c>
      <c r="E561">
        <f>Siam_Chart[[#This Row],[Chg%]]</f>
        <v>-0.93</v>
      </c>
      <c r="F561">
        <f>Siam_Chart[[#This Row],[Volume]]</f>
        <v>3000</v>
      </c>
      <c r="G561">
        <f>Siam_Chart[[#This Row],[Value (k)]]</f>
        <v>33030</v>
      </c>
      <c r="H561" cm="1">
        <f t="array" ref="H561:W561">Siam_Chart[[#This Row],[MCap (M)]:[CG]]</f>
        <v>212000000</v>
      </c>
      <c r="I561">
        <v>3.41</v>
      </c>
      <c r="J561">
        <v>0.45</v>
      </c>
      <c r="K561">
        <v>1.048054</v>
      </c>
      <c r="L561">
        <v>1</v>
      </c>
      <c r="M561">
        <v>0.37</v>
      </c>
      <c r="N561">
        <v>7.9715800000000003</v>
      </c>
      <c r="O561">
        <v>13.747569</v>
      </c>
      <c r="P561">
        <v>1.8816379999999999</v>
      </c>
      <c r="Q561">
        <v>9.43</v>
      </c>
      <c r="R561" t="str">
        <v/>
      </c>
      <c r="S561" t="str">
        <v/>
      </c>
      <c r="T561">
        <v>191</v>
      </c>
      <c r="U561">
        <v>263</v>
      </c>
      <c r="V561">
        <v>-7.0000000000000007E-2</v>
      </c>
      <c r="W561">
        <v>3</v>
      </c>
      <c r="X561" s="5">
        <f t="shared" si="19"/>
        <v>23.555555555555554</v>
      </c>
      <c r="Y561" s="6">
        <f t="shared" si="20"/>
        <v>20000000</v>
      </c>
    </row>
    <row r="562" spans="2:25" x14ac:dyDescent="0.25">
      <c r="B562" t="str">
        <f>Siam_Chart[[#This Row],[Name]]</f>
        <v>ROCTEC</v>
      </c>
      <c r="C562">
        <f>Siam_Chart[[#This Row],[No.]]</f>
        <v>561</v>
      </c>
      <c r="D562">
        <f>Siam_Chart[[#This Row],[Last]]</f>
        <v>0.65</v>
      </c>
      <c r="E562">
        <f>Siam_Chart[[#This Row],[Chg%]]</f>
        <v>0</v>
      </c>
      <c r="F562">
        <f>Siam_Chart[[#This Row],[Volume]]</f>
        <v>786365</v>
      </c>
      <c r="G562">
        <f>Siam_Chart[[#This Row],[Value (k)]]</f>
        <v>504654.31</v>
      </c>
      <c r="H562" cm="1">
        <f t="array" ref="H562:W562">Siam_Chart[[#This Row],[MCap (M)]:[CG]]</f>
        <v>5276684883.6000004</v>
      </c>
      <c r="I562">
        <v>11.29</v>
      </c>
      <c r="J562">
        <v>1.24</v>
      </c>
      <c r="K562">
        <v>0.56124600000000002</v>
      </c>
      <c r="L562">
        <v>1.84E-2</v>
      </c>
      <c r="M562">
        <v>0.01</v>
      </c>
      <c r="N562">
        <v>8.9524319999999999</v>
      </c>
      <c r="O562">
        <v>10.829088</v>
      </c>
      <c r="P562">
        <v>13.931179999999999</v>
      </c>
      <c r="Q562">
        <v>2.83</v>
      </c>
      <c r="R562" t="str">
        <v/>
      </c>
      <c r="S562" t="str">
        <v/>
      </c>
      <c r="T562">
        <v>572</v>
      </c>
      <c r="U562">
        <v>525</v>
      </c>
      <c r="V562">
        <v>0.15</v>
      </c>
      <c r="W562">
        <v>5</v>
      </c>
      <c r="X562" s="5">
        <f t="shared" si="19"/>
        <v>0.52419354838709675</v>
      </c>
      <c r="Y562" s="6">
        <f t="shared" si="20"/>
        <v>8117976744</v>
      </c>
    </row>
    <row r="563" spans="2:25" x14ac:dyDescent="0.25">
      <c r="B563" t="str">
        <f>Siam_Chart[[#This Row],[Name]]</f>
        <v>ROH</v>
      </c>
      <c r="C563">
        <f>Siam_Chart[[#This Row],[No.]]</f>
        <v>562</v>
      </c>
      <c r="D563">
        <f>Siam_Chart[[#This Row],[Last]]</f>
        <v>2026</v>
      </c>
      <c r="E563">
        <f>Siam_Chart[[#This Row],[Chg%]]</f>
        <v>0</v>
      </c>
      <c r="F563">
        <f>Siam_Chart[[#This Row],[Volume]]</f>
        <v>0</v>
      </c>
      <c r="G563">
        <f>Siam_Chart[[#This Row],[Value (k)]]</f>
        <v>0</v>
      </c>
      <c r="H563" cm="1">
        <f t="array" ref="H563:W563">Siam_Chart[[#This Row],[MCap (M)]:[CG]]</f>
        <v>1127</v>
      </c>
      <c r="I563">
        <v>0</v>
      </c>
      <c r="J563">
        <v>3.5913177422651654</v>
      </c>
      <c r="K563">
        <v>3.5913179999999998</v>
      </c>
      <c r="L563">
        <v>-0.28999999999999998</v>
      </c>
      <c r="M563">
        <v>-0.28999999999999998</v>
      </c>
      <c r="N563">
        <v>-9.5490359999999992</v>
      </c>
      <c r="O563">
        <v>-53.094664999999999</v>
      </c>
      <c r="P563">
        <v>-81.075417999999999</v>
      </c>
      <c r="Q563">
        <v>0</v>
      </c>
      <c r="R563" t="str">
        <v/>
      </c>
      <c r="S563" t="str">
        <v/>
      </c>
      <c r="T563">
        <v>0</v>
      </c>
      <c r="U563">
        <v>0</v>
      </c>
      <c r="V563">
        <v>0.96</v>
      </c>
      <c r="W563">
        <v>0</v>
      </c>
      <c r="X563" s="5">
        <f t="shared" si="19"/>
        <v>564.13833177627259</v>
      </c>
      <c r="Y563" s="6">
        <f t="shared" si="20"/>
        <v>0.55626850937808492</v>
      </c>
    </row>
    <row r="564" spans="2:25" x14ac:dyDescent="0.25">
      <c r="B564" t="str">
        <f>Siam_Chart[[#This Row],[Name]]</f>
        <v>ROJNA</v>
      </c>
      <c r="C564">
        <f>Siam_Chart[[#This Row],[No.]]</f>
        <v>563</v>
      </c>
      <c r="D564">
        <f>Siam_Chart[[#This Row],[Last]]</f>
        <v>6</v>
      </c>
      <c r="E564">
        <f>Siam_Chart[[#This Row],[Chg%]]</f>
        <v>0</v>
      </c>
      <c r="F564">
        <f>Siam_Chart[[#This Row],[Volume]]</f>
        <v>2060662</v>
      </c>
      <c r="G564">
        <f>Siam_Chart[[#This Row],[Value (k)]]</f>
        <v>12438833</v>
      </c>
      <c r="H564" cm="1">
        <f t="array" ref="H564:W564">Siam_Chart[[#This Row],[MCap (M)]:[CG]]</f>
        <v>12122771178</v>
      </c>
      <c r="I564">
        <v>3.33</v>
      </c>
      <c r="J564">
        <v>0.57999999999999996</v>
      </c>
      <c r="K564">
        <v>1.049042</v>
      </c>
      <c r="L564">
        <v>0.5</v>
      </c>
      <c r="M564">
        <v>1.46</v>
      </c>
      <c r="N564">
        <v>11.016987</v>
      </c>
      <c r="O564">
        <v>18.468893000000001</v>
      </c>
      <c r="P564">
        <v>40.039439000000002</v>
      </c>
      <c r="Q564">
        <v>8.33</v>
      </c>
      <c r="R564" t="str">
        <v/>
      </c>
      <c r="S564" t="str">
        <v/>
      </c>
      <c r="T564">
        <v>235</v>
      </c>
      <c r="U564">
        <v>272</v>
      </c>
      <c r="V564">
        <v>0.14000000000000001</v>
      </c>
      <c r="W564">
        <v>0</v>
      </c>
      <c r="X564" s="5">
        <f t="shared" si="19"/>
        <v>10.344827586206897</v>
      </c>
      <c r="Y564" s="6">
        <f t="shared" si="20"/>
        <v>2020461863</v>
      </c>
    </row>
    <row r="565" spans="2:25" x14ac:dyDescent="0.25">
      <c r="B565" t="str">
        <f>Siam_Chart[[#This Row],[Name]]</f>
        <v>RP</v>
      </c>
      <c r="C565">
        <f>Siam_Chart[[#This Row],[No.]]</f>
        <v>564</v>
      </c>
      <c r="D565">
        <f>Siam_Chart[[#This Row],[Last]]</f>
        <v>0.6</v>
      </c>
      <c r="E565">
        <f>Siam_Chart[[#This Row],[Chg%]]</f>
        <v>-4.76</v>
      </c>
      <c r="F565">
        <f>Siam_Chart[[#This Row],[Volume]]</f>
        <v>76615</v>
      </c>
      <c r="G565">
        <f>Siam_Chart[[#This Row],[Value (k)]]</f>
        <v>46124.15</v>
      </c>
      <c r="H565" cm="1">
        <f t="array" ref="H565:W565">Siam_Chart[[#This Row],[MCap (M)]:[CG]]</f>
        <v>120486965.40000001</v>
      </c>
      <c r="I565">
        <v>120486965.40000001</v>
      </c>
      <c r="J565">
        <v>0.28000000000000003</v>
      </c>
      <c r="K565">
        <v>1.331307</v>
      </c>
      <c r="L565">
        <v>-0.02</v>
      </c>
      <c r="M565">
        <v>-0.02</v>
      </c>
      <c r="N565">
        <v>1.2499359999999999</v>
      </c>
      <c r="O565">
        <v>-13.769356</v>
      </c>
      <c r="P565">
        <v>-0.96540999999999999</v>
      </c>
      <c r="Q565">
        <v>0.28000000000000003</v>
      </c>
      <c r="R565" t="str">
        <v/>
      </c>
      <c r="S565" t="str">
        <v/>
      </c>
      <c r="T565">
        <v>0</v>
      </c>
      <c r="U565">
        <v>0</v>
      </c>
      <c r="V565">
        <v>0</v>
      </c>
      <c r="W565">
        <v>0</v>
      </c>
      <c r="X565" s="5">
        <f t="shared" si="19"/>
        <v>2.1428571428571428</v>
      </c>
      <c r="Y565" s="6">
        <f t="shared" si="20"/>
        <v>200811609.00000003</v>
      </c>
    </row>
    <row r="566" spans="2:25" x14ac:dyDescent="0.25">
      <c r="B566" t="str">
        <f>Siam_Chart[[#This Row],[Name]]</f>
        <v>RPC</v>
      </c>
      <c r="C566">
        <f>Siam_Chart[[#This Row],[No.]]</f>
        <v>565</v>
      </c>
      <c r="D566">
        <f>Siam_Chart[[#This Row],[Last]]</f>
        <v>0.4</v>
      </c>
      <c r="E566">
        <f>Siam_Chart[[#This Row],[Chg%]]</f>
        <v>0</v>
      </c>
      <c r="F566">
        <f>Siam_Chart[[#This Row],[Volume]]</f>
        <v>2232800</v>
      </c>
      <c r="G566">
        <f>Siam_Chart[[#This Row],[Value (k)]]</f>
        <v>893221</v>
      </c>
      <c r="H566" cm="1">
        <f t="array" ref="H566:W566">Siam_Chart[[#This Row],[MCap (M)]:[CG]]</f>
        <v>521865650</v>
      </c>
      <c r="I566">
        <v>495772367.5</v>
      </c>
      <c r="J566">
        <v>0.23</v>
      </c>
      <c r="K566">
        <v>1.3110619999999999</v>
      </c>
      <c r="L566">
        <v>0.01</v>
      </c>
      <c r="M566">
        <v>0.02</v>
      </c>
      <c r="N566">
        <v>1.580435</v>
      </c>
      <c r="O566">
        <v>-0.34251999999999999</v>
      </c>
      <c r="P566">
        <v>1.853839</v>
      </c>
      <c r="Q566">
        <v>2.5</v>
      </c>
      <c r="R566" t="str">
        <v/>
      </c>
      <c r="S566" t="str">
        <v/>
      </c>
      <c r="T566">
        <v>0</v>
      </c>
      <c r="U566">
        <v>0</v>
      </c>
      <c r="V566">
        <v>0</v>
      </c>
      <c r="W566">
        <v>3</v>
      </c>
      <c r="X566" s="5">
        <f t="shared" si="19"/>
        <v>1.7391304347826086</v>
      </c>
      <c r="Y566" s="6">
        <f t="shared" si="20"/>
        <v>1304664125</v>
      </c>
    </row>
    <row r="567" spans="2:25" x14ac:dyDescent="0.25">
      <c r="B567" t="str">
        <f>Siam_Chart[[#This Row],[Name]]</f>
        <v>RPH</v>
      </c>
      <c r="C567">
        <f>Siam_Chart[[#This Row],[No.]]</f>
        <v>566</v>
      </c>
      <c r="D567">
        <f>Siam_Chart[[#This Row],[Last]]</f>
        <v>4.84</v>
      </c>
      <c r="E567">
        <f>Siam_Chart[[#This Row],[Chg%]]</f>
        <v>-0.41</v>
      </c>
      <c r="F567">
        <f>Siam_Chart[[#This Row],[Volume]]</f>
        <v>51079</v>
      </c>
      <c r="G567">
        <f>Siam_Chart[[#This Row],[Value (k)]]</f>
        <v>247726.5</v>
      </c>
      <c r="H567" cm="1">
        <f t="array" ref="H567:W567">Siam_Chart[[#This Row],[MCap (M)]:[CG]]</f>
        <v>2642640000</v>
      </c>
      <c r="I567">
        <v>16.239999999999998</v>
      </c>
      <c r="J567">
        <v>1.53</v>
      </c>
      <c r="K567">
        <v>0.18402499999999999</v>
      </c>
      <c r="L567">
        <v>0.08</v>
      </c>
      <c r="M567">
        <v>0.1</v>
      </c>
      <c r="N567">
        <v>10.431933000000001</v>
      </c>
      <c r="O567">
        <v>9.4503489999999992</v>
      </c>
      <c r="P567">
        <v>10.267723999999999</v>
      </c>
      <c r="Q567">
        <v>5.79</v>
      </c>
      <c r="R567" t="str">
        <v/>
      </c>
      <c r="S567" t="str">
        <v/>
      </c>
      <c r="T567">
        <v>799</v>
      </c>
      <c r="U567">
        <v>656</v>
      </c>
      <c r="V567">
        <v>-1.04</v>
      </c>
      <c r="W567">
        <v>4</v>
      </c>
      <c r="X567" s="5">
        <f t="shared" si="19"/>
        <v>3.1633986928104574</v>
      </c>
      <c r="Y567" s="6">
        <f t="shared" si="20"/>
        <v>546000000</v>
      </c>
    </row>
    <row r="568" spans="2:25" x14ac:dyDescent="0.25">
      <c r="B568" t="str">
        <f>Siam_Chart[[#This Row],[Name]]</f>
        <v>RS</v>
      </c>
      <c r="C568">
        <f>Siam_Chart[[#This Row],[No.]]</f>
        <v>567</v>
      </c>
      <c r="D568">
        <f>Siam_Chart[[#This Row],[Last]]</f>
        <v>0.13</v>
      </c>
      <c r="E568">
        <f>Siam_Chart[[#This Row],[Chg%]]</f>
        <v>0</v>
      </c>
      <c r="F568">
        <f>Siam_Chart[[#This Row],[Volume]]</f>
        <v>334309</v>
      </c>
      <c r="G568">
        <f>Siam_Chart[[#This Row],[Value (k)]]</f>
        <v>44650.19</v>
      </c>
      <c r="H568" cm="1">
        <f t="array" ref="H568:W568">Siam_Chart[[#This Row],[MCap (M)]:[CG]]</f>
        <v>283688373.93000001</v>
      </c>
      <c r="I568">
        <v>283688373.93000001</v>
      </c>
      <c r="J568">
        <v>0.26</v>
      </c>
      <c r="K568">
        <v>4.6367640000000003</v>
      </c>
      <c r="L568">
        <v>0.6</v>
      </c>
      <c r="M568">
        <v>-0.21</v>
      </c>
      <c r="N568">
        <v>-9.5217840000000002</v>
      </c>
      <c r="O568">
        <v>-70.309149000000005</v>
      </c>
      <c r="P568">
        <v>-63.232686000000001</v>
      </c>
      <c r="Q568">
        <v>0.26</v>
      </c>
      <c r="R568" t="str">
        <v/>
      </c>
      <c r="S568" t="str">
        <v/>
      </c>
      <c r="T568">
        <v>0</v>
      </c>
      <c r="U568">
        <v>0</v>
      </c>
      <c r="V568">
        <v>0</v>
      </c>
      <c r="W568">
        <v>5</v>
      </c>
      <c r="X568" s="5">
        <f t="shared" si="19"/>
        <v>0.5</v>
      </c>
      <c r="Y568" s="6">
        <f t="shared" si="20"/>
        <v>2182218261</v>
      </c>
    </row>
    <row r="569" spans="2:25" x14ac:dyDescent="0.25">
      <c r="B569" t="str">
        <f>Siam_Chart[[#This Row],[Name]]</f>
        <v>RSP</v>
      </c>
      <c r="C569">
        <f>Siam_Chart[[#This Row],[No.]]</f>
        <v>568</v>
      </c>
      <c r="D569">
        <f>Siam_Chart[[#This Row],[Last]]</f>
        <v>1.06</v>
      </c>
      <c r="E569">
        <f>Siam_Chart[[#This Row],[Chg%]]</f>
        <v>-1.85</v>
      </c>
      <c r="F569">
        <f>Siam_Chart[[#This Row],[Volume]]</f>
        <v>236110</v>
      </c>
      <c r="G569">
        <f>Siam_Chart[[#This Row],[Value (k)]]</f>
        <v>250950.5</v>
      </c>
      <c r="H569" cm="1">
        <f t="array" ref="H569:W569">Siam_Chart[[#This Row],[MCap (M)]:[CG]]</f>
        <v>787580000</v>
      </c>
      <c r="I569">
        <v>20.3</v>
      </c>
      <c r="J569">
        <v>0.49</v>
      </c>
      <c r="K569">
        <v>0.42056199999999999</v>
      </c>
      <c r="L569">
        <v>0.18</v>
      </c>
      <c r="M569">
        <v>0.05</v>
      </c>
      <c r="N569">
        <v>3.3000889999999998</v>
      </c>
      <c r="O569">
        <v>2.4301010000000001</v>
      </c>
      <c r="P569">
        <v>5.2190009999999996</v>
      </c>
      <c r="Q569">
        <v>0.43</v>
      </c>
      <c r="R569" t="str">
        <v/>
      </c>
      <c r="S569" t="str">
        <v/>
      </c>
      <c r="T569">
        <v>1319</v>
      </c>
      <c r="U569">
        <v>1300</v>
      </c>
      <c r="V569">
        <v>1.04</v>
      </c>
      <c r="W569">
        <v>0</v>
      </c>
      <c r="X569" s="5">
        <f t="shared" si="19"/>
        <v>2.1632653061224492</v>
      </c>
      <c r="Y569" s="6">
        <f t="shared" si="20"/>
        <v>743000000</v>
      </c>
    </row>
    <row r="570" spans="2:25" x14ac:dyDescent="0.25">
      <c r="B570" t="str">
        <f>Siam_Chart[[#This Row],[Name]]</f>
        <v>RT</v>
      </c>
      <c r="C570">
        <f>Siam_Chart[[#This Row],[No.]]</f>
        <v>569</v>
      </c>
      <c r="D570">
        <f>Siam_Chart[[#This Row],[Last]]</f>
        <v>0.28000000000000003</v>
      </c>
      <c r="E570">
        <f>Siam_Chart[[#This Row],[Chg%]]</f>
        <v>0</v>
      </c>
      <c r="F570">
        <f>Siam_Chart[[#This Row],[Volume]]</f>
        <v>8555950</v>
      </c>
      <c r="G570">
        <f>Siam_Chart[[#This Row],[Value (k)]]</f>
        <v>2434841</v>
      </c>
      <c r="H570" cm="1">
        <f t="array" ref="H570:W570">Siam_Chart[[#This Row],[MCap (M)]:[CG]]</f>
        <v>413659593.75999999</v>
      </c>
      <c r="I570">
        <v>3.26</v>
      </c>
      <c r="J570">
        <v>0.3</v>
      </c>
      <c r="K570">
        <v>3.4522279999999999</v>
      </c>
      <c r="L570">
        <v>1.4E-2</v>
      </c>
      <c r="M570">
        <v>0.02</v>
      </c>
      <c r="N570">
        <v>5.4031770000000003</v>
      </c>
      <c r="O570">
        <v>9.7214299999999998</v>
      </c>
      <c r="P570">
        <v>1.4145350000000001</v>
      </c>
      <c r="Q570">
        <v>0.28999999999999998</v>
      </c>
      <c r="R570" t="str">
        <v/>
      </c>
      <c r="S570" t="str">
        <v/>
      </c>
      <c r="T570">
        <v>335</v>
      </c>
      <c r="U570">
        <v>424</v>
      </c>
      <c r="V570">
        <v>-0.01</v>
      </c>
      <c r="W570">
        <v>5</v>
      </c>
      <c r="X570" s="5">
        <f t="shared" si="19"/>
        <v>0.93333333333333346</v>
      </c>
      <c r="Y570" s="6">
        <f t="shared" si="20"/>
        <v>1477355691.9999998</v>
      </c>
    </row>
    <row r="571" spans="2:25" x14ac:dyDescent="0.25">
      <c r="B571" t="str">
        <f>Siam_Chart[[#This Row],[Name]]</f>
        <v>RWI</v>
      </c>
      <c r="C571">
        <f>Siam_Chart[[#This Row],[No.]]</f>
        <v>570</v>
      </c>
      <c r="D571">
        <f>Siam_Chart[[#This Row],[Last]]</f>
        <v>0.19</v>
      </c>
      <c r="E571">
        <f>Siam_Chart[[#This Row],[Chg%]]</f>
        <v>0</v>
      </c>
      <c r="F571">
        <f>Siam_Chart[[#This Row],[Volume]]</f>
        <v>2348400</v>
      </c>
      <c r="G571">
        <f>Siam_Chart[[#This Row],[Value (k)]]</f>
        <v>437296</v>
      </c>
      <c r="H571" cm="1">
        <f t="array" ref="H571:W571">Siam_Chart[[#This Row],[MCap (M)]:[CG]]</f>
        <v>173902641.59</v>
      </c>
      <c r="I571">
        <v>146444329.75999999</v>
      </c>
      <c r="J571">
        <v>0.21</v>
      </c>
      <c r="K571">
        <v>0.21965799999999999</v>
      </c>
      <c r="L571">
        <v>0.1</v>
      </c>
      <c r="M571">
        <v>-0.05</v>
      </c>
      <c r="N571">
        <v>-6.6985289999999997</v>
      </c>
      <c r="O571">
        <v>-8.8716430000000006</v>
      </c>
      <c r="P571">
        <v>-19.808243000000001</v>
      </c>
      <c r="Q571">
        <v>0.17</v>
      </c>
      <c r="R571" t="str">
        <v/>
      </c>
      <c r="S571" t="str">
        <v/>
      </c>
      <c r="T571">
        <v>0</v>
      </c>
      <c r="U571">
        <v>0</v>
      </c>
      <c r="V571">
        <v>0</v>
      </c>
      <c r="W571">
        <v>0</v>
      </c>
      <c r="X571" s="5">
        <f t="shared" si="19"/>
        <v>0.90476190476190477</v>
      </c>
      <c r="Y571" s="6">
        <f t="shared" si="20"/>
        <v>915277061</v>
      </c>
    </row>
    <row r="572" spans="2:25" x14ac:dyDescent="0.25">
      <c r="B572" t="str">
        <f>Siam_Chart[[#This Row],[Name]]</f>
        <v>S&amp;J</v>
      </c>
      <c r="C572">
        <f>Siam_Chart[[#This Row],[No.]]</f>
        <v>571</v>
      </c>
      <c r="D572">
        <f>Siam_Chart[[#This Row],[Last]]</f>
        <v>2026</v>
      </c>
      <c r="E572">
        <f>Siam_Chart[[#This Row],[Chg%]]</f>
        <v>0.78740157480314965</v>
      </c>
      <c r="F572">
        <f>Siam_Chart[[#This Row],[Volume]]</f>
        <v>6</v>
      </c>
      <c r="G572">
        <f>Siam_Chart[[#This Row],[Value (k)]]</f>
        <v>192</v>
      </c>
      <c r="H572" cm="1">
        <f t="array" ref="H572:W572">Siam_Chart[[#This Row],[MCap (M)]:[CG]]</f>
        <v>4797786496</v>
      </c>
      <c r="I572">
        <v>18.670000000000002</v>
      </c>
      <c r="J572">
        <v>0.97</v>
      </c>
      <c r="K572">
        <v>0.29209000000000002</v>
      </c>
      <c r="L572">
        <v>1.45</v>
      </c>
      <c r="M572">
        <v>0.67</v>
      </c>
      <c r="N572">
        <v>5.0742000000000003</v>
      </c>
      <c r="O572">
        <v>5.2436509999999998</v>
      </c>
      <c r="P572">
        <v>4.57498</v>
      </c>
      <c r="Q572">
        <v>4.53</v>
      </c>
      <c r="R572" t="str">
        <v/>
      </c>
      <c r="S572" t="str">
        <v/>
      </c>
      <c r="T572">
        <v>805</v>
      </c>
      <c r="U572">
        <v>718</v>
      </c>
      <c r="V572">
        <v>1.49</v>
      </c>
      <c r="W572">
        <v>5</v>
      </c>
      <c r="X572" s="5">
        <f t="shared" si="19"/>
        <v>2088.6597938144332</v>
      </c>
      <c r="Y572" s="6">
        <f t="shared" si="20"/>
        <v>2368107.8460019743</v>
      </c>
    </row>
    <row r="573" spans="2:25" x14ac:dyDescent="0.25">
      <c r="B573" t="str">
        <f>Siam_Chart[[#This Row],[Name]]</f>
        <v>S</v>
      </c>
      <c r="C573">
        <f>Siam_Chart[[#This Row],[No.]]</f>
        <v>572</v>
      </c>
      <c r="D573">
        <f>Siam_Chart[[#This Row],[Last]]</f>
        <v>0.54</v>
      </c>
      <c r="E573">
        <f>Siam_Chart[[#This Row],[Chg%]]</f>
        <v>0</v>
      </c>
      <c r="F573">
        <f>Siam_Chart[[#This Row],[Volume]]</f>
        <v>5626889</v>
      </c>
      <c r="G573">
        <f>Siam_Chart[[#This Row],[Value (k)]]</f>
        <v>3116843.18</v>
      </c>
      <c r="H573" cm="1">
        <f t="array" ref="H573:W573">Siam_Chart[[#This Row],[MCap (M)]:[CG]]</f>
        <v>3701008473.3000002</v>
      </c>
      <c r="I573">
        <v>3495396891.4499998</v>
      </c>
      <c r="J573">
        <v>0.25</v>
      </c>
      <c r="K573">
        <v>2.432979</v>
      </c>
      <c r="L573">
        <v>1.4999999999999999E-2</v>
      </c>
      <c r="M573">
        <v>-0.01</v>
      </c>
      <c r="N573">
        <v>-1.7715999999999999E-2</v>
      </c>
      <c r="O573">
        <v>-8.8058949999999996</v>
      </c>
      <c r="P573">
        <v>0.40563100000000002</v>
      </c>
      <c r="Q573">
        <v>2.78</v>
      </c>
      <c r="R573" t="str">
        <v/>
      </c>
      <c r="S573" t="str">
        <v/>
      </c>
      <c r="T573">
        <v>0</v>
      </c>
      <c r="U573">
        <v>0</v>
      </c>
      <c r="V573">
        <v>0</v>
      </c>
      <c r="W573">
        <v>5</v>
      </c>
      <c r="X573" s="5">
        <f t="shared" si="19"/>
        <v>2.16</v>
      </c>
      <c r="Y573" s="6">
        <f t="shared" si="20"/>
        <v>6853719395</v>
      </c>
    </row>
    <row r="574" spans="2:25" x14ac:dyDescent="0.25">
      <c r="B574" t="str">
        <f>Siam_Chart[[#This Row],[Name]]</f>
        <v>S11</v>
      </c>
      <c r="C574">
        <f>Siam_Chart[[#This Row],[No.]]</f>
        <v>573</v>
      </c>
      <c r="D574">
        <f>Siam_Chart[[#This Row],[Last]]</f>
        <v>4.6399999999999997</v>
      </c>
      <c r="E574">
        <f>Siam_Chart[[#This Row],[Chg%]]</f>
        <v>-0.43</v>
      </c>
      <c r="F574">
        <f>Siam_Chart[[#This Row],[Volume]]</f>
        <v>333700</v>
      </c>
      <c r="G574">
        <f>Siam_Chart[[#This Row],[Value (k)]]</f>
        <v>1546368</v>
      </c>
      <c r="H574" cm="1">
        <f t="array" ref="H574:W574">Siam_Chart[[#This Row],[MCap (M)]:[CG]]</f>
        <v>2844320000</v>
      </c>
      <c r="I574">
        <v>6.48</v>
      </c>
      <c r="J574">
        <v>0.75</v>
      </c>
      <c r="K574">
        <v>0.76157399999999997</v>
      </c>
      <c r="L574">
        <v>0.14000000000000001</v>
      </c>
      <c r="M574">
        <v>0.39</v>
      </c>
      <c r="N574">
        <v>10.027752</v>
      </c>
      <c r="O574">
        <v>12.053666</v>
      </c>
      <c r="P574">
        <v>39.211793</v>
      </c>
      <c r="Q574">
        <v>5.39</v>
      </c>
      <c r="R574" t="str">
        <v/>
      </c>
      <c r="S574" t="str">
        <v/>
      </c>
      <c r="T574">
        <v>348</v>
      </c>
      <c r="U574">
        <v>461</v>
      </c>
      <c r="V574">
        <v>0.11</v>
      </c>
      <c r="W574">
        <v>0</v>
      </c>
      <c r="X574" s="5">
        <f t="shared" si="19"/>
        <v>6.1866666666666665</v>
      </c>
      <c r="Y574" s="6">
        <f t="shared" si="20"/>
        <v>613000000</v>
      </c>
    </row>
    <row r="575" spans="2:25" x14ac:dyDescent="0.25">
      <c r="B575" t="str">
        <f>Siam_Chart[[#This Row],[Name]]</f>
        <v>SA</v>
      </c>
      <c r="C575">
        <f>Siam_Chart[[#This Row],[No.]]</f>
        <v>574</v>
      </c>
      <c r="D575">
        <f>Siam_Chart[[#This Row],[Last]]</f>
        <v>7</v>
      </c>
      <c r="E575">
        <f>Siam_Chart[[#This Row],[Chg%]]</f>
        <v>0.72</v>
      </c>
      <c r="F575">
        <f>Siam_Chart[[#This Row],[Volume]]</f>
        <v>19700</v>
      </c>
      <c r="G575">
        <f>Siam_Chart[[#This Row],[Value (k)]]</f>
        <v>137280</v>
      </c>
      <c r="H575" cm="1">
        <f t="array" ref="H575:W575">Siam_Chart[[#This Row],[MCap (M)]:[CG]]</f>
        <v>8392349042</v>
      </c>
      <c r="I575">
        <v>156.33000000000001</v>
      </c>
      <c r="J575">
        <v>1.5</v>
      </c>
      <c r="K575">
        <v>2.849281</v>
      </c>
      <c r="L575">
        <v>0.08</v>
      </c>
      <c r="M575">
        <v>0.01</v>
      </c>
      <c r="N575">
        <v>1.9763139999999999</v>
      </c>
      <c r="O575">
        <v>0.96149799999999996</v>
      </c>
      <c r="P575">
        <v>3.502901</v>
      </c>
      <c r="Q575">
        <v>1.5</v>
      </c>
      <c r="R575" t="str">
        <v/>
      </c>
      <c r="S575" t="str">
        <v/>
      </c>
      <c r="T575">
        <v>1353</v>
      </c>
      <c r="U575">
        <v>1312</v>
      </c>
      <c r="V575">
        <v>13.96</v>
      </c>
      <c r="W575">
        <v>5</v>
      </c>
      <c r="X575" s="5">
        <f t="shared" si="19"/>
        <v>4.666666666666667</v>
      </c>
      <c r="Y575" s="6">
        <f t="shared" si="20"/>
        <v>1198907006</v>
      </c>
    </row>
    <row r="576" spans="2:25" x14ac:dyDescent="0.25">
      <c r="B576" t="str">
        <f>Siam_Chart[[#This Row],[Name]]</f>
        <v>SAAM</v>
      </c>
      <c r="C576">
        <f>Siam_Chart[[#This Row],[No.]]</f>
        <v>575</v>
      </c>
      <c r="D576">
        <f>Siam_Chart[[#This Row],[Last]]</f>
        <v>4.66</v>
      </c>
      <c r="E576">
        <f>Siam_Chart[[#This Row],[Chg%]]</f>
        <v>0</v>
      </c>
      <c r="F576">
        <f>Siam_Chart[[#This Row],[Volume]]</f>
        <v>13400</v>
      </c>
      <c r="G576">
        <f>Siam_Chart[[#This Row],[Value (k)]]</f>
        <v>62362</v>
      </c>
      <c r="H576" cm="1">
        <f t="array" ref="H576:W576">Siam_Chart[[#This Row],[MCap (M)]:[CG]]</f>
        <v>1477220000</v>
      </c>
      <c r="I576">
        <v>1477220000</v>
      </c>
      <c r="J576">
        <v>3.41</v>
      </c>
      <c r="K576">
        <v>0.164353</v>
      </c>
      <c r="L576">
        <v>0.05</v>
      </c>
      <c r="M576">
        <v>-0.16</v>
      </c>
      <c r="N576">
        <v>-7.4873190000000003</v>
      </c>
      <c r="O576">
        <v>-10.322115</v>
      </c>
      <c r="P576">
        <v>-124.53314</v>
      </c>
      <c r="Q576">
        <v>1.07</v>
      </c>
      <c r="R576" t="str">
        <v/>
      </c>
      <c r="S576" t="str">
        <v/>
      </c>
      <c r="T576">
        <v>0</v>
      </c>
      <c r="U576">
        <v>0</v>
      </c>
      <c r="V576">
        <v>0</v>
      </c>
      <c r="W576">
        <v>5</v>
      </c>
      <c r="X576" s="5">
        <f t="shared" si="19"/>
        <v>1.3665689149560116</v>
      </c>
      <c r="Y576" s="6">
        <f t="shared" si="20"/>
        <v>317000000</v>
      </c>
    </row>
    <row r="577" spans="2:25" x14ac:dyDescent="0.25">
      <c r="B577" t="str">
        <f>Siam_Chart[[#This Row],[Name]]</f>
        <v>SABINA</v>
      </c>
      <c r="C577">
        <f>Siam_Chart[[#This Row],[No.]]</f>
        <v>576</v>
      </c>
      <c r="D577">
        <f>Siam_Chart[[#This Row],[Last]]</f>
        <v>15.5</v>
      </c>
      <c r="E577">
        <f>Siam_Chart[[#This Row],[Chg%]]</f>
        <v>-0.64</v>
      </c>
      <c r="F577">
        <f>Siam_Chart[[#This Row],[Volume]]</f>
        <v>303113</v>
      </c>
      <c r="G577">
        <f>Siam_Chart[[#This Row],[Value (k)]]</f>
        <v>4685978.9000000004</v>
      </c>
      <c r="H577" cm="1">
        <f t="array" ref="H577:W577">Siam_Chart[[#This Row],[MCap (M)]:[CG]]</f>
        <v>5386250000</v>
      </c>
      <c r="I577">
        <v>13.11</v>
      </c>
      <c r="J577">
        <v>2.95</v>
      </c>
      <c r="K577">
        <v>0.26573799999999997</v>
      </c>
      <c r="L577">
        <v>0.57999999999999996</v>
      </c>
      <c r="M577">
        <v>0.57999999999999996</v>
      </c>
      <c r="N577">
        <v>21.827442000000001</v>
      </c>
      <c r="O577">
        <v>22.475418000000001</v>
      </c>
      <c r="P577">
        <v>13.217772</v>
      </c>
      <c r="Q577">
        <v>7.61</v>
      </c>
      <c r="R577" t="str">
        <v/>
      </c>
      <c r="S577" t="str">
        <v/>
      </c>
      <c r="T577">
        <v>466</v>
      </c>
      <c r="U577">
        <v>424</v>
      </c>
      <c r="V577">
        <v>1.3</v>
      </c>
      <c r="W577">
        <v>5</v>
      </c>
      <c r="X577" s="5">
        <f t="shared" si="19"/>
        <v>5.2542372881355925</v>
      </c>
      <c r="Y577" s="6">
        <f t="shared" si="20"/>
        <v>347500000</v>
      </c>
    </row>
    <row r="578" spans="2:25" x14ac:dyDescent="0.25">
      <c r="B578" t="str">
        <f>Siam_Chart[[#This Row],[Name]]</f>
        <v>SAF</v>
      </c>
      <c r="C578">
        <f>Siam_Chart[[#This Row],[No.]]</f>
        <v>577</v>
      </c>
      <c r="D578">
        <f>Siam_Chart[[#This Row],[Last]]</f>
        <v>0.39</v>
      </c>
      <c r="E578">
        <f>Siam_Chart[[#This Row],[Chg%]]</f>
        <v>-2.5</v>
      </c>
      <c r="F578">
        <f>Siam_Chart[[#This Row],[Volume]]</f>
        <v>2178800</v>
      </c>
      <c r="G578">
        <f>Siam_Chart[[#This Row],[Value (k)]]</f>
        <v>881226</v>
      </c>
      <c r="H578" cm="1">
        <f t="array" ref="H578:W578">Siam_Chart[[#This Row],[MCap (M)]:[CG]]</f>
        <v>117000000</v>
      </c>
      <c r="I578">
        <v>120000000</v>
      </c>
      <c r="J578">
        <v>0.44</v>
      </c>
      <c r="K578">
        <v>0.46563599999999999</v>
      </c>
      <c r="L578">
        <v>0.01</v>
      </c>
      <c r="M578">
        <v>0.49282211286505428</v>
      </c>
      <c r="N578">
        <v>0.49282199999999998</v>
      </c>
      <c r="O578">
        <v>-0.74226999999999999</v>
      </c>
      <c r="P578">
        <v>0.29104200000000002</v>
      </c>
      <c r="Q578">
        <v>2.56</v>
      </c>
      <c r="R578" t="str">
        <v/>
      </c>
      <c r="S578" t="str">
        <v/>
      </c>
      <c r="T578">
        <v>0</v>
      </c>
      <c r="U578">
        <v>0</v>
      </c>
      <c r="V578">
        <v>0</v>
      </c>
      <c r="W578">
        <v>0</v>
      </c>
      <c r="X578" s="5">
        <f t="shared" si="19"/>
        <v>0.88636363636363635</v>
      </c>
      <c r="Y578" s="6">
        <f t="shared" si="20"/>
        <v>300000000</v>
      </c>
    </row>
    <row r="579" spans="2:25" x14ac:dyDescent="0.25">
      <c r="B579" t="str">
        <f>Siam_Chart[[#This Row],[Name]]</f>
        <v>SAFE</v>
      </c>
      <c r="C579">
        <f>Siam_Chart[[#This Row],[No.]]</f>
        <v>578</v>
      </c>
      <c r="D579">
        <f>Siam_Chart[[#This Row],[Last]]</f>
        <v>5.35</v>
      </c>
      <c r="E579">
        <f>Siam_Chart[[#This Row],[Chg%]]</f>
        <v>0</v>
      </c>
      <c r="F579">
        <f>Siam_Chart[[#This Row],[Volume]]</f>
        <v>15101</v>
      </c>
      <c r="G579">
        <f>Siam_Chart[[#This Row],[Value (k)]]</f>
        <v>80290.350000000006</v>
      </c>
      <c r="H579" cm="1">
        <f t="array" ref="H579:W579">Siam_Chart[[#This Row],[MCap (M)]:[CG]]</f>
        <v>1626120730</v>
      </c>
      <c r="I579">
        <v>12.67</v>
      </c>
      <c r="J579">
        <v>0.98</v>
      </c>
      <c r="K579">
        <v>0.12514700000000001</v>
      </c>
      <c r="L579">
        <v>0.41</v>
      </c>
      <c r="M579">
        <v>0.21</v>
      </c>
      <c r="N579">
        <v>8.6244060000000005</v>
      </c>
      <c r="O579">
        <v>7.7569559999999997</v>
      </c>
      <c r="P579">
        <v>17.879386</v>
      </c>
      <c r="Q579">
        <v>7.66</v>
      </c>
      <c r="R579" t="str">
        <v/>
      </c>
      <c r="S579" t="str">
        <v/>
      </c>
      <c r="T579">
        <v>742</v>
      </c>
      <c r="U579">
        <v>585</v>
      </c>
      <c r="V579">
        <v>-0.65</v>
      </c>
      <c r="W579">
        <v>3</v>
      </c>
      <c r="X579" s="5">
        <f t="shared" si="19"/>
        <v>5.4591836734693873</v>
      </c>
      <c r="Y579" s="6">
        <f t="shared" si="20"/>
        <v>303947800</v>
      </c>
    </row>
    <row r="580" spans="2:25" x14ac:dyDescent="0.25">
      <c r="B580" t="str">
        <f>Siam_Chart[[#This Row],[Name]]</f>
        <v>SAK</v>
      </c>
      <c r="C580">
        <f>Siam_Chart[[#This Row],[No.]]</f>
        <v>579</v>
      </c>
      <c r="D580">
        <f>Siam_Chart[[#This Row],[Last]]</f>
        <v>3.24</v>
      </c>
      <c r="E580">
        <f>Siam_Chart[[#This Row],[Chg%]]</f>
        <v>-1.22</v>
      </c>
      <c r="F580">
        <f>Siam_Chart[[#This Row],[Volume]]</f>
        <v>515735</v>
      </c>
      <c r="G580">
        <f>Siam_Chart[[#This Row],[Value (k)]]</f>
        <v>1673404</v>
      </c>
      <c r="H580" cm="1">
        <f t="array" ref="H580:W580">Siam_Chart[[#This Row],[MCap (M)]:[CG]]</f>
        <v>6791040000</v>
      </c>
      <c r="I580">
        <v>7.62</v>
      </c>
      <c r="J580">
        <v>0.99</v>
      </c>
      <c r="K580">
        <v>1.3627659999999999</v>
      </c>
      <c r="L580">
        <v>0.2</v>
      </c>
      <c r="M580">
        <v>0.22</v>
      </c>
      <c r="N580">
        <v>9.0786250000000006</v>
      </c>
      <c r="O580">
        <v>13.409936999999999</v>
      </c>
      <c r="P580">
        <v>26.942587</v>
      </c>
      <c r="Q580">
        <v>6.17</v>
      </c>
      <c r="R580" t="str">
        <v/>
      </c>
      <c r="S580" t="str">
        <v/>
      </c>
      <c r="T580">
        <v>314</v>
      </c>
      <c r="U580">
        <v>534</v>
      </c>
      <c r="V580">
        <v>0.8</v>
      </c>
      <c r="W580">
        <v>5</v>
      </c>
      <c r="X580" s="5">
        <f t="shared" ref="X580:X643" si="21">IFERROR(D580/J580,0)</f>
        <v>3.2727272727272729</v>
      </c>
      <c r="Y580" s="6">
        <f t="shared" ref="Y580:Y643" si="22">IFERROR(H580/D580,0)</f>
        <v>2095999999.9999998</v>
      </c>
    </row>
    <row r="581" spans="2:25" x14ac:dyDescent="0.25">
      <c r="B581" t="str">
        <f>Siam_Chart[[#This Row],[Name]]</f>
        <v>SALEE</v>
      </c>
      <c r="C581">
        <f>Siam_Chart[[#This Row],[No.]]</f>
        <v>580</v>
      </c>
      <c r="D581">
        <f>Siam_Chart[[#This Row],[Last]]</f>
        <v>0.6</v>
      </c>
      <c r="E581">
        <f>Siam_Chart[[#This Row],[Chg%]]</f>
        <v>-1.64</v>
      </c>
      <c r="F581">
        <f>Siam_Chart[[#This Row],[Volume]]</f>
        <v>2290300</v>
      </c>
      <c r="G581">
        <f>Siam_Chart[[#This Row],[Value (k)]]</f>
        <v>1406567</v>
      </c>
      <c r="H581" cm="1">
        <f t="array" ref="H581:W581">Siam_Chart[[#This Row],[MCap (M)]:[CG]]</f>
        <v>912290440.79999995</v>
      </c>
      <c r="I581">
        <v>17.13</v>
      </c>
      <c r="J581">
        <v>0.77</v>
      </c>
      <c r="K581">
        <v>0.177956</v>
      </c>
      <c r="L581">
        <v>1.2E-2</v>
      </c>
      <c r="M581">
        <v>0.03</v>
      </c>
      <c r="N581">
        <v>4.635275</v>
      </c>
      <c r="O581">
        <v>4.5773710000000003</v>
      </c>
      <c r="P581">
        <v>6.3763110000000003</v>
      </c>
      <c r="Q581">
        <v>2</v>
      </c>
      <c r="R581" t="str">
        <v/>
      </c>
      <c r="S581" t="str">
        <v/>
      </c>
      <c r="T581">
        <v>1022</v>
      </c>
      <c r="U581">
        <v>957</v>
      </c>
      <c r="V581">
        <v>0</v>
      </c>
      <c r="W581">
        <v>3</v>
      </c>
      <c r="X581" s="5">
        <f t="shared" si="21"/>
        <v>0.77922077922077915</v>
      </c>
      <c r="Y581" s="6">
        <f t="shared" si="22"/>
        <v>1520484068</v>
      </c>
    </row>
    <row r="582" spans="2:25" x14ac:dyDescent="0.25">
      <c r="B582" t="str">
        <f>Siam_Chart[[#This Row],[Name]]</f>
        <v>SAM</v>
      </c>
      <c r="C582">
        <f>Siam_Chart[[#This Row],[No.]]</f>
        <v>581</v>
      </c>
      <c r="D582">
        <f>Siam_Chart[[#This Row],[Last]]</f>
        <v>2025</v>
      </c>
      <c r="E582">
        <f>Siam_Chart[[#This Row],[Chg%]]</f>
        <v>-33.333333333333329</v>
      </c>
      <c r="F582">
        <f>Siam_Chart[[#This Row],[Volume]]</f>
        <v>27505922</v>
      </c>
      <c r="G582">
        <f>Siam_Chart[[#This Row],[Value (k)]]</f>
        <v>3041.09265</v>
      </c>
      <c r="H582" cm="1">
        <f t="array" ref="H582:W582">Siam_Chart[[#This Row],[MCap (M)]:[CG]]</f>
        <v>105</v>
      </c>
      <c r="I582">
        <v>0</v>
      </c>
      <c r="J582">
        <v>2.0216792852940091</v>
      </c>
      <c r="K582">
        <v>2.0216789999999998</v>
      </c>
      <c r="L582">
        <v>-0.25</v>
      </c>
      <c r="M582">
        <v>-0.25</v>
      </c>
      <c r="N582">
        <v>-3.7923290000000001</v>
      </c>
      <c r="O582">
        <v>-19.493224999999999</v>
      </c>
      <c r="P582">
        <v>-4.5958300000000003</v>
      </c>
      <c r="Q582">
        <v>0</v>
      </c>
      <c r="R582" t="str">
        <v/>
      </c>
      <c r="S582" t="str">
        <v/>
      </c>
      <c r="T582">
        <v>0</v>
      </c>
      <c r="U582">
        <v>0</v>
      </c>
      <c r="V582">
        <v>0</v>
      </c>
      <c r="W582">
        <v>0</v>
      </c>
      <c r="X582" s="5">
        <f t="shared" si="21"/>
        <v>1001.6425526690342</v>
      </c>
      <c r="Y582" s="6">
        <f t="shared" si="22"/>
        <v>5.185185185185185E-2</v>
      </c>
    </row>
    <row r="583" spans="2:25" x14ac:dyDescent="0.25">
      <c r="B583" t="str">
        <f>Siam_Chart[[#This Row],[Name]]</f>
        <v>SAMART</v>
      </c>
      <c r="C583">
        <f>Siam_Chart[[#This Row],[No.]]</f>
        <v>582</v>
      </c>
      <c r="D583">
        <f>Siam_Chart[[#This Row],[Last]]</f>
        <v>5.7</v>
      </c>
      <c r="E583">
        <f>Siam_Chart[[#This Row],[Chg%]]</f>
        <v>-1.72</v>
      </c>
      <c r="F583">
        <f>Siam_Chart[[#This Row],[Volume]]</f>
        <v>582600</v>
      </c>
      <c r="G583">
        <f>Siam_Chart[[#This Row],[Value (k)]]</f>
        <v>3344700</v>
      </c>
      <c r="H583" cm="1">
        <f t="array" ref="H583:W583">Siam_Chart[[#This Row],[MCap (M)]:[CG]]</f>
        <v>5737073928.6000004</v>
      </c>
      <c r="I583">
        <v>10.46</v>
      </c>
      <c r="J583">
        <v>1.03</v>
      </c>
      <c r="K583">
        <v>1.316686</v>
      </c>
      <c r="L583">
        <v>0.14000000000000001</v>
      </c>
      <c r="M583">
        <v>0.28000000000000003</v>
      </c>
      <c r="N583">
        <v>7.0791180000000002</v>
      </c>
      <c r="O583">
        <v>10.089601999999999</v>
      </c>
      <c r="P583">
        <v>6.467714</v>
      </c>
      <c r="Q583">
        <v>4.2300000000000004</v>
      </c>
      <c r="R583" t="str">
        <v/>
      </c>
      <c r="S583" t="str">
        <v/>
      </c>
      <c r="T583">
        <v>500</v>
      </c>
      <c r="U583">
        <v>535</v>
      </c>
      <c r="V583">
        <v>0.19</v>
      </c>
      <c r="W583">
        <v>5</v>
      </c>
      <c r="X583" s="5">
        <f t="shared" si="21"/>
        <v>5.5339805825242721</v>
      </c>
      <c r="Y583" s="6">
        <f t="shared" si="22"/>
        <v>1006504198</v>
      </c>
    </row>
    <row r="584" spans="2:25" x14ac:dyDescent="0.25">
      <c r="B584" t="str">
        <f>Siam_Chart[[#This Row],[Name]]</f>
        <v>SAMCO</v>
      </c>
      <c r="C584">
        <f>Siam_Chart[[#This Row],[No.]]</f>
        <v>583</v>
      </c>
      <c r="D584">
        <f>Siam_Chart[[#This Row],[Last]]</f>
        <v>0.81</v>
      </c>
      <c r="E584">
        <f>Siam_Chart[[#This Row],[Chg%]]</f>
        <v>-1.22</v>
      </c>
      <c r="F584">
        <f>Siam_Chart[[#This Row],[Volume]]</f>
        <v>309554</v>
      </c>
      <c r="G584">
        <f>Siam_Chart[[#This Row],[Value (k)]]</f>
        <v>248531.57</v>
      </c>
      <c r="H584" cm="1">
        <f t="array" ref="H584:W584">Siam_Chart[[#This Row],[MCap (M)]:[CG]]</f>
        <v>519858361.25999999</v>
      </c>
      <c r="I584">
        <v>4.16</v>
      </c>
      <c r="J584">
        <v>0.22</v>
      </c>
      <c r="K584">
        <v>1.025828</v>
      </c>
      <c r="L584">
        <v>0.02</v>
      </c>
      <c r="M584">
        <v>0.21</v>
      </c>
      <c r="N584">
        <v>3.8194219999999999</v>
      </c>
      <c r="O584">
        <v>5.2971139999999997</v>
      </c>
      <c r="P584">
        <v>18.605089</v>
      </c>
      <c r="Q584">
        <v>2.4700000000000002</v>
      </c>
      <c r="R584" t="str">
        <v/>
      </c>
      <c r="S584" t="str">
        <v/>
      </c>
      <c r="T584">
        <v>528</v>
      </c>
      <c r="U584">
        <v>544</v>
      </c>
      <c r="V584">
        <v>-0.08</v>
      </c>
      <c r="W584">
        <v>4</v>
      </c>
      <c r="X584" s="5">
        <f t="shared" si="21"/>
        <v>3.6818181818181821</v>
      </c>
      <c r="Y584" s="6">
        <f t="shared" si="22"/>
        <v>641800446</v>
      </c>
    </row>
    <row r="585" spans="2:25" x14ac:dyDescent="0.25">
      <c r="B585" t="str">
        <f>Siam_Chart[[#This Row],[Name]]</f>
        <v>SAMTEL</v>
      </c>
      <c r="C585">
        <f>Siam_Chart[[#This Row],[No.]]</f>
        <v>584</v>
      </c>
      <c r="D585">
        <f>Siam_Chart[[#This Row],[Last]]</f>
        <v>3.02</v>
      </c>
      <c r="E585">
        <f>Siam_Chart[[#This Row],[Chg%]]</f>
        <v>-0.66</v>
      </c>
      <c r="F585">
        <f>Siam_Chart[[#This Row],[Volume]]</f>
        <v>13900</v>
      </c>
      <c r="G585">
        <f>Siam_Chart[[#This Row],[Value (k)]]</f>
        <v>42012</v>
      </c>
      <c r="H585" cm="1">
        <f t="array" ref="H585:W585">Siam_Chart[[#This Row],[MCap (M)]:[CG]]</f>
        <v>1866360214.4200001</v>
      </c>
      <c r="I585">
        <v>26.9</v>
      </c>
      <c r="J585">
        <v>0.51</v>
      </c>
      <c r="K585">
        <v>0.77099799999999996</v>
      </c>
      <c r="L585">
        <v>7.0000000000000007E-2</v>
      </c>
      <c r="M585">
        <v>0.09</v>
      </c>
      <c r="N585">
        <v>1.7281070000000001</v>
      </c>
      <c r="O585">
        <v>1.898944</v>
      </c>
      <c r="P585">
        <v>2.3462480000000001</v>
      </c>
      <c r="Q585">
        <v>3.97</v>
      </c>
      <c r="R585" t="str">
        <v/>
      </c>
      <c r="S585" t="str">
        <v/>
      </c>
      <c r="T585">
        <v>1227</v>
      </c>
      <c r="U585">
        <v>1231</v>
      </c>
      <c r="V585">
        <v>0.36</v>
      </c>
      <c r="W585">
        <v>5</v>
      </c>
      <c r="X585" s="5">
        <f t="shared" si="21"/>
        <v>5.9215686274509807</v>
      </c>
      <c r="Y585" s="6">
        <f t="shared" si="22"/>
        <v>618000071</v>
      </c>
    </row>
    <row r="586" spans="2:25" x14ac:dyDescent="0.25">
      <c r="B586" t="str">
        <f>Siam_Chart[[#This Row],[Name]]</f>
        <v>SANKO</v>
      </c>
      <c r="C586">
        <f>Siam_Chart[[#This Row],[No.]]</f>
        <v>585</v>
      </c>
      <c r="D586">
        <f>Siam_Chart[[#This Row],[Last]]</f>
        <v>1.17</v>
      </c>
      <c r="E586">
        <f>Siam_Chart[[#This Row],[Chg%]]</f>
        <v>1.74</v>
      </c>
      <c r="F586">
        <f>Siam_Chart[[#This Row],[Volume]]</f>
        <v>961100</v>
      </c>
      <c r="G586">
        <f>Siam_Chart[[#This Row],[Value (k)]]</f>
        <v>1116130</v>
      </c>
      <c r="H586" cm="1">
        <f t="array" ref="H586:W586">Siam_Chart[[#This Row],[MCap (M)]:[CG]]</f>
        <v>370494811.44</v>
      </c>
      <c r="I586">
        <v>5.14</v>
      </c>
      <c r="J586">
        <v>0.97</v>
      </c>
      <c r="K586">
        <v>0.80592900000000001</v>
      </c>
      <c r="L586">
        <v>0.04</v>
      </c>
      <c r="M586">
        <v>0.11</v>
      </c>
      <c r="N586">
        <v>13.516847</v>
      </c>
      <c r="O586">
        <v>20.495460999999999</v>
      </c>
      <c r="P586">
        <v>8.9037690000000005</v>
      </c>
      <c r="Q586">
        <v>3.42</v>
      </c>
      <c r="R586" t="str">
        <v/>
      </c>
      <c r="S586" t="str">
        <v/>
      </c>
      <c r="T586">
        <v>156</v>
      </c>
      <c r="U586">
        <v>186</v>
      </c>
      <c r="V586">
        <v>0.1</v>
      </c>
      <c r="W586">
        <v>4</v>
      </c>
      <c r="X586" s="5">
        <f t="shared" si="21"/>
        <v>1.2061855670103092</v>
      </c>
      <c r="Y586" s="6">
        <f t="shared" si="22"/>
        <v>316662232</v>
      </c>
    </row>
    <row r="587" spans="2:25" x14ac:dyDescent="0.25">
      <c r="B587" t="str">
        <f>Siam_Chart[[#This Row],[Name]]</f>
        <v>SAPPE</v>
      </c>
      <c r="C587">
        <f>Siam_Chart[[#This Row],[No.]]</f>
        <v>586</v>
      </c>
      <c r="D587">
        <f>Siam_Chart[[#This Row],[Last]]</f>
        <v>35.5</v>
      </c>
      <c r="E587">
        <f>Siam_Chart[[#This Row],[Chg%]]</f>
        <v>0</v>
      </c>
      <c r="F587">
        <f>Siam_Chart[[#This Row],[Volume]]</f>
        <v>255338</v>
      </c>
      <c r="G587">
        <f>Siam_Chart[[#This Row],[Value (k)]]</f>
        <v>9126484.25</v>
      </c>
      <c r="H587" cm="1">
        <f t="array" ref="H587:W587">Siam_Chart[[#This Row],[MCap (M)]:[CG]]</f>
        <v>10944262340</v>
      </c>
      <c r="I587">
        <v>15.94</v>
      </c>
      <c r="J587">
        <v>2.58</v>
      </c>
      <c r="K587">
        <v>0.28599599999999997</v>
      </c>
      <c r="L587">
        <v>1.75</v>
      </c>
      <c r="M587">
        <v>1.23</v>
      </c>
      <c r="N587">
        <v>15.559345</v>
      </c>
      <c r="O587">
        <v>16.238938999999998</v>
      </c>
      <c r="P587">
        <v>13.600960000000001</v>
      </c>
      <c r="Q587">
        <v>4.93</v>
      </c>
      <c r="R587" t="str">
        <v/>
      </c>
      <c r="S587" t="str">
        <v/>
      </c>
      <c r="T587">
        <v>599</v>
      </c>
      <c r="U587">
        <v>529</v>
      </c>
      <c r="V587">
        <v>0.61</v>
      </c>
      <c r="W587">
        <v>4</v>
      </c>
      <c r="X587" s="5">
        <f t="shared" si="21"/>
        <v>13.75968992248062</v>
      </c>
      <c r="Y587" s="6">
        <f t="shared" si="22"/>
        <v>308289080</v>
      </c>
    </row>
    <row r="588" spans="2:25" x14ac:dyDescent="0.25">
      <c r="B588" t="str">
        <f>Siam_Chart[[#This Row],[Name]]</f>
        <v>SAT</v>
      </c>
      <c r="C588">
        <f>Siam_Chart[[#This Row],[No.]]</f>
        <v>587</v>
      </c>
      <c r="D588">
        <f>Siam_Chart[[#This Row],[Last]]</f>
        <v>16.100000000000001</v>
      </c>
      <c r="E588">
        <f>Siam_Chart[[#This Row],[Chg%]]</f>
        <v>0</v>
      </c>
      <c r="F588">
        <f>Siam_Chart[[#This Row],[Volume]]</f>
        <v>391260</v>
      </c>
      <c r="G588">
        <f>Siam_Chart[[#This Row],[Value (k)]]</f>
        <v>6317599.4000000004</v>
      </c>
      <c r="H588" cm="1">
        <f t="array" ref="H588:W588">Siam_Chart[[#This Row],[MCap (M)]:[CG]]</f>
        <v>6845621693.3999996</v>
      </c>
      <c r="I588">
        <v>9.01</v>
      </c>
      <c r="J588">
        <v>0.83</v>
      </c>
      <c r="K588">
        <v>0.213283</v>
      </c>
      <c r="L588">
        <v>0.4</v>
      </c>
      <c r="M588">
        <v>0.87</v>
      </c>
      <c r="N588">
        <v>8.2818690000000004</v>
      </c>
      <c r="O588">
        <v>9.2912459999999992</v>
      </c>
      <c r="P588">
        <v>10.772292</v>
      </c>
      <c r="Q588">
        <v>9.94</v>
      </c>
      <c r="R588" t="str">
        <v/>
      </c>
      <c r="S588" t="str">
        <v/>
      </c>
      <c r="T588">
        <v>521</v>
      </c>
      <c r="U588">
        <v>465</v>
      </c>
      <c r="V588">
        <v>-1.71</v>
      </c>
      <c r="W588">
        <v>5</v>
      </c>
      <c r="X588" s="5">
        <f t="shared" si="21"/>
        <v>19.397590361445786</v>
      </c>
      <c r="Y588" s="6">
        <f t="shared" si="22"/>
        <v>425193893.99999994</v>
      </c>
    </row>
    <row r="589" spans="2:25" x14ac:dyDescent="0.25">
      <c r="B589" t="str">
        <f>Siam_Chart[[#This Row],[Name]]</f>
        <v>SAUCE</v>
      </c>
      <c r="C589">
        <f>Siam_Chart[[#This Row],[No.]]</f>
        <v>588</v>
      </c>
      <c r="D589">
        <f>Siam_Chart[[#This Row],[Last]]</f>
        <v>41.5</v>
      </c>
      <c r="E589">
        <f>Siam_Chart[[#This Row],[Chg%]]</f>
        <v>0</v>
      </c>
      <c r="F589">
        <f>Siam_Chart[[#This Row],[Volume]]</f>
        <v>2483</v>
      </c>
      <c r="G589">
        <f>Siam_Chart[[#This Row],[Value (k)]]</f>
        <v>103149.75</v>
      </c>
      <c r="H589" cm="1">
        <f t="array" ref="H589:W589">Siam_Chart[[#This Row],[MCap (M)]:[CG]]</f>
        <v>14940000000</v>
      </c>
      <c r="I589">
        <v>18.61</v>
      </c>
      <c r="J589">
        <v>4.92</v>
      </c>
      <c r="K589">
        <v>0.110025</v>
      </c>
      <c r="L589">
        <v>1.81</v>
      </c>
      <c r="M589">
        <v>1.0900000000000001</v>
      </c>
      <c r="N589">
        <v>30.516560999999999</v>
      </c>
      <c r="O589">
        <v>27.138079999999999</v>
      </c>
      <c r="P589">
        <v>22.510293000000001</v>
      </c>
      <c r="Q589">
        <v>4.3600000000000003</v>
      </c>
      <c r="R589" t="str">
        <v/>
      </c>
      <c r="S589" t="str">
        <v/>
      </c>
      <c r="T589">
        <v>589</v>
      </c>
      <c r="U589">
        <v>541</v>
      </c>
      <c r="V589">
        <v>2.96</v>
      </c>
      <c r="W589">
        <v>0</v>
      </c>
      <c r="X589" s="5">
        <f t="shared" si="21"/>
        <v>8.4349593495934965</v>
      </c>
      <c r="Y589" s="6">
        <f t="shared" si="22"/>
        <v>360000000</v>
      </c>
    </row>
    <row r="590" spans="2:25" x14ac:dyDescent="0.25">
      <c r="B590" t="str">
        <f>Siam_Chart[[#This Row],[Name]]</f>
        <v>SAV</v>
      </c>
      <c r="C590">
        <f>Siam_Chart[[#This Row],[No.]]</f>
        <v>589</v>
      </c>
      <c r="D590">
        <f>Siam_Chart[[#This Row],[Last]]</f>
        <v>11.4</v>
      </c>
      <c r="E590">
        <f>Siam_Chart[[#This Row],[Chg%]]</f>
        <v>2.7</v>
      </c>
      <c r="F590">
        <f>Siam_Chart[[#This Row],[Volume]]</f>
        <v>274322</v>
      </c>
      <c r="G590">
        <f>Siam_Chart[[#This Row],[Value (k)]]</f>
        <v>3116722.5</v>
      </c>
      <c r="H590" cm="1">
        <f t="array" ref="H590:W590">Siam_Chart[[#This Row],[MCap (M)]:[CG]]</f>
        <v>7296000000</v>
      </c>
      <c r="I590">
        <v>13.5</v>
      </c>
      <c r="J590">
        <v>5.21</v>
      </c>
      <c r="K590">
        <v>0.64702300000000001</v>
      </c>
      <c r="L590">
        <v>0.4</v>
      </c>
      <c r="M590">
        <v>0.41</v>
      </c>
      <c r="N590">
        <v>32.723157999999998</v>
      </c>
      <c r="O590">
        <v>38.563890999999998</v>
      </c>
      <c r="P590">
        <v>27.832208999999999</v>
      </c>
      <c r="Q590">
        <v>7.89</v>
      </c>
      <c r="R590" t="str">
        <v/>
      </c>
      <c r="S590" t="str">
        <v/>
      </c>
      <c r="T590">
        <v>429</v>
      </c>
      <c r="U590">
        <v>414</v>
      </c>
      <c r="V590">
        <v>0.33</v>
      </c>
      <c r="W590">
        <v>5</v>
      </c>
      <c r="X590" s="5">
        <f t="shared" si="21"/>
        <v>2.1880998080614202</v>
      </c>
      <c r="Y590" s="6">
        <f t="shared" si="22"/>
        <v>640000000</v>
      </c>
    </row>
    <row r="591" spans="2:25" x14ac:dyDescent="0.25">
      <c r="B591" t="str">
        <f>Siam_Chart[[#This Row],[Name]]</f>
        <v>SAWAD</v>
      </c>
      <c r="C591">
        <f>Siam_Chart[[#This Row],[No.]]</f>
        <v>590</v>
      </c>
      <c r="D591">
        <f>Siam_Chart[[#This Row],[Last]]</f>
        <v>24.1</v>
      </c>
      <c r="E591">
        <f>Siam_Chart[[#This Row],[Chg%]]</f>
        <v>-1.23</v>
      </c>
      <c r="F591">
        <f>Siam_Chart[[#This Row],[Volume]]</f>
        <v>13827018</v>
      </c>
      <c r="G591">
        <f>Siam_Chart[[#This Row],[Value (k)]]</f>
        <v>334122833.80000001</v>
      </c>
      <c r="H591" cm="1">
        <f t="array" ref="H591:W591">Siam_Chart[[#This Row],[MCap (M)]:[CG]]</f>
        <v>40042316988.900002</v>
      </c>
      <c r="I591">
        <v>7.42</v>
      </c>
      <c r="J591">
        <v>1.01</v>
      </c>
      <c r="K591">
        <v>1.516624</v>
      </c>
      <c r="L591">
        <v>0.35</v>
      </c>
      <c r="M591">
        <v>1.65</v>
      </c>
      <c r="N591">
        <v>9.4844439999999999</v>
      </c>
      <c r="O591">
        <v>14.366133</v>
      </c>
      <c r="P591">
        <v>30.950928999999999</v>
      </c>
      <c r="Q591">
        <v>2.9</v>
      </c>
      <c r="R591" t="str">
        <v/>
      </c>
      <c r="S591" t="str">
        <v/>
      </c>
      <c r="T591">
        <v>286</v>
      </c>
      <c r="U591">
        <v>525</v>
      </c>
      <c r="V591">
        <v>4.4000000000000004</v>
      </c>
      <c r="W591">
        <v>5</v>
      </c>
      <c r="X591" s="5">
        <f t="shared" si="21"/>
        <v>23.861386138613863</v>
      </c>
      <c r="Y591" s="6">
        <f t="shared" si="22"/>
        <v>1661506929</v>
      </c>
    </row>
    <row r="592" spans="2:25" x14ac:dyDescent="0.25">
      <c r="B592" t="str">
        <f>Siam_Chart[[#This Row],[Name]]</f>
        <v>SAWANG</v>
      </c>
      <c r="C592">
        <f>Siam_Chart[[#This Row],[No.]]</f>
        <v>591</v>
      </c>
      <c r="D592">
        <f>Siam_Chart[[#This Row],[Last]]</f>
        <v>2026</v>
      </c>
      <c r="E592">
        <f>Siam_Chart[[#This Row],[Chg%]]</f>
        <v>-24.375000000000004</v>
      </c>
      <c r="F592">
        <f>Siam_Chart[[#This Row],[Volume]]</f>
        <v>122043</v>
      </c>
      <c r="G592">
        <f>Siam_Chart[[#This Row],[Value (k)]]</f>
        <v>874.88711000000001</v>
      </c>
      <c r="H592" cm="1">
        <f t="array" ref="H592:W592">Siam_Chart[[#This Row],[MCap (M)]:[CG]]</f>
        <v>140400000</v>
      </c>
      <c r="I592">
        <v>140400000</v>
      </c>
      <c r="J592">
        <v>0.6</v>
      </c>
      <c r="K592">
        <v>0.17025899999999999</v>
      </c>
      <c r="L592">
        <v>-0.62</v>
      </c>
      <c r="M592">
        <v>-0.62</v>
      </c>
      <c r="N592">
        <v>-8.2939330000000009</v>
      </c>
      <c r="O592">
        <v>-9.3051630000000003</v>
      </c>
      <c r="P592">
        <v>-66.195115000000001</v>
      </c>
      <c r="Q592">
        <v>0.6</v>
      </c>
      <c r="R592" t="str">
        <v/>
      </c>
      <c r="S592" t="str">
        <v/>
      </c>
      <c r="T592">
        <v>0</v>
      </c>
      <c r="U592">
        <v>0</v>
      </c>
      <c r="V592">
        <v>0</v>
      </c>
      <c r="W592">
        <v>0</v>
      </c>
      <c r="X592" s="5">
        <f t="shared" si="21"/>
        <v>3376.666666666667</v>
      </c>
      <c r="Y592" s="6">
        <f t="shared" si="22"/>
        <v>69299.111549851921</v>
      </c>
    </row>
    <row r="593" spans="2:25" x14ac:dyDescent="0.25">
      <c r="B593" t="str">
        <f>Siam_Chart[[#This Row],[Name]]</f>
        <v>SC</v>
      </c>
      <c r="C593">
        <f>Siam_Chart[[#This Row],[No.]]</f>
        <v>592</v>
      </c>
      <c r="D593">
        <f>Siam_Chart[[#This Row],[Last]]</f>
        <v>2.08</v>
      </c>
      <c r="E593">
        <f>Siam_Chart[[#This Row],[Chg%]]</f>
        <v>-1.89</v>
      </c>
      <c r="F593">
        <f>Siam_Chart[[#This Row],[Volume]]</f>
        <v>7180957</v>
      </c>
      <c r="G593">
        <f>Siam_Chart[[#This Row],[Value (k)]]</f>
        <v>14843077.880000001</v>
      </c>
      <c r="H593" cm="1">
        <f t="array" ref="H593:W593">Siam_Chart[[#This Row],[MCap (M)]:[CG]]</f>
        <v>8896707861.6000004</v>
      </c>
      <c r="I593">
        <v>4.97</v>
      </c>
      <c r="J593">
        <v>0.35</v>
      </c>
      <c r="K593">
        <v>1.4674560000000001</v>
      </c>
      <c r="L593">
        <v>0.06</v>
      </c>
      <c r="M593">
        <v>0.18</v>
      </c>
      <c r="N593">
        <v>4.0848810000000002</v>
      </c>
      <c r="O593">
        <v>7.2786549999999997</v>
      </c>
      <c r="P593">
        <v>7.5033289999999999</v>
      </c>
      <c r="Q593">
        <v>7.21</v>
      </c>
      <c r="R593" t="str">
        <v/>
      </c>
      <c r="S593" t="str">
        <v/>
      </c>
      <c r="T593">
        <v>509</v>
      </c>
      <c r="U593">
        <v>586</v>
      </c>
      <c r="V593">
        <v>-1.1000000000000001</v>
      </c>
      <c r="W593">
        <v>5</v>
      </c>
      <c r="X593" s="5">
        <f t="shared" si="21"/>
        <v>5.9428571428571431</v>
      </c>
      <c r="Y593" s="6">
        <f t="shared" si="22"/>
        <v>4277263395</v>
      </c>
    </row>
    <row r="594" spans="2:25" x14ac:dyDescent="0.25">
      <c r="B594" t="str">
        <f>Siam_Chart[[#This Row],[Name]]</f>
        <v>SCAP</v>
      </c>
      <c r="C594">
        <f>Siam_Chart[[#This Row],[No.]]</f>
        <v>593</v>
      </c>
      <c r="D594">
        <f>Siam_Chart[[#This Row],[Last]]</f>
        <v>1.75</v>
      </c>
      <c r="E594">
        <f>Siam_Chart[[#This Row],[Chg%]]</f>
        <v>-1.69</v>
      </c>
      <c r="F594">
        <f>Siam_Chart[[#This Row],[Volume]]</f>
        <v>4567406</v>
      </c>
      <c r="G594">
        <f>Siam_Chart[[#This Row],[Value (k)]]</f>
        <v>8057628.8300000001</v>
      </c>
      <c r="H594" cm="1">
        <f t="array" ref="H594:W594">Siam_Chart[[#This Row],[MCap (M)]:[CG]]</f>
        <v>11845898358</v>
      </c>
      <c r="I594">
        <v>8.51</v>
      </c>
      <c r="J594">
        <v>1.01</v>
      </c>
      <c r="K594">
        <v>1.4830179999999999</v>
      </c>
      <c r="L594">
        <v>7.0000000000000007E-2</v>
      </c>
      <c r="M594">
        <v>0.13</v>
      </c>
      <c r="N594">
        <v>8.7360679999999995</v>
      </c>
      <c r="O594">
        <v>12.388385</v>
      </c>
      <c r="P594">
        <v>30.783822000000001</v>
      </c>
      <c r="Q594">
        <v>4</v>
      </c>
      <c r="R594" t="str">
        <v/>
      </c>
      <c r="S594" t="str">
        <v/>
      </c>
      <c r="T594">
        <v>381</v>
      </c>
      <c r="U594">
        <v>632</v>
      </c>
      <c r="V594">
        <v>2.67</v>
      </c>
      <c r="W594">
        <v>5</v>
      </c>
      <c r="X594" s="5">
        <f t="shared" si="21"/>
        <v>1.7326732673267327</v>
      </c>
      <c r="Y594" s="6">
        <f t="shared" si="22"/>
        <v>6769084776</v>
      </c>
    </row>
    <row r="595" spans="2:25" x14ac:dyDescent="0.25">
      <c r="B595" t="str">
        <f>Siam_Chart[[#This Row],[Name]]</f>
        <v>SCB</v>
      </c>
      <c r="C595">
        <f>Siam_Chart[[#This Row],[No.]]</f>
        <v>594</v>
      </c>
      <c r="D595">
        <f>Siam_Chart[[#This Row],[Last]]</f>
        <v>152</v>
      </c>
      <c r="E595">
        <f>Siam_Chart[[#This Row],[Chg%]]</f>
        <v>-0.65</v>
      </c>
      <c r="F595">
        <f>Siam_Chart[[#This Row],[Volume]]</f>
        <v>15368089</v>
      </c>
      <c r="G595">
        <f>Siam_Chart[[#This Row],[Value (k)]]</f>
        <v>2340249808</v>
      </c>
      <c r="H595" cm="1">
        <f t="array" ref="H595:W595">Siam_Chart[[#This Row],[MCap (M)]:[CG]]</f>
        <v>511800307472</v>
      </c>
      <c r="I595">
        <v>11.76</v>
      </c>
      <c r="J595">
        <v>1.06</v>
      </c>
      <c r="K595">
        <v>6.5556530000000004</v>
      </c>
      <c r="L595">
        <v>9.2799999999999994</v>
      </c>
      <c r="M595">
        <v>6.33</v>
      </c>
      <c r="N595">
        <v>2.533515</v>
      </c>
      <c r="O595">
        <v>9.0426680000000008</v>
      </c>
      <c r="P595">
        <v>22.599958999999998</v>
      </c>
      <c r="Q595">
        <v>7.42</v>
      </c>
      <c r="R595" t="str">
        <v/>
      </c>
      <c r="S595" t="str">
        <v/>
      </c>
      <c r="T595">
        <v>625</v>
      </c>
      <c r="U595">
        <v>979</v>
      </c>
      <c r="V595">
        <v>1.36</v>
      </c>
      <c r="W595">
        <v>5</v>
      </c>
      <c r="X595" s="5">
        <f t="shared" si="21"/>
        <v>143.39622641509433</v>
      </c>
      <c r="Y595" s="6">
        <f t="shared" si="22"/>
        <v>3367107286</v>
      </c>
    </row>
    <row r="596" spans="2:25" x14ac:dyDescent="0.25">
      <c r="B596" t="str">
        <f>Siam_Chart[[#This Row],[Name]]</f>
        <v>SCC</v>
      </c>
      <c r="C596">
        <f>Siam_Chart[[#This Row],[No.]]</f>
        <v>595</v>
      </c>
      <c r="D596">
        <f>Siam_Chart[[#This Row],[Last]]</f>
        <v>257</v>
      </c>
      <c r="E596">
        <f>Siam_Chart[[#This Row],[Chg%]]</f>
        <v>0</v>
      </c>
      <c r="F596">
        <f>Siam_Chart[[#This Row],[Volume]]</f>
        <v>4307916</v>
      </c>
      <c r="G596">
        <f>Siam_Chart[[#This Row],[Value (k)]]</f>
        <v>1106243090</v>
      </c>
      <c r="H596" cm="1">
        <f t="array" ref="H596:W596">Siam_Chart[[#This Row],[MCap (M)]:[CG]]</f>
        <v>308400000000</v>
      </c>
      <c r="I596">
        <v>23.02</v>
      </c>
      <c r="J596">
        <v>0.85</v>
      </c>
      <c r="K596">
        <v>0.97413700000000003</v>
      </c>
      <c r="L596">
        <v>3.5</v>
      </c>
      <c r="M596">
        <v>14.8</v>
      </c>
      <c r="N596">
        <v>3.2779289999999999</v>
      </c>
      <c r="O596">
        <v>3.7126969999999999</v>
      </c>
      <c r="P596">
        <v>6.7986550000000001</v>
      </c>
      <c r="Q596">
        <v>1.95</v>
      </c>
      <c r="R596" t="str">
        <v/>
      </c>
      <c r="S596" t="str">
        <v/>
      </c>
      <c r="T596">
        <v>973</v>
      </c>
      <c r="U596">
        <v>966</v>
      </c>
      <c r="V596">
        <v>5</v>
      </c>
      <c r="W596">
        <v>5</v>
      </c>
      <c r="X596" s="5">
        <f t="shared" si="21"/>
        <v>302.35294117647061</v>
      </c>
      <c r="Y596" s="6">
        <f t="shared" si="22"/>
        <v>1200000000</v>
      </c>
    </row>
    <row r="597" spans="2:25" x14ac:dyDescent="0.25">
      <c r="B597" t="str">
        <f>Siam_Chart[[#This Row],[Name]]</f>
        <v>SCCC</v>
      </c>
      <c r="C597">
        <f>Siam_Chart[[#This Row],[No.]]</f>
        <v>596</v>
      </c>
      <c r="D597">
        <f>Siam_Chart[[#This Row],[Last]]</f>
        <v>155</v>
      </c>
      <c r="E597">
        <f>Siam_Chart[[#This Row],[Chg%]]</f>
        <v>0.32</v>
      </c>
      <c r="F597">
        <f>Siam_Chart[[#This Row],[Volume]]</f>
        <v>1759699</v>
      </c>
      <c r="G597">
        <f>Siam_Chart[[#This Row],[Value (k)]]</f>
        <v>271086229.5</v>
      </c>
      <c r="H597" cm="1">
        <f t="array" ref="H597:W597">Siam_Chart[[#This Row],[MCap (M)]:[CG]]</f>
        <v>46190000000</v>
      </c>
      <c r="I597">
        <v>11.15</v>
      </c>
      <c r="J597">
        <v>1.38</v>
      </c>
      <c r="K597">
        <v>0.921184</v>
      </c>
      <c r="L597">
        <v>4</v>
      </c>
      <c r="M597">
        <v>8.83</v>
      </c>
      <c r="N597">
        <v>9.3769469999999995</v>
      </c>
      <c r="O597">
        <v>12.457257999999999</v>
      </c>
      <c r="P597">
        <v>11.307556</v>
      </c>
      <c r="Q597">
        <v>7.1</v>
      </c>
      <c r="R597" t="str">
        <v/>
      </c>
      <c r="S597" t="str">
        <v/>
      </c>
      <c r="T597">
        <v>498</v>
      </c>
      <c r="U597">
        <v>488</v>
      </c>
      <c r="V597">
        <v>0.82</v>
      </c>
      <c r="W597">
        <v>5</v>
      </c>
      <c r="X597" s="5">
        <f t="shared" si="21"/>
        <v>112.31884057971016</v>
      </c>
      <c r="Y597" s="6">
        <f t="shared" si="22"/>
        <v>298000000</v>
      </c>
    </row>
    <row r="598" spans="2:25" x14ac:dyDescent="0.25">
      <c r="B598" t="str">
        <f>Siam_Chart[[#This Row],[Name]]</f>
        <v>SCG</v>
      </c>
      <c r="C598">
        <f>Siam_Chart[[#This Row],[No.]]</f>
        <v>597</v>
      </c>
      <c r="D598">
        <f>Siam_Chart[[#This Row],[Last]]</f>
        <v>2.74</v>
      </c>
      <c r="E598">
        <f>Siam_Chart[[#This Row],[Chg%]]</f>
        <v>0.74</v>
      </c>
      <c r="F598">
        <f>Siam_Chart[[#This Row],[Volume]]</f>
        <v>21174</v>
      </c>
      <c r="G598">
        <f>Siam_Chart[[#This Row],[Value (k)]]</f>
        <v>57740.14</v>
      </c>
      <c r="H598" cm="1">
        <f t="array" ref="H598:W598">Siam_Chart[[#This Row],[MCap (M)]:[CG]]</f>
        <v>3188526086.48</v>
      </c>
      <c r="I598">
        <v>3211799999.52</v>
      </c>
      <c r="J598">
        <v>1.06</v>
      </c>
      <c r="K598">
        <v>1.581574</v>
      </c>
      <c r="L598">
        <v>0.05</v>
      </c>
      <c r="M598">
        <v>-0.09</v>
      </c>
      <c r="N598">
        <v>-0.84583600000000003</v>
      </c>
      <c r="O598">
        <v>-5.8743910000000001</v>
      </c>
      <c r="P598">
        <v>-6.5276709999999998</v>
      </c>
      <c r="Q598">
        <v>1.07</v>
      </c>
      <c r="R598" t="str">
        <v/>
      </c>
      <c r="S598" t="str">
        <v/>
      </c>
      <c r="T598">
        <v>0</v>
      </c>
      <c r="U598">
        <v>0</v>
      </c>
      <c r="V598">
        <v>0</v>
      </c>
      <c r="W598">
        <v>5</v>
      </c>
      <c r="X598" s="5">
        <f t="shared" si="21"/>
        <v>2.5849056603773586</v>
      </c>
      <c r="Y598" s="6">
        <f t="shared" si="22"/>
        <v>1163695652</v>
      </c>
    </row>
    <row r="599" spans="2:25" x14ac:dyDescent="0.25">
      <c r="B599" t="str">
        <f>Siam_Chart[[#This Row],[Name]]</f>
        <v>SCGD</v>
      </c>
      <c r="C599">
        <f>Siam_Chart[[#This Row],[No.]]</f>
        <v>598</v>
      </c>
      <c r="D599">
        <f>Siam_Chart[[#This Row],[Last]]</f>
        <v>5.4</v>
      </c>
      <c r="E599">
        <f>Siam_Chart[[#This Row],[Chg%]]</f>
        <v>0.93</v>
      </c>
      <c r="F599">
        <f>Siam_Chart[[#This Row],[Volume]]</f>
        <v>582125</v>
      </c>
      <c r="G599">
        <f>Siam_Chart[[#This Row],[Value (k)]]</f>
        <v>3186283.4</v>
      </c>
      <c r="H599" cm="1">
        <f t="array" ref="H599:W599">Siam_Chart[[#This Row],[MCap (M)]:[CG]]</f>
        <v>8910000000</v>
      </c>
      <c r="I599">
        <v>19.47</v>
      </c>
      <c r="J599">
        <v>0.49</v>
      </c>
      <c r="K599">
        <v>0.89116399999999996</v>
      </c>
      <c r="L599">
        <v>0.155</v>
      </c>
      <c r="M599">
        <v>-0.02</v>
      </c>
      <c r="N599">
        <v>2.5409760000000001</v>
      </c>
      <c r="O599">
        <v>2.491425</v>
      </c>
      <c r="P599">
        <v>-0.41683799999999999</v>
      </c>
      <c r="Q599">
        <v>6.3</v>
      </c>
      <c r="R599" t="str">
        <v/>
      </c>
      <c r="S599" t="str">
        <v/>
      </c>
      <c r="T599">
        <v>1140</v>
      </c>
      <c r="U599">
        <v>1126</v>
      </c>
      <c r="V599">
        <v>0.24</v>
      </c>
      <c r="W599">
        <v>5</v>
      </c>
      <c r="X599" s="5">
        <f t="shared" si="21"/>
        <v>11.020408163265307</v>
      </c>
      <c r="Y599" s="6">
        <f t="shared" si="22"/>
        <v>1650000000</v>
      </c>
    </row>
    <row r="600" spans="2:25" x14ac:dyDescent="0.25">
      <c r="B600" t="str">
        <f>Siam_Chart[[#This Row],[Name]]</f>
        <v>SCGP</v>
      </c>
      <c r="C600">
        <f>Siam_Chart[[#This Row],[No.]]</f>
        <v>599</v>
      </c>
      <c r="D600">
        <f>Siam_Chart[[#This Row],[Last]]</f>
        <v>29</v>
      </c>
      <c r="E600">
        <f>Siam_Chart[[#This Row],[Chg%]]</f>
        <v>0</v>
      </c>
      <c r="F600">
        <f>Siam_Chart[[#This Row],[Volume]]</f>
        <v>15842752</v>
      </c>
      <c r="G600">
        <f>Siam_Chart[[#This Row],[Value (k)]]</f>
        <v>459972420</v>
      </c>
      <c r="H600" cm="1">
        <f t="array" ref="H600:W600">Siam_Chart[[#This Row],[MCap (M)]:[CG]]</f>
        <v>124494685800</v>
      </c>
      <c r="I600">
        <v>20.65</v>
      </c>
      <c r="J600">
        <v>1.6</v>
      </c>
      <c r="K600">
        <v>0.93240800000000001</v>
      </c>
      <c r="L600">
        <v>0.4</v>
      </c>
      <c r="M600">
        <v>0.9</v>
      </c>
      <c r="N600">
        <v>5.7084289999999998</v>
      </c>
      <c r="O600">
        <v>7.8101750000000001</v>
      </c>
      <c r="P600">
        <v>6.7262170000000001</v>
      </c>
      <c r="Q600">
        <v>2.0699999999999998</v>
      </c>
      <c r="R600" t="str">
        <v/>
      </c>
      <c r="S600" t="str">
        <v/>
      </c>
      <c r="T600">
        <v>938</v>
      </c>
      <c r="U600">
        <v>954</v>
      </c>
      <c r="V600">
        <v>-1.49</v>
      </c>
      <c r="W600">
        <v>5</v>
      </c>
      <c r="X600" s="5">
        <f t="shared" si="21"/>
        <v>18.125</v>
      </c>
      <c r="Y600" s="6">
        <f t="shared" si="22"/>
        <v>4292920200</v>
      </c>
    </row>
    <row r="601" spans="2:25" x14ac:dyDescent="0.25">
      <c r="B601" t="str">
        <f>Siam_Chart[[#This Row],[Name]]</f>
        <v>SCI</v>
      </c>
      <c r="C601">
        <f>Siam_Chart[[#This Row],[No.]]</f>
        <v>600</v>
      </c>
      <c r="D601">
        <f>Siam_Chart[[#This Row],[Last]]</f>
        <v>0.87</v>
      </c>
      <c r="E601">
        <f>Siam_Chart[[#This Row],[Chg%]]</f>
        <v>-4.4000000000000004</v>
      </c>
      <c r="F601">
        <f>Siam_Chart[[#This Row],[Volume]]</f>
        <v>178100</v>
      </c>
      <c r="G601">
        <f>Siam_Chart[[#This Row],[Value (k)]]</f>
        <v>156469</v>
      </c>
      <c r="H601" cm="1">
        <f t="array" ref="H601:W601">Siam_Chart[[#This Row],[MCap (M)]:[CG]]</f>
        <v>652500000</v>
      </c>
      <c r="I601">
        <v>667500000</v>
      </c>
      <c r="J601">
        <v>0.91</v>
      </c>
      <c r="K601">
        <v>1.1671800000000001</v>
      </c>
      <c r="L601">
        <v>-0.03</v>
      </c>
      <c r="M601">
        <v>-0.03</v>
      </c>
      <c r="N601">
        <v>0.27351500000000001</v>
      </c>
      <c r="O601">
        <v>-0.89745699999999995</v>
      </c>
      <c r="P601">
        <v>-5.9180469999999996</v>
      </c>
      <c r="Q601">
        <v>0.93</v>
      </c>
      <c r="R601" t="str">
        <v/>
      </c>
      <c r="S601" t="str">
        <v/>
      </c>
      <c r="T601">
        <v>1310</v>
      </c>
      <c r="U601">
        <v>1321</v>
      </c>
      <c r="V601">
        <v>-0.05</v>
      </c>
      <c r="W601">
        <v>4</v>
      </c>
      <c r="X601" s="5">
        <f t="shared" si="21"/>
        <v>0.95604395604395598</v>
      </c>
      <c r="Y601" s="6">
        <f t="shared" si="22"/>
        <v>750000000</v>
      </c>
    </row>
    <row r="602" spans="2:25" x14ac:dyDescent="0.25">
      <c r="B602" t="str">
        <f>Siam_Chart[[#This Row],[Name]]</f>
        <v>SCL</v>
      </c>
      <c r="C602">
        <f>Siam_Chart[[#This Row],[No.]]</f>
        <v>601</v>
      </c>
      <c r="D602">
        <f>Siam_Chart[[#This Row],[Last]]</f>
        <v>1.61</v>
      </c>
      <c r="E602">
        <f>Siam_Chart[[#This Row],[Chg%]]</f>
        <v>-0.62</v>
      </c>
      <c r="F602">
        <f>Siam_Chart[[#This Row],[Volume]]</f>
        <v>51600</v>
      </c>
      <c r="G602">
        <f>Siam_Chart[[#This Row],[Value (k)]]</f>
        <v>82641</v>
      </c>
      <c r="H602" cm="1">
        <f t="array" ref="H602:W602">Siam_Chart[[#This Row],[MCap (M)]:[CG]]</f>
        <v>402500000</v>
      </c>
      <c r="I602">
        <v>6.97</v>
      </c>
      <c r="J602">
        <v>0.92</v>
      </c>
      <c r="K602">
        <v>1.8883989999999999</v>
      </c>
      <c r="L602">
        <v>4.5999999999999999E-2</v>
      </c>
      <c r="M602">
        <v>0.12</v>
      </c>
      <c r="N602">
        <v>7.0896429999999997</v>
      </c>
      <c r="O602">
        <v>14.48376</v>
      </c>
      <c r="P602">
        <v>2.8936359999999999</v>
      </c>
      <c r="Q602">
        <v>5.8</v>
      </c>
      <c r="R602" t="str">
        <v/>
      </c>
      <c r="S602" t="str">
        <v/>
      </c>
      <c r="T602">
        <v>250</v>
      </c>
      <c r="U602">
        <v>382</v>
      </c>
      <c r="V602">
        <v>0.13</v>
      </c>
      <c r="W602">
        <v>0</v>
      </c>
      <c r="X602" s="5">
        <f t="shared" si="21"/>
        <v>1.75</v>
      </c>
      <c r="Y602" s="6">
        <f t="shared" si="22"/>
        <v>249999999.99999997</v>
      </c>
    </row>
    <row r="603" spans="2:25" x14ac:dyDescent="0.25">
      <c r="B603" t="str">
        <f>Siam_Chart[[#This Row],[Name]]</f>
        <v>SCM</v>
      </c>
      <c r="C603">
        <f>Siam_Chart[[#This Row],[No.]]</f>
        <v>602</v>
      </c>
      <c r="D603">
        <f>Siam_Chart[[#This Row],[Last]]</f>
        <v>0.13</v>
      </c>
      <c r="E603">
        <f>Siam_Chart[[#This Row],[Chg%]]</f>
        <v>8.33</v>
      </c>
      <c r="F603">
        <f>Siam_Chart[[#This Row],[Volume]]</f>
        <v>1161700</v>
      </c>
      <c r="G603">
        <f>Siam_Chart[[#This Row],[Value (k)]]</f>
        <v>139437</v>
      </c>
      <c r="H603" cm="1">
        <f t="array" ref="H603:W603">Siam_Chart[[#This Row],[MCap (M)]:[CG]]</f>
        <v>115218135.5</v>
      </c>
      <c r="I603">
        <v>97492268.5</v>
      </c>
      <c r="J603">
        <v>0.27</v>
      </c>
      <c r="K603">
        <v>0.182642</v>
      </c>
      <c r="L603">
        <v>0.05</v>
      </c>
      <c r="M603">
        <v>-0.03</v>
      </c>
      <c r="N603">
        <v>-17.722024999999999</v>
      </c>
      <c r="O603">
        <v>-22.760370000000002</v>
      </c>
      <c r="P603">
        <v>-17.711659000000001</v>
      </c>
      <c r="Q603">
        <v>0.23</v>
      </c>
      <c r="R603" t="str">
        <v/>
      </c>
      <c r="S603" t="str">
        <v/>
      </c>
      <c r="T603">
        <v>0</v>
      </c>
      <c r="U603">
        <v>0</v>
      </c>
      <c r="V603">
        <v>0</v>
      </c>
      <c r="W603">
        <v>5</v>
      </c>
      <c r="X603" s="5">
        <f t="shared" si="21"/>
        <v>0.48148148148148145</v>
      </c>
      <c r="Y603" s="6">
        <f t="shared" si="22"/>
        <v>886293350</v>
      </c>
    </row>
    <row r="604" spans="2:25" x14ac:dyDescent="0.25">
      <c r="B604" t="str">
        <f>Siam_Chart[[#This Row],[Name]]</f>
        <v>SCN</v>
      </c>
      <c r="C604">
        <f>Siam_Chart[[#This Row],[No.]]</f>
        <v>603</v>
      </c>
      <c r="D604">
        <f>Siam_Chart[[#This Row],[Last]]</f>
        <v>0.48</v>
      </c>
      <c r="E604">
        <f>Siam_Chart[[#This Row],[Chg%]]</f>
        <v>-2.04</v>
      </c>
      <c r="F604">
        <f>Siam_Chart[[#This Row],[Volume]]</f>
        <v>548900</v>
      </c>
      <c r="G604">
        <f>Siam_Chart[[#This Row],[Value (k)]]</f>
        <v>261215</v>
      </c>
      <c r="H604" cm="1">
        <f t="array" ref="H604:W604">Siam_Chart[[#This Row],[MCap (M)]:[CG]]</f>
        <v>582586728</v>
      </c>
      <c r="I604">
        <v>485488940</v>
      </c>
      <c r="J604">
        <v>0.23</v>
      </c>
      <c r="K604">
        <v>0.88589799999999996</v>
      </c>
      <c r="L604">
        <v>1.24E-2</v>
      </c>
      <c r="M604">
        <v>0.01</v>
      </c>
      <c r="N604">
        <v>-3.9987689999999998</v>
      </c>
      <c r="O604">
        <v>-13.642218</v>
      </c>
      <c r="P604">
        <v>2.813323</v>
      </c>
      <c r="Q604">
        <v>0.19</v>
      </c>
      <c r="R604" t="str">
        <v/>
      </c>
      <c r="S604" t="str">
        <v/>
      </c>
      <c r="T604">
        <v>0</v>
      </c>
      <c r="U604">
        <v>0</v>
      </c>
      <c r="V604">
        <v>0</v>
      </c>
      <c r="W604">
        <v>4</v>
      </c>
      <c r="X604" s="5">
        <f t="shared" si="21"/>
        <v>2.0869565217391304</v>
      </c>
      <c r="Y604" s="6">
        <f t="shared" si="22"/>
        <v>1213722350</v>
      </c>
    </row>
    <row r="605" spans="2:25" x14ac:dyDescent="0.25">
      <c r="B605" t="str">
        <f>Siam_Chart[[#This Row],[Name]]</f>
        <v>SCP</v>
      </c>
      <c r="C605">
        <f>Siam_Chart[[#This Row],[No.]]</f>
        <v>604</v>
      </c>
      <c r="D605">
        <f>Siam_Chart[[#This Row],[Last]]</f>
        <v>9.1</v>
      </c>
      <c r="E605">
        <f>Siam_Chart[[#This Row],[Chg%]]</f>
        <v>0</v>
      </c>
      <c r="F605">
        <f>Siam_Chart[[#This Row],[Volume]]</f>
        <v>39245</v>
      </c>
      <c r="G605">
        <f>Siam_Chart[[#This Row],[Value (k)]]</f>
        <v>357608.75</v>
      </c>
      <c r="H605" cm="1">
        <f t="array" ref="H605:W605">Siam_Chart[[#This Row],[MCap (M)]:[CG]]</f>
        <v>2568930000</v>
      </c>
      <c r="I605">
        <v>8.7799999999999994</v>
      </c>
      <c r="J605">
        <v>1.22</v>
      </c>
      <c r="K605">
        <v>0.279082</v>
      </c>
      <c r="L605">
        <v>1</v>
      </c>
      <c r="M605">
        <v>0.65</v>
      </c>
      <c r="N605">
        <v>13.959440000000001</v>
      </c>
      <c r="O605">
        <v>13.962752</v>
      </c>
      <c r="P605">
        <v>14.587609</v>
      </c>
      <c r="Q605">
        <v>10.99</v>
      </c>
      <c r="R605" t="str">
        <v/>
      </c>
      <c r="S605" t="str">
        <v/>
      </c>
      <c r="T605">
        <v>361</v>
      </c>
      <c r="U605">
        <v>267</v>
      </c>
      <c r="V605">
        <v>0.19</v>
      </c>
      <c r="W605">
        <v>0</v>
      </c>
      <c r="X605" s="5">
        <f t="shared" si="21"/>
        <v>7.4590163934426226</v>
      </c>
      <c r="Y605" s="6">
        <f t="shared" si="22"/>
        <v>282300000</v>
      </c>
    </row>
    <row r="606" spans="2:25" x14ac:dyDescent="0.25">
      <c r="B606" t="str">
        <f>Siam_Chart[[#This Row],[Name]]</f>
        <v>SDC</v>
      </c>
      <c r="C606">
        <f>Siam_Chart[[#This Row],[No.]]</f>
        <v>605</v>
      </c>
      <c r="D606">
        <f>Siam_Chart[[#This Row],[Last]]</f>
        <v>0.03</v>
      </c>
      <c r="E606">
        <f>Siam_Chart[[#This Row],[Chg%]]</f>
        <v>0</v>
      </c>
      <c r="F606">
        <f>Siam_Chart[[#This Row],[Volume]]</f>
        <v>9071910</v>
      </c>
      <c r="G606">
        <f>Siam_Chart[[#This Row],[Value (k)]]</f>
        <v>181805.3</v>
      </c>
      <c r="H606" cm="1">
        <f t="array" ref="H606:W606">Siam_Chart[[#This Row],[MCap (M)]:[CG]]</f>
        <v>1035491073.9</v>
      </c>
      <c r="I606">
        <v>49.82</v>
      </c>
      <c r="J606">
        <v>2.71</v>
      </c>
      <c r="K606">
        <v>7.0803089999999997</v>
      </c>
      <c r="L606">
        <v>0</v>
      </c>
      <c r="M606">
        <v>3.5067361576160878</v>
      </c>
      <c r="N606">
        <v>3.5067360000000001</v>
      </c>
      <c r="O606">
        <v>5.5975950000000001</v>
      </c>
      <c r="P606">
        <v>-1.936965</v>
      </c>
      <c r="Q606">
        <v>2.71</v>
      </c>
      <c r="R606" t="str">
        <v/>
      </c>
      <c r="S606" t="str">
        <v/>
      </c>
      <c r="T606">
        <v>1092</v>
      </c>
      <c r="U606">
        <v>1144</v>
      </c>
      <c r="V606">
        <v>0.11</v>
      </c>
      <c r="W606">
        <v>5</v>
      </c>
      <c r="X606" s="5">
        <f t="shared" si="21"/>
        <v>1.107011070110701E-2</v>
      </c>
      <c r="Y606" s="6">
        <f t="shared" si="22"/>
        <v>34516369130</v>
      </c>
    </row>
    <row r="607" spans="2:25" x14ac:dyDescent="0.25">
      <c r="B607" t="str">
        <f>Siam_Chart[[#This Row],[Name]]</f>
        <v>SE</v>
      </c>
      <c r="C607">
        <f>Siam_Chart[[#This Row],[No.]]</f>
        <v>606</v>
      </c>
      <c r="D607">
        <f>Siam_Chart[[#This Row],[Last]]</f>
        <v>0.5</v>
      </c>
      <c r="E607">
        <f>Siam_Chart[[#This Row],[Chg%]]</f>
        <v>0</v>
      </c>
      <c r="F607">
        <f>Siam_Chart[[#This Row],[Volume]]</f>
        <v>49433</v>
      </c>
      <c r="G607">
        <f>Siam_Chart[[#This Row],[Value (k)]]</f>
        <v>24738.21</v>
      </c>
      <c r="H607" cm="1">
        <f t="array" ref="H607:W607">Siam_Chart[[#This Row],[MCap (M)]:[CG]]</f>
        <v>339725166.5</v>
      </c>
      <c r="I607">
        <v>10.11</v>
      </c>
      <c r="J607">
        <v>0.73</v>
      </c>
      <c r="K607">
        <v>0.226077</v>
      </c>
      <c r="L607">
        <v>2.6492999999999999E-2</v>
      </c>
      <c r="M607">
        <v>0.01</v>
      </c>
      <c r="N607">
        <v>6.1399509999999999</v>
      </c>
      <c r="O607">
        <v>7.3318250000000003</v>
      </c>
      <c r="P607">
        <v>3.5038520000000002</v>
      </c>
      <c r="Q607">
        <v>5.3</v>
      </c>
      <c r="R607" t="str">
        <v/>
      </c>
      <c r="S607" t="str">
        <v/>
      </c>
      <c r="T607">
        <v>517</v>
      </c>
      <c r="U607">
        <v>436</v>
      </c>
      <c r="V607">
        <v>0.66</v>
      </c>
      <c r="W607">
        <v>5</v>
      </c>
      <c r="X607" s="5">
        <f t="shared" si="21"/>
        <v>0.68493150684931503</v>
      </c>
      <c r="Y607" s="6">
        <f t="shared" si="22"/>
        <v>679450333</v>
      </c>
    </row>
    <row r="608" spans="2:25" x14ac:dyDescent="0.25">
      <c r="B608" t="str">
        <f>Siam_Chart[[#This Row],[Name]]</f>
        <v>SE-ED</v>
      </c>
      <c r="C608">
        <f>Siam_Chart[[#This Row],[No.]]</f>
        <v>607</v>
      </c>
      <c r="D608">
        <f>Siam_Chart[[#This Row],[Last]]</f>
        <v>1.3</v>
      </c>
      <c r="E608">
        <f>Siam_Chart[[#This Row],[Chg%]]</f>
        <v>0</v>
      </c>
      <c r="F608">
        <f>Siam_Chart[[#This Row],[Volume]]</f>
        <v>1300</v>
      </c>
      <c r="G608">
        <f>Siam_Chart[[#This Row],[Value (k)]]</f>
        <v>1690</v>
      </c>
      <c r="H608" cm="1">
        <f t="array" ref="H608:W608">Siam_Chart[[#This Row],[MCap (M)]:[CG]]</f>
        <v>509527743.39999998</v>
      </c>
      <c r="I608">
        <v>509527743.39999998</v>
      </c>
      <c r="J608">
        <v>0.43</v>
      </c>
      <c r="K608">
        <v>1.117658</v>
      </c>
      <c r="L608">
        <v>0.05</v>
      </c>
      <c r="M608">
        <v>0.05</v>
      </c>
      <c r="N608">
        <v>-3.8247999999999997E-2</v>
      </c>
      <c r="O608">
        <v>-3.6258210000000002</v>
      </c>
      <c r="P608">
        <v>2.8892769999999999</v>
      </c>
      <c r="Q608">
        <v>0.43</v>
      </c>
      <c r="R608" t="str">
        <v/>
      </c>
      <c r="S608" t="str">
        <v/>
      </c>
      <c r="T608">
        <v>0</v>
      </c>
      <c r="U608">
        <v>0</v>
      </c>
      <c r="V608">
        <v>0</v>
      </c>
      <c r="W608">
        <v>3</v>
      </c>
      <c r="X608" s="5">
        <f t="shared" si="21"/>
        <v>3.0232558139534884</v>
      </c>
      <c r="Y608" s="6">
        <f t="shared" si="22"/>
        <v>391944417.99999994</v>
      </c>
    </row>
    <row r="609" spans="2:25" x14ac:dyDescent="0.25">
      <c r="B609" t="str">
        <f>Siam_Chart[[#This Row],[Name]]</f>
        <v>SEAFCO</v>
      </c>
      <c r="C609">
        <f>Siam_Chart[[#This Row],[No.]]</f>
        <v>608</v>
      </c>
      <c r="D609">
        <f>Siam_Chart[[#This Row],[Last]]</f>
        <v>3.02</v>
      </c>
      <c r="E609">
        <f>Siam_Chart[[#This Row],[Chg%]]</f>
        <v>0.67</v>
      </c>
      <c r="F609">
        <f>Siam_Chart[[#This Row],[Volume]]</f>
        <v>2588500</v>
      </c>
      <c r="G609">
        <f>Siam_Chart[[#This Row],[Value (k)]]</f>
        <v>7773058</v>
      </c>
      <c r="H609" cm="1">
        <f t="array" ref="H609:W609">Siam_Chart[[#This Row],[MCap (M)]:[CG]]</f>
        <v>2457307013.3800001</v>
      </c>
      <c r="I609">
        <v>6.01</v>
      </c>
      <c r="J609">
        <v>1.37</v>
      </c>
      <c r="K609">
        <v>0.54690000000000005</v>
      </c>
      <c r="L609">
        <v>0.08</v>
      </c>
      <c r="M609">
        <v>0.26</v>
      </c>
      <c r="N609">
        <v>20.453188000000001</v>
      </c>
      <c r="O609">
        <v>24.972266000000001</v>
      </c>
      <c r="P609">
        <v>22.174790000000002</v>
      </c>
      <c r="Q609">
        <v>3.97</v>
      </c>
      <c r="R609" t="str">
        <v/>
      </c>
      <c r="S609" t="str">
        <v/>
      </c>
      <c r="T609">
        <v>165</v>
      </c>
      <c r="U609">
        <v>133</v>
      </c>
      <c r="V609">
        <v>0</v>
      </c>
      <c r="W609">
        <v>5</v>
      </c>
      <c r="X609" s="5">
        <f t="shared" si="21"/>
        <v>2.2043795620437954</v>
      </c>
      <c r="Y609" s="6">
        <f t="shared" si="22"/>
        <v>813677819</v>
      </c>
    </row>
    <row r="610" spans="2:25" x14ac:dyDescent="0.25">
      <c r="B610" t="str">
        <f>Siam_Chart[[#This Row],[Name]]</f>
        <v>SEAOIL</v>
      </c>
      <c r="C610">
        <f>Siam_Chart[[#This Row],[No.]]</f>
        <v>609</v>
      </c>
      <c r="D610">
        <f>Siam_Chart[[#This Row],[Last]]</f>
        <v>3.36</v>
      </c>
      <c r="E610">
        <f>Siam_Chart[[#This Row],[Chg%]]</f>
        <v>-1.18</v>
      </c>
      <c r="F610">
        <f>Siam_Chart[[#This Row],[Volume]]</f>
        <v>302390</v>
      </c>
      <c r="G610">
        <f>Siam_Chart[[#This Row],[Value (k)]]</f>
        <v>1021725.8</v>
      </c>
      <c r="H610" cm="1">
        <f t="array" ref="H610:W610">Siam_Chart[[#This Row],[MCap (M)]:[CG]]</f>
        <v>2482978817.7600002</v>
      </c>
      <c r="I610">
        <v>7.58</v>
      </c>
      <c r="J610">
        <v>0.88</v>
      </c>
      <c r="K610">
        <v>0.83245999999999998</v>
      </c>
      <c r="L610">
        <v>0.1</v>
      </c>
      <c r="M610">
        <v>0.28999999999999998</v>
      </c>
      <c r="N610">
        <v>8.5407089999999997</v>
      </c>
      <c r="O610">
        <v>12.014041000000001</v>
      </c>
      <c r="P610">
        <v>1.4734290000000001</v>
      </c>
      <c r="Q610">
        <v>5.36</v>
      </c>
      <c r="R610" t="str">
        <v/>
      </c>
      <c r="S610" t="str">
        <v/>
      </c>
      <c r="T610">
        <v>452</v>
      </c>
      <c r="U610">
        <v>455</v>
      </c>
      <c r="V610">
        <v>0.77</v>
      </c>
      <c r="W610">
        <v>5</v>
      </c>
      <c r="X610" s="5">
        <f t="shared" si="21"/>
        <v>3.8181818181818179</v>
      </c>
      <c r="Y610" s="6">
        <f t="shared" si="22"/>
        <v>738981791.00000012</v>
      </c>
    </row>
    <row r="611" spans="2:25" x14ac:dyDescent="0.25">
      <c r="B611" t="str">
        <f>Siam_Chart[[#This Row],[Name]]</f>
        <v>SECURE</v>
      </c>
      <c r="C611">
        <f>Siam_Chart[[#This Row],[No.]]</f>
        <v>610</v>
      </c>
      <c r="D611">
        <f>Siam_Chart[[#This Row],[Last]]</f>
        <v>12.5</v>
      </c>
      <c r="E611">
        <f>Siam_Chart[[#This Row],[Chg%]]</f>
        <v>0</v>
      </c>
      <c r="F611">
        <f>Siam_Chart[[#This Row],[Volume]]</f>
        <v>58703</v>
      </c>
      <c r="G611">
        <f>Siam_Chart[[#This Row],[Value (k)]]</f>
        <v>733967.5</v>
      </c>
      <c r="H611" cm="1">
        <f t="array" ref="H611:W611">Siam_Chart[[#This Row],[MCap (M)]:[CG]]</f>
        <v>1284262500</v>
      </c>
      <c r="I611">
        <v>11.86</v>
      </c>
      <c r="J611">
        <v>1.79</v>
      </c>
      <c r="K611">
        <v>0.27276</v>
      </c>
      <c r="L611">
        <v>1</v>
      </c>
      <c r="M611">
        <v>0.46</v>
      </c>
      <c r="N611">
        <v>14.940379</v>
      </c>
      <c r="O611">
        <v>15.159191</v>
      </c>
      <c r="P611">
        <v>9.3910210000000003</v>
      </c>
      <c r="Q611">
        <v>8</v>
      </c>
      <c r="R611" t="str">
        <v/>
      </c>
      <c r="S611" t="str">
        <v/>
      </c>
      <c r="T611">
        <v>456</v>
      </c>
      <c r="U611">
        <v>386</v>
      </c>
      <c r="V611">
        <v>0.53</v>
      </c>
      <c r="W611">
        <v>4</v>
      </c>
      <c r="X611" s="5">
        <f t="shared" si="21"/>
        <v>6.983240223463687</v>
      </c>
      <c r="Y611" s="6">
        <f t="shared" si="22"/>
        <v>102741000</v>
      </c>
    </row>
    <row r="612" spans="2:25" x14ac:dyDescent="0.25">
      <c r="B612" t="str">
        <f>Siam_Chart[[#This Row],[Name]]</f>
        <v>SEI</v>
      </c>
      <c r="C612">
        <f>Siam_Chart[[#This Row],[No.]]</f>
        <v>611</v>
      </c>
      <c r="D612">
        <f>Siam_Chart[[#This Row],[Last]]</f>
        <v>1.67</v>
      </c>
      <c r="E612">
        <f>Siam_Chart[[#This Row],[Chg%]]</f>
        <v>0</v>
      </c>
      <c r="F612">
        <f>Siam_Chart[[#This Row],[Volume]]</f>
        <v>80850</v>
      </c>
      <c r="G612">
        <f>Siam_Chart[[#This Row],[Value (k)]]</f>
        <v>136401.29</v>
      </c>
      <c r="H612" cm="1">
        <f t="array" ref="H612:W612">Siam_Chart[[#This Row],[MCap (M)]:[CG]]</f>
        <v>283900000</v>
      </c>
      <c r="I612">
        <v>9.1999999999999993</v>
      </c>
      <c r="J612">
        <v>0.92</v>
      </c>
      <c r="K612">
        <v>0.70699100000000004</v>
      </c>
      <c r="L612">
        <v>0.11</v>
      </c>
      <c r="M612">
        <v>0.09</v>
      </c>
      <c r="N612">
        <v>8.1761619999999997</v>
      </c>
      <c r="O612">
        <v>10.30457</v>
      </c>
      <c r="P612">
        <v>6.8174659999999996</v>
      </c>
      <c r="Q612">
        <v>6.59</v>
      </c>
      <c r="R612" t="str">
        <v/>
      </c>
      <c r="S612" t="str">
        <v/>
      </c>
      <c r="T612">
        <v>482</v>
      </c>
      <c r="U612">
        <v>439</v>
      </c>
      <c r="V612">
        <v>0.15</v>
      </c>
      <c r="W612">
        <v>0</v>
      </c>
      <c r="X612" s="5">
        <f t="shared" si="21"/>
        <v>1.8152173913043477</v>
      </c>
      <c r="Y612" s="6">
        <f t="shared" si="22"/>
        <v>170000000</v>
      </c>
    </row>
    <row r="613" spans="2:25" x14ac:dyDescent="0.25">
      <c r="B613" t="str">
        <f>Siam_Chart[[#This Row],[Name]]</f>
        <v>SELIC</v>
      </c>
      <c r="C613">
        <f>Siam_Chart[[#This Row],[No.]]</f>
        <v>612</v>
      </c>
      <c r="D613">
        <f>Siam_Chart[[#This Row],[Last]]</f>
        <v>3.16</v>
      </c>
      <c r="E613">
        <f>Siam_Chart[[#This Row],[Chg%]]</f>
        <v>1.28</v>
      </c>
      <c r="F613">
        <f>Siam_Chart[[#This Row],[Volume]]</f>
        <v>61211</v>
      </c>
      <c r="G613">
        <f>Siam_Chart[[#This Row],[Value (k)]]</f>
        <v>192815.34</v>
      </c>
      <c r="H613" cm="1">
        <f t="array" ref="H613:W613">Siam_Chart[[#This Row],[MCap (M)]:[CG]]</f>
        <v>2014618297.76</v>
      </c>
      <c r="I613">
        <v>9.92</v>
      </c>
      <c r="J613">
        <v>1.6</v>
      </c>
      <c r="K613">
        <v>0.85781799999999997</v>
      </c>
      <c r="L613">
        <v>3.5220000000000001E-2</v>
      </c>
      <c r="M613">
        <v>0.19</v>
      </c>
      <c r="N613">
        <v>12.163487999999999</v>
      </c>
      <c r="O613">
        <v>16.435755</v>
      </c>
      <c r="P613">
        <v>15.681187</v>
      </c>
      <c r="Q613">
        <v>1.07</v>
      </c>
      <c r="R613" t="str">
        <v/>
      </c>
      <c r="S613" t="str">
        <v/>
      </c>
      <c r="T613">
        <v>469</v>
      </c>
      <c r="U613">
        <v>465</v>
      </c>
      <c r="V613">
        <v>0.36</v>
      </c>
      <c r="W613">
        <v>5</v>
      </c>
      <c r="X613" s="5">
        <f t="shared" si="21"/>
        <v>1.9750000000000001</v>
      </c>
      <c r="Y613" s="6">
        <f t="shared" si="22"/>
        <v>637537436</v>
      </c>
    </row>
    <row r="614" spans="2:25" x14ac:dyDescent="0.25">
      <c r="B614" t="str">
        <f>Siam_Chart[[#This Row],[Name]]</f>
        <v>SENA</v>
      </c>
      <c r="C614">
        <f>Siam_Chart[[#This Row],[No.]]</f>
        <v>613</v>
      </c>
      <c r="D614">
        <f>Siam_Chart[[#This Row],[Last]]</f>
        <v>1.7</v>
      </c>
      <c r="E614">
        <f>Siam_Chart[[#This Row],[Chg%]]</f>
        <v>0</v>
      </c>
      <c r="F614">
        <f>Siam_Chart[[#This Row],[Volume]]</f>
        <v>84958</v>
      </c>
      <c r="G614">
        <f>Siam_Chart[[#This Row],[Value (k)]]</f>
        <v>144499.74</v>
      </c>
      <c r="H614" cm="1">
        <f t="array" ref="H614:W614">Siam_Chart[[#This Row],[MCap (M)]:[CG]]</f>
        <v>2451863992.9000001</v>
      </c>
      <c r="I614">
        <v>13.34</v>
      </c>
      <c r="J614">
        <v>0.3</v>
      </c>
      <c r="K614">
        <v>1.323342</v>
      </c>
      <c r="L614">
        <v>0.138295</v>
      </c>
      <c r="M614">
        <v>0.05</v>
      </c>
      <c r="N614">
        <v>2.4310649999999998</v>
      </c>
      <c r="O614">
        <v>2.225095</v>
      </c>
      <c r="P614">
        <v>6.3518939999999997</v>
      </c>
      <c r="Q614">
        <v>8.14</v>
      </c>
      <c r="R614" t="str">
        <v/>
      </c>
      <c r="S614" t="str">
        <v/>
      </c>
      <c r="T614">
        <v>818</v>
      </c>
      <c r="U614">
        <v>820</v>
      </c>
      <c r="V614">
        <v>-0.38</v>
      </c>
      <c r="W614">
        <v>5</v>
      </c>
      <c r="X614" s="5">
        <f t="shared" si="21"/>
        <v>5.666666666666667</v>
      </c>
      <c r="Y614" s="6">
        <f t="shared" si="22"/>
        <v>1442272937</v>
      </c>
    </row>
    <row r="615" spans="2:25" x14ac:dyDescent="0.25">
      <c r="B615" t="str">
        <f>Siam_Chart[[#This Row],[Name]]</f>
        <v>SENX</v>
      </c>
      <c r="C615">
        <f>Siam_Chart[[#This Row],[No.]]</f>
        <v>614</v>
      </c>
      <c r="D615">
        <f>Siam_Chart[[#This Row],[Last]]</f>
        <v>0.22</v>
      </c>
      <c r="E615">
        <f>Siam_Chart[[#This Row],[Chg%]]</f>
        <v>4.76</v>
      </c>
      <c r="F615">
        <f>Siam_Chart[[#This Row],[Volume]]</f>
        <v>1008256</v>
      </c>
      <c r="G615">
        <f>Siam_Chart[[#This Row],[Value (k)]]</f>
        <v>212250.76</v>
      </c>
      <c r="H615" cm="1">
        <f t="array" ref="H615:W615">Siam_Chart[[#This Row],[MCap (M)]:[CG]]</f>
        <v>924016533.44000006</v>
      </c>
      <c r="I615">
        <v>16.18</v>
      </c>
      <c r="J615">
        <v>0.24</v>
      </c>
      <c r="K615">
        <v>0.41394799999999998</v>
      </c>
      <c r="L615">
        <v>4.7000000000000002E-3</v>
      </c>
      <c r="M615">
        <v>0.01</v>
      </c>
      <c r="N615">
        <v>1.725428</v>
      </c>
      <c r="O615">
        <v>1.4670700000000001</v>
      </c>
      <c r="P615">
        <v>8.5865150000000003</v>
      </c>
      <c r="Q615">
        <v>2.14</v>
      </c>
      <c r="R615" t="str">
        <v/>
      </c>
      <c r="S615" t="str">
        <v/>
      </c>
      <c r="T615">
        <v>902</v>
      </c>
      <c r="U615">
        <v>908</v>
      </c>
      <c r="V615">
        <v>-0.55000000000000004</v>
      </c>
      <c r="W615">
        <v>5</v>
      </c>
      <c r="X615" s="5">
        <f t="shared" si="21"/>
        <v>0.91666666666666674</v>
      </c>
      <c r="Y615" s="6">
        <f t="shared" si="22"/>
        <v>4200075152.0000005</v>
      </c>
    </row>
    <row r="616" spans="2:25" x14ac:dyDescent="0.25">
      <c r="B616" t="str">
        <f>Siam_Chart[[#This Row],[Name]]</f>
        <v>SFLEX</v>
      </c>
      <c r="C616">
        <f>Siam_Chart[[#This Row],[No.]]</f>
        <v>615</v>
      </c>
      <c r="D616">
        <f>Siam_Chart[[#This Row],[Last]]</f>
        <v>3.12</v>
      </c>
      <c r="E616">
        <f>Siam_Chart[[#This Row],[Chg%]]</f>
        <v>0.65</v>
      </c>
      <c r="F616">
        <f>Siam_Chart[[#This Row],[Volume]]</f>
        <v>219711</v>
      </c>
      <c r="G616">
        <f>Siam_Chart[[#This Row],[Value (k)]]</f>
        <v>682254.1</v>
      </c>
      <c r="H616" cm="1">
        <f t="array" ref="H616:W616">Siam_Chart[[#This Row],[MCap (M)]:[CG]]</f>
        <v>2470395258.2399998</v>
      </c>
      <c r="I616">
        <v>8.58</v>
      </c>
      <c r="J616">
        <v>1.87</v>
      </c>
      <c r="K616">
        <v>1.0104979999999999</v>
      </c>
      <c r="L616">
        <v>0.17</v>
      </c>
      <c r="M616">
        <v>0.19</v>
      </c>
      <c r="N616">
        <v>12.722462</v>
      </c>
      <c r="O616">
        <v>22.501315999999999</v>
      </c>
      <c r="P616">
        <v>13.859264</v>
      </c>
      <c r="Q616">
        <v>5.6</v>
      </c>
      <c r="R616" t="str">
        <v/>
      </c>
      <c r="S616" t="str">
        <v/>
      </c>
      <c r="T616">
        <v>349</v>
      </c>
      <c r="U616">
        <v>393</v>
      </c>
      <c r="V616">
        <v>0.19</v>
      </c>
      <c r="W616">
        <v>5</v>
      </c>
      <c r="X616" s="5">
        <f t="shared" si="21"/>
        <v>1.6684491978609626</v>
      </c>
      <c r="Y616" s="6">
        <f t="shared" si="22"/>
        <v>791793351.99999988</v>
      </c>
    </row>
    <row r="617" spans="2:25" x14ac:dyDescent="0.25">
      <c r="B617" t="str">
        <f>Siam_Chart[[#This Row],[Name]]</f>
        <v>SFT</v>
      </c>
      <c r="C617">
        <f>Siam_Chart[[#This Row],[No.]]</f>
        <v>616</v>
      </c>
      <c r="D617">
        <f>Siam_Chart[[#This Row],[Last]]</f>
        <v>1.37</v>
      </c>
      <c r="E617">
        <f>Siam_Chart[[#This Row],[Chg%]]</f>
        <v>0.74</v>
      </c>
      <c r="F617">
        <f>Siam_Chart[[#This Row],[Volume]]</f>
        <v>266221</v>
      </c>
      <c r="G617">
        <f>Siam_Chart[[#This Row],[Value (k)]]</f>
        <v>363388.96</v>
      </c>
      <c r="H617" cm="1">
        <f t="array" ref="H617:W617">Siam_Chart[[#This Row],[MCap (M)]:[CG]]</f>
        <v>602800000</v>
      </c>
      <c r="I617">
        <v>9.17</v>
      </c>
      <c r="J617">
        <v>0.74</v>
      </c>
      <c r="K617">
        <v>0.50819999999999999</v>
      </c>
      <c r="L617">
        <v>7.0000000000000007E-2</v>
      </c>
      <c r="M617">
        <v>0.08</v>
      </c>
      <c r="N617">
        <v>7.7159839999999997</v>
      </c>
      <c r="O617">
        <v>8.2608890000000006</v>
      </c>
      <c r="P617">
        <v>6.1065300000000002</v>
      </c>
      <c r="Q617">
        <v>5.1100000000000003</v>
      </c>
      <c r="R617" t="str">
        <v/>
      </c>
      <c r="S617" t="str">
        <v/>
      </c>
      <c r="T617">
        <v>553</v>
      </c>
      <c r="U617">
        <v>470</v>
      </c>
      <c r="V617">
        <v>0.61</v>
      </c>
      <c r="W617">
        <v>4</v>
      </c>
      <c r="X617" s="5">
        <f t="shared" si="21"/>
        <v>1.8513513513513515</v>
      </c>
      <c r="Y617" s="6">
        <f t="shared" si="22"/>
        <v>439999999.99999994</v>
      </c>
    </row>
    <row r="618" spans="2:25" x14ac:dyDescent="0.25">
      <c r="B618" t="str">
        <f>Siam_Chart[[#This Row],[Name]]</f>
        <v>SGC</v>
      </c>
      <c r="C618">
        <f>Siam_Chart[[#This Row],[No.]]</f>
        <v>617</v>
      </c>
      <c r="D618">
        <f>Siam_Chart[[#This Row],[Last]]</f>
        <v>1.62</v>
      </c>
      <c r="E618">
        <f>Siam_Chart[[#This Row],[Chg%]]</f>
        <v>-1.82</v>
      </c>
      <c r="F618">
        <f>Siam_Chart[[#This Row],[Volume]]</f>
        <v>16128416</v>
      </c>
      <c r="G618">
        <f>Siam_Chart[[#This Row],[Value (k)]]</f>
        <v>26479955.789999999</v>
      </c>
      <c r="H618" cm="1">
        <f t="array" ref="H618:W618">Siam_Chart[[#This Row],[MCap (M)]:[CG]]</f>
        <v>10108845468.540001</v>
      </c>
      <c r="I618">
        <v>18.239999999999998</v>
      </c>
      <c r="J618">
        <v>1.3</v>
      </c>
      <c r="K618">
        <v>0.94416100000000003</v>
      </c>
      <c r="L618">
        <v>0.11</v>
      </c>
      <c r="M618">
        <v>0.06</v>
      </c>
      <c r="N618">
        <v>8.3520310000000002</v>
      </c>
      <c r="O618">
        <v>8.1275490000000001</v>
      </c>
      <c r="P618">
        <v>24.016497999999999</v>
      </c>
      <c r="Q618">
        <v>1.25</v>
      </c>
      <c r="R618" t="str">
        <v/>
      </c>
      <c r="S618" t="str">
        <v/>
      </c>
      <c r="T618">
        <v>0</v>
      </c>
      <c r="U618">
        <v>0</v>
      </c>
      <c r="V618">
        <v>-0.21</v>
      </c>
      <c r="W618">
        <v>5</v>
      </c>
      <c r="X618" s="5">
        <f t="shared" si="21"/>
        <v>1.2461538461538462</v>
      </c>
      <c r="Y618" s="6">
        <f t="shared" si="22"/>
        <v>6240028067</v>
      </c>
    </row>
    <row r="619" spans="2:25" x14ac:dyDescent="0.25">
      <c r="B619" t="str">
        <f>Siam_Chart[[#This Row],[Name]]</f>
        <v>SGF</v>
      </c>
      <c r="C619">
        <f>Siam_Chart[[#This Row],[No.]]</f>
        <v>618</v>
      </c>
      <c r="D619">
        <f>Siam_Chart[[#This Row],[Last]]</f>
        <v>0.15</v>
      </c>
      <c r="E619">
        <f>Siam_Chart[[#This Row],[Chg%]]</f>
        <v>0</v>
      </c>
      <c r="F619">
        <f>Siam_Chart[[#This Row],[Volume]]</f>
        <v>17709</v>
      </c>
      <c r="G619">
        <f>Siam_Chart[[#This Row],[Value (k)]]</f>
        <v>2657.35</v>
      </c>
      <c r="H619" cm="1">
        <f t="array" ref="H619:W619">Siam_Chart[[#This Row],[MCap (M)]:[CG]]</f>
        <v>196500000</v>
      </c>
      <c r="I619">
        <v>196500000</v>
      </c>
      <c r="J619">
        <v>0.14000000000000001</v>
      </c>
      <c r="K619">
        <v>0.126501</v>
      </c>
      <c r="L619">
        <v>-0.01</v>
      </c>
      <c r="M619">
        <v>-0.01</v>
      </c>
      <c r="N619">
        <v>-2.7197879999999999</v>
      </c>
      <c r="O619">
        <v>-5.4425480000000004</v>
      </c>
      <c r="P619">
        <v>-12.392582000000001</v>
      </c>
      <c r="Q619">
        <v>0.14000000000000001</v>
      </c>
      <c r="R619" t="str">
        <v/>
      </c>
      <c r="S619" t="str">
        <v/>
      </c>
      <c r="T619">
        <v>0</v>
      </c>
      <c r="U619">
        <v>0</v>
      </c>
      <c r="V619">
        <v>0</v>
      </c>
      <c r="W619">
        <v>5</v>
      </c>
      <c r="X619" s="5">
        <f t="shared" si="21"/>
        <v>1.0714285714285714</v>
      </c>
      <c r="Y619" s="6">
        <f t="shared" si="22"/>
        <v>1310000000</v>
      </c>
    </row>
    <row r="620" spans="2:25" x14ac:dyDescent="0.25">
      <c r="B620" t="str">
        <f>Siam_Chart[[#This Row],[Name]]</f>
        <v>SGP</v>
      </c>
      <c r="C620">
        <f>Siam_Chart[[#This Row],[No.]]</f>
        <v>619</v>
      </c>
      <c r="D620">
        <f>Siam_Chart[[#This Row],[Last]]</f>
        <v>8.8000000000000007</v>
      </c>
      <c r="E620">
        <f>Siam_Chart[[#This Row],[Chg%]]</f>
        <v>0.56999999999999995</v>
      </c>
      <c r="F620">
        <f>Siam_Chart[[#This Row],[Volume]]</f>
        <v>113208</v>
      </c>
      <c r="G620">
        <f>Siam_Chart[[#This Row],[Value (k)]]</f>
        <v>991365.3</v>
      </c>
      <c r="H620" cm="1">
        <f t="array" ref="H620:W620">Siam_Chart[[#This Row],[MCap (M)]:[CG]]</f>
        <v>16173194400</v>
      </c>
      <c r="I620">
        <v>3.54</v>
      </c>
      <c r="J620">
        <v>0.79</v>
      </c>
      <c r="K620">
        <v>1.812103</v>
      </c>
      <c r="L620">
        <v>0.2</v>
      </c>
      <c r="M620">
        <v>2.2400000000000002</v>
      </c>
      <c r="N620">
        <v>11.478821999999999</v>
      </c>
      <c r="O620">
        <v>25.466346000000001</v>
      </c>
      <c r="P620">
        <v>9.1128099999999996</v>
      </c>
      <c r="Q620">
        <v>2.27</v>
      </c>
      <c r="R620" t="str">
        <v/>
      </c>
      <c r="S620" t="str">
        <v/>
      </c>
      <c r="T620">
        <v>64</v>
      </c>
      <c r="U620">
        <v>152</v>
      </c>
      <c r="V620">
        <v>-0.09</v>
      </c>
      <c r="W620">
        <v>5</v>
      </c>
      <c r="X620" s="5">
        <f t="shared" si="21"/>
        <v>11.139240506329115</v>
      </c>
      <c r="Y620" s="6">
        <f t="shared" si="22"/>
        <v>1837862999.9999998</v>
      </c>
    </row>
    <row r="621" spans="2:25" x14ac:dyDescent="0.25">
      <c r="B621" t="str">
        <f>Siam_Chart[[#This Row],[Name]]</f>
        <v>SHANG</v>
      </c>
      <c r="C621">
        <f>Siam_Chart[[#This Row],[No.]]</f>
        <v>620</v>
      </c>
      <c r="D621">
        <f>Siam_Chart[[#This Row],[Last]]</f>
        <v>43.25</v>
      </c>
      <c r="E621">
        <f>Siam_Chart[[#This Row],[Chg%]]</f>
        <v>-3.35</v>
      </c>
      <c r="F621">
        <f>Siam_Chart[[#This Row],[Volume]]</f>
        <v>300</v>
      </c>
      <c r="G621">
        <f>Siam_Chart[[#This Row],[Value (k)]]</f>
        <v>12950</v>
      </c>
      <c r="H621" cm="1">
        <f t="array" ref="H621:W621">Siam_Chart[[#This Row],[MCap (M)]:[CG]]</f>
        <v>5687500000</v>
      </c>
      <c r="I621">
        <v>15.98</v>
      </c>
      <c r="J621">
        <v>0.73</v>
      </c>
      <c r="K621">
        <v>7.5752E-2</v>
      </c>
      <c r="L621">
        <v>0.5</v>
      </c>
      <c r="M621">
        <v>1.8</v>
      </c>
      <c r="N621">
        <v>5.8432560000000002</v>
      </c>
      <c r="O621">
        <v>4.6811639999999999</v>
      </c>
      <c r="P621">
        <v>21.292287999999999</v>
      </c>
      <c r="Q621">
        <v>1.1399999999999999</v>
      </c>
      <c r="R621" t="str">
        <v/>
      </c>
      <c r="S621" t="str">
        <v/>
      </c>
      <c r="T621">
        <v>992</v>
      </c>
      <c r="U621">
        <v>850</v>
      </c>
      <c r="V621">
        <v>-0.28999999999999998</v>
      </c>
      <c r="W621">
        <v>0</v>
      </c>
      <c r="X621" s="5">
        <f t="shared" si="21"/>
        <v>59.246575342465754</v>
      </c>
      <c r="Y621" s="6">
        <f t="shared" si="22"/>
        <v>131502890.1734104</v>
      </c>
    </row>
    <row r="622" spans="2:25" x14ac:dyDescent="0.25">
      <c r="B622" t="str">
        <f>Siam_Chart[[#This Row],[Name]]</f>
        <v>SHR</v>
      </c>
      <c r="C622">
        <f>Siam_Chart[[#This Row],[No.]]</f>
        <v>621</v>
      </c>
      <c r="D622">
        <f>Siam_Chart[[#This Row],[Last]]</f>
        <v>1.59</v>
      </c>
      <c r="E622">
        <f>Siam_Chart[[#This Row],[Chg%]]</f>
        <v>1.27</v>
      </c>
      <c r="F622">
        <f>Siam_Chart[[#This Row],[Volume]]</f>
        <v>781026</v>
      </c>
      <c r="G622">
        <f>Siam_Chart[[#This Row],[Value (k)]]</f>
        <v>1231456.98</v>
      </c>
      <c r="H622" cm="1">
        <f t="array" ref="H622:W622">Siam_Chart[[#This Row],[MCap (M)]:[CG]]</f>
        <v>5713887600</v>
      </c>
      <c r="I622">
        <v>5749824000</v>
      </c>
      <c r="J622">
        <v>0.4</v>
      </c>
      <c r="K622">
        <v>1.4137459999999999</v>
      </c>
      <c r="L622">
        <v>1.4999999999999999E-2</v>
      </c>
      <c r="M622">
        <v>0.05</v>
      </c>
      <c r="N622">
        <v>-1.8815310000000001</v>
      </c>
      <c r="O622">
        <v>-10.778577</v>
      </c>
      <c r="P622">
        <v>3.4118279999999999</v>
      </c>
      <c r="Q622">
        <v>4.4000000000000004</v>
      </c>
      <c r="R622" t="str">
        <v/>
      </c>
      <c r="S622" t="str">
        <v/>
      </c>
      <c r="T622">
        <v>0</v>
      </c>
      <c r="U622">
        <v>0</v>
      </c>
      <c r="V622">
        <v>0</v>
      </c>
      <c r="W622">
        <v>5</v>
      </c>
      <c r="X622" s="5">
        <f t="shared" si="21"/>
        <v>3.9750000000000001</v>
      </c>
      <c r="Y622" s="6">
        <f t="shared" si="22"/>
        <v>3593640000</v>
      </c>
    </row>
    <row r="623" spans="2:25" x14ac:dyDescent="0.25">
      <c r="B623" t="str">
        <f>Siam_Chart[[#This Row],[Name]]</f>
        <v>SIAM</v>
      </c>
      <c r="C623">
        <f>Siam_Chart[[#This Row],[No.]]</f>
        <v>622</v>
      </c>
      <c r="D623">
        <f>Siam_Chart[[#This Row],[Last]]</f>
        <v>0.99</v>
      </c>
      <c r="E623">
        <f>Siam_Chart[[#This Row],[Chg%]]</f>
        <v>6.45</v>
      </c>
      <c r="F623">
        <f>Siam_Chart[[#This Row],[Volume]]</f>
        <v>19606656</v>
      </c>
      <c r="G623">
        <f>Siam_Chart[[#This Row],[Value (k)]]</f>
        <v>20892305.469999999</v>
      </c>
      <c r="H623" cm="1">
        <f t="array" ref="H623:W623">Siam_Chart[[#This Row],[MCap (M)]:[CG]]</f>
        <v>587194590.50999999</v>
      </c>
      <c r="I623">
        <v>18.78</v>
      </c>
      <c r="J623">
        <v>0.23</v>
      </c>
      <c r="K623">
        <v>0.22777700000000001</v>
      </c>
      <c r="L623">
        <v>0.01</v>
      </c>
      <c r="M623">
        <v>0.03</v>
      </c>
      <c r="N623">
        <v>1.4638329999999999</v>
      </c>
      <c r="O623">
        <v>1.2360850000000001</v>
      </c>
      <c r="P623">
        <v>4.3</v>
      </c>
      <c r="Q623">
        <v>0.18</v>
      </c>
      <c r="R623" t="str">
        <v/>
      </c>
      <c r="S623" t="str">
        <v/>
      </c>
      <c r="T623">
        <v>1080</v>
      </c>
      <c r="U623">
        <v>1087</v>
      </c>
      <c r="V623">
        <v>0.19</v>
      </c>
      <c r="W623">
        <v>3</v>
      </c>
      <c r="X623" s="5">
        <f t="shared" si="21"/>
        <v>4.3043478260869561</v>
      </c>
      <c r="Y623" s="6">
        <f t="shared" si="22"/>
        <v>593125849</v>
      </c>
    </row>
    <row r="624" spans="2:25" x14ac:dyDescent="0.25">
      <c r="B624" t="str">
        <f>Siam_Chart[[#This Row],[Name]]</f>
        <v>SICT</v>
      </c>
      <c r="C624">
        <f>Siam_Chart[[#This Row],[No.]]</f>
        <v>623</v>
      </c>
      <c r="D624">
        <f>Siam_Chart[[#This Row],[Last]]</f>
        <v>3.16</v>
      </c>
      <c r="E624">
        <f>Siam_Chart[[#This Row],[Chg%]]</f>
        <v>3.95</v>
      </c>
      <c r="F624">
        <f>Siam_Chart[[#This Row],[Volume]]</f>
        <v>3763377</v>
      </c>
      <c r="G624">
        <f>Siam_Chart[[#This Row],[Value (k)]]</f>
        <v>11801839.32</v>
      </c>
      <c r="H624" cm="1">
        <f t="array" ref="H624:W624">Siam_Chart[[#This Row],[MCap (M)]:[CG]]</f>
        <v>1516799633.4400001</v>
      </c>
      <c r="I624">
        <v>19.989999999999998</v>
      </c>
      <c r="J624">
        <v>1.84</v>
      </c>
      <c r="K624">
        <v>0.18373999999999999</v>
      </c>
      <c r="L624">
        <v>2.5000000000000001E-2</v>
      </c>
      <c r="M624">
        <v>0.13</v>
      </c>
      <c r="N624">
        <v>7.8847870000000002</v>
      </c>
      <c r="O624">
        <v>9.5599640000000008</v>
      </c>
      <c r="P624">
        <v>15.984178</v>
      </c>
      <c r="Q624">
        <v>0.79</v>
      </c>
      <c r="R624" t="str">
        <v/>
      </c>
      <c r="S624" t="str">
        <v/>
      </c>
      <c r="T624">
        <v>851</v>
      </c>
      <c r="U624">
        <v>807</v>
      </c>
      <c r="V624">
        <v>1.18</v>
      </c>
      <c r="W624">
        <v>5</v>
      </c>
      <c r="X624" s="5">
        <f t="shared" si="21"/>
        <v>1.7173913043478262</v>
      </c>
      <c r="Y624" s="6">
        <f t="shared" si="22"/>
        <v>479999884</v>
      </c>
    </row>
    <row r="625" spans="2:25" x14ac:dyDescent="0.25">
      <c r="B625" t="str">
        <f>Siam_Chart[[#This Row],[Name]]</f>
        <v>SIMAT</v>
      </c>
      <c r="C625">
        <f>Siam_Chart[[#This Row],[No.]]</f>
        <v>624</v>
      </c>
      <c r="D625">
        <f>Siam_Chart[[#This Row],[Last]]</f>
        <v>1.18</v>
      </c>
      <c r="E625">
        <f>Siam_Chart[[#This Row],[Chg%]]</f>
        <v>0.85</v>
      </c>
      <c r="F625">
        <f>Siam_Chart[[#This Row],[Volume]]</f>
        <v>398300</v>
      </c>
      <c r="G625">
        <f>Siam_Chart[[#This Row],[Value (k)]]</f>
        <v>468449</v>
      </c>
      <c r="H625" cm="1">
        <f t="array" ref="H625:W625">Siam_Chart[[#This Row],[MCap (M)]:[CG]]</f>
        <v>765306238.62</v>
      </c>
      <c r="I625">
        <v>40.24</v>
      </c>
      <c r="J625">
        <v>0.74</v>
      </c>
      <c r="K625">
        <v>0.67612799999999995</v>
      </c>
      <c r="L625">
        <v>0.09</v>
      </c>
      <c r="M625">
        <v>2.76280576379789</v>
      </c>
      <c r="N625">
        <v>2.7628059999999999</v>
      </c>
      <c r="O625">
        <v>1.7940780000000001</v>
      </c>
      <c r="P625">
        <v>0.301792</v>
      </c>
      <c r="Q625">
        <v>7.63</v>
      </c>
      <c r="R625" t="str">
        <v/>
      </c>
      <c r="S625" t="str">
        <v/>
      </c>
      <c r="T625">
        <v>1022</v>
      </c>
      <c r="U625">
        <v>969</v>
      </c>
      <c r="V625">
        <v>1.31</v>
      </c>
      <c r="W625">
        <v>0</v>
      </c>
      <c r="X625" s="5">
        <f t="shared" si="21"/>
        <v>1.5945945945945945</v>
      </c>
      <c r="Y625" s="6">
        <f t="shared" si="22"/>
        <v>648564609</v>
      </c>
    </row>
    <row r="626" spans="2:25" x14ac:dyDescent="0.25">
      <c r="B626" t="str">
        <f>Siam_Chart[[#This Row],[Name]]</f>
        <v>SINGER</v>
      </c>
      <c r="C626">
        <f>Siam_Chart[[#This Row],[No.]]</f>
        <v>625</v>
      </c>
      <c r="D626">
        <f>Siam_Chart[[#This Row],[Last]]</f>
        <v>11.8</v>
      </c>
      <c r="E626">
        <f>Siam_Chart[[#This Row],[Chg%]]</f>
        <v>-0.84</v>
      </c>
      <c r="F626">
        <f>Siam_Chart[[#This Row],[Volume]]</f>
        <v>2676860</v>
      </c>
      <c r="G626">
        <f>Siam_Chart[[#This Row],[Value (k)]]</f>
        <v>31793852.899999999</v>
      </c>
      <c r="H626" cm="1">
        <f t="array" ref="H626:W626">Siam_Chart[[#This Row],[MCap (M)]:[CG]]</f>
        <v>9618206266.7999992</v>
      </c>
      <c r="I626">
        <v>26.4</v>
      </c>
      <c r="J626">
        <v>0.71</v>
      </c>
      <c r="K626">
        <v>0.15835099999999999</v>
      </c>
      <c r="L626">
        <v>0.26</v>
      </c>
      <c r="M626">
        <v>0.36</v>
      </c>
      <c r="N626">
        <v>4.4942919999999997</v>
      </c>
      <c r="O626">
        <v>2.7147209999999999</v>
      </c>
      <c r="P626">
        <v>17.731801000000001</v>
      </c>
      <c r="Q626">
        <v>0.7</v>
      </c>
      <c r="R626" t="str">
        <v/>
      </c>
      <c r="S626" t="str">
        <v/>
      </c>
      <c r="T626">
        <v>1245</v>
      </c>
      <c r="U626">
        <v>1140</v>
      </c>
      <c r="V626">
        <v>0.89</v>
      </c>
      <c r="W626">
        <v>3</v>
      </c>
      <c r="X626" s="5">
        <f t="shared" si="21"/>
        <v>16.619718309859156</v>
      </c>
      <c r="Y626" s="6">
        <f t="shared" si="22"/>
        <v>815102225.99999988</v>
      </c>
    </row>
    <row r="627" spans="2:25" x14ac:dyDescent="0.25">
      <c r="B627" t="str">
        <f>Siam_Chart[[#This Row],[Name]]</f>
        <v>SINO</v>
      </c>
      <c r="C627">
        <f>Siam_Chart[[#This Row],[No.]]</f>
        <v>626</v>
      </c>
      <c r="D627">
        <f>Siam_Chart[[#This Row],[Last]]</f>
        <v>0.97</v>
      </c>
      <c r="E627">
        <f>Siam_Chart[[#This Row],[Chg%]]</f>
        <v>0</v>
      </c>
      <c r="F627">
        <f>Siam_Chart[[#This Row],[Volume]]</f>
        <v>197401</v>
      </c>
      <c r="G627">
        <f>Siam_Chart[[#This Row],[Value (k)]]</f>
        <v>187883</v>
      </c>
      <c r="H627" cm="1">
        <f t="array" ref="H627:W627">Siam_Chart[[#This Row],[MCap (M)]:[CG]]</f>
        <v>1008800000</v>
      </c>
      <c r="I627">
        <v>27.32</v>
      </c>
      <c r="J627">
        <v>1.1499999999999999</v>
      </c>
      <c r="K627">
        <v>0.88827900000000004</v>
      </c>
      <c r="L627">
        <v>1.4423E-2</v>
      </c>
      <c r="M627">
        <v>0.01</v>
      </c>
      <c r="N627">
        <v>3.8406479999999998</v>
      </c>
      <c r="O627">
        <v>4.1718760000000001</v>
      </c>
      <c r="P627">
        <v>0.82636699999999996</v>
      </c>
      <c r="Q627">
        <v>5.95</v>
      </c>
      <c r="R627" t="str">
        <v/>
      </c>
      <c r="S627" t="str">
        <v/>
      </c>
      <c r="T627">
        <v>1153</v>
      </c>
      <c r="U627">
        <v>1117</v>
      </c>
      <c r="V627">
        <v>-1.52</v>
      </c>
      <c r="W627">
        <v>4</v>
      </c>
      <c r="X627" s="5">
        <f t="shared" si="21"/>
        <v>0.84347826086956523</v>
      </c>
      <c r="Y627" s="6">
        <f t="shared" si="22"/>
        <v>1040000000</v>
      </c>
    </row>
    <row r="628" spans="2:25" x14ac:dyDescent="0.25">
      <c r="B628" t="str">
        <f>Siam_Chart[[#This Row],[Name]]</f>
        <v>SIRI</v>
      </c>
      <c r="C628">
        <f>Siam_Chart[[#This Row],[No.]]</f>
        <v>627</v>
      </c>
      <c r="D628">
        <f>Siam_Chart[[#This Row],[Last]]</f>
        <v>1.48</v>
      </c>
      <c r="E628">
        <f>Siam_Chart[[#This Row],[Chg%]]</f>
        <v>-2.63</v>
      </c>
      <c r="F628">
        <f>Siam_Chart[[#This Row],[Volume]]</f>
        <v>55654029</v>
      </c>
      <c r="G628">
        <f>Siam_Chart[[#This Row],[Value (k)]]</f>
        <v>82191136.450000003</v>
      </c>
      <c r="H628" cm="1">
        <f t="array" ref="H628:W628">Siam_Chart[[#This Row],[MCap (M)]:[CG]]</f>
        <v>26016455650</v>
      </c>
      <c r="I628">
        <v>5.97</v>
      </c>
      <c r="J628">
        <v>0.51</v>
      </c>
      <c r="K628">
        <v>1.9163209999999999</v>
      </c>
      <c r="L628">
        <v>0.05</v>
      </c>
      <c r="M628">
        <v>0.1</v>
      </c>
      <c r="N628">
        <v>3.876846</v>
      </c>
      <c r="O628">
        <v>8.6385459999999998</v>
      </c>
      <c r="P628">
        <v>12.465811</v>
      </c>
      <c r="Q628">
        <v>8.7100000000000009</v>
      </c>
      <c r="R628" t="str">
        <v/>
      </c>
      <c r="S628" t="str">
        <v/>
      </c>
      <c r="T628">
        <v>372</v>
      </c>
      <c r="U628">
        <v>564</v>
      </c>
      <c r="V628">
        <v>0.18</v>
      </c>
      <c r="W628">
        <v>5</v>
      </c>
      <c r="X628" s="5">
        <f t="shared" si="21"/>
        <v>2.9019607843137254</v>
      </c>
      <c r="Y628" s="6">
        <f t="shared" si="22"/>
        <v>17578686250</v>
      </c>
    </row>
    <row r="629" spans="2:25" x14ac:dyDescent="0.25">
      <c r="B629" t="str">
        <f>Siam_Chart[[#This Row],[Name]]</f>
        <v>SIS</v>
      </c>
      <c r="C629">
        <f>Siam_Chart[[#This Row],[No.]]</f>
        <v>628</v>
      </c>
      <c r="D629">
        <f>Siam_Chart[[#This Row],[Last]]</f>
        <v>23.9</v>
      </c>
      <c r="E629">
        <f>Siam_Chart[[#This Row],[Chg%]]</f>
        <v>-1.24</v>
      </c>
      <c r="F629">
        <f>Siam_Chart[[#This Row],[Volume]]</f>
        <v>600628</v>
      </c>
      <c r="G629">
        <f>Siam_Chart[[#This Row],[Value (k)]]</f>
        <v>14425972.1</v>
      </c>
      <c r="H629" cm="1">
        <f t="array" ref="H629:W629">Siam_Chart[[#This Row],[MCap (M)]:[CG]]</f>
        <v>8369747854.5</v>
      </c>
      <c r="I629">
        <v>8.3000000000000007</v>
      </c>
      <c r="J629">
        <v>1.79</v>
      </c>
      <c r="K629">
        <v>1.9678450000000001</v>
      </c>
      <c r="L629">
        <v>1.22</v>
      </c>
      <c r="M629">
        <v>1.5</v>
      </c>
      <c r="N629">
        <v>10.338412999999999</v>
      </c>
      <c r="O629">
        <v>22.975228999999999</v>
      </c>
      <c r="P629">
        <v>3.3471799999999998</v>
      </c>
      <c r="Q629">
        <v>5.0999999999999996</v>
      </c>
      <c r="R629" t="str">
        <v/>
      </c>
      <c r="S629" t="str">
        <v/>
      </c>
      <c r="T629">
        <v>221</v>
      </c>
      <c r="U629">
        <v>320</v>
      </c>
      <c r="V629">
        <v>2.35</v>
      </c>
      <c r="W629">
        <v>5</v>
      </c>
      <c r="X629" s="5">
        <f t="shared" si="21"/>
        <v>13.351955307262569</v>
      </c>
      <c r="Y629" s="6">
        <f t="shared" si="22"/>
        <v>350198655</v>
      </c>
    </row>
    <row r="630" spans="2:25" x14ac:dyDescent="0.25">
      <c r="B630" t="str">
        <f>Siam_Chart[[#This Row],[Name]]</f>
        <v>SISB</v>
      </c>
      <c r="C630">
        <f>Siam_Chart[[#This Row],[No.]]</f>
        <v>629</v>
      </c>
      <c r="D630">
        <f>Siam_Chart[[#This Row],[Last]]</f>
        <v>9.5500000000000007</v>
      </c>
      <c r="E630">
        <f>Siam_Chart[[#This Row],[Chg%]]</f>
        <v>0.53</v>
      </c>
      <c r="F630">
        <f>Siam_Chart[[#This Row],[Volume]]</f>
        <v>2602446</v>
      </c>
      <c r="G630">
        <f>Siam_Chart[[#This Row],[Value (k)]]</f>
        <v>24922478.149999999</v>
      </c>
      <c r="H630" cm="1">
        <f t="array" ref="H630:W630">Siam_Chart[[#This Row],[MCap (M)]:[CG]]</f>
        <v>8977000000</v>
      </c>
      <c r="I630">
        <v>9.8000000000000007</v>
      </c>
      <c r="J630">
        <v>2.31</v>
      </c>
      <c r="K630">
        <v>0.70064700000000002</v>
      </c>
      <c r="L630">
        <v>0.51</v>
      </c>
      <c r="M630">
        <v>0.44</v>
      </c>
      <c r="N630">
        <v>15.004721999999999</v>
      </c>
      <c r="O630">
        <v>25.007695999999999</v>
      </c>
      <c r="P630">
        <v>32.561613999999999</v>
      </c>
      <c r="Q630">
        <v>5.34</v>
      </c>
      <c r="R630" t="str">
        <v/>
      </c>
      <c r="S630" t="str">
        <v/>
      </c>
      <c r="T630">
        <v>281</v>
      </c>
      <c r="U630">
        <v>282</v>
      </c>
      <c r="V630">
        <v>0.2</v>
      </c>
      <c r="W630">
        <v>3</v>
      </c>
      <c r="X630" s="5">
        <f t="shared" si="21"/>
        <v>4.1341991341991342</v>
      </c>
      <c r="Y630" s="6">
        <f t="shared" si="22"/>
        <v>939999999.99999988</v>
      </c>
    </row>
    <row r="631" spans="2:25" x14ac:dyDescent="0.25">
      <c r="B631" t="str">
        <f>Siam_Chart[[#This Row],[Name]]</f>
        <v>SITHAI</v>
      </c>
      <c r="C631">
        <f>Siam_Chart[[#This Row],[No.]]</f>
        <v>630</v>
      </c>
      <c r="D631">
        <f>Siam_Chart[[#This Row],[Last]]</f>
        <v>1.1200000000000001</v>
      </c>
      <c r="E631">
        <f>Siam_Chart[[#This Row],[Chg%]]</f>
        <v>-0.88</v>
      </c>
      <c r="F631">
        <f>Siam_Chart[[#This Row],[Volume]]</f>
        <v>198629</v>
      </c>
      <c r="G631">
        <f>Siam_Chart[[#This Row],[Value (k)]]</f>
        <v>222694.67</v>
      </c>
      <c r="H631" cm="1">
        <f t="array" ref="H631:W631">Siam_Chart[[#This Row],[MCap (M)]:[CG]]</f>
        <v>2953167728</v>
      </c>
      <c r="I631">
        <v>7.64</v>
      </c>
      <c r="J631">
        <v>0.68</v>
      </c>
      <c r="K631">
        <v>0.58726699999999998</v>
      </c>
      <c r="L631">
        <v>0.02</v>
      </c>
      <c r="M631">
        <v>0.1</v>
      </c>
      <c r="N631">
        <v>7.8769359999999997</v>
      </c>
      <c r="O631">
        <v>9.1066000000000003</v>
      </c>
      <c r="P631">
        <v>6.827407</v>
      </c>
      <c r="Q631">
        <v>5.36</v>
      </c>
      <c r="R631" t="str">
        <v/>
      </c>
      <c r="S631" t="str">
        <v/>
      </c>
      <c r="T631">
        <v>442</v>
      </c>
      <c r="U631">
        <v>381</v>
      </c>
      <c r="V631">
        <v>0.61</v>
      </c>
      <c r="W631">
        <v>5</v>
      </c>
      <c r="X631" s="5">
        <f t="shared" si="21"/>
        <v>1.6470588235294119</v>
      </c>
      <c r="Y631" s="6">
        <f t="shared" si="22"/>
        <v>2636756899.9999995</v>
      </c>
    </row>
    <row r="632" spans="2:25" x14ac:dyDescent="0.25">
      <c r="B632" t="str">
        <f>Siam_Chart[[#This Row],[Name]]</f>
        <v>SJWD</v>
      </c>
      <c r="C632">
        <f>Siam_Chart[[#This Row],[No.]]</f>
        <v>631</v>
      </c>
      <c r="D632">
        <f>Siam_Chart[[#This Row],[Last]]</f>
        <v>9.8000000000000007</v>
      </c>
      <c r="E632">
        <f>Siam_Chart[[#This Row],[Chg%]]</f>
        <v>2.08</v>
      </c>
      <c r="F632">
        <f>Siam_Chart[[#This Row],[Volume]]</f>
        <v>3532766</v>
      </c>
      <c r="G632">
        <f>Siam_Chart[[#This Row],[Value (k)]]</f>
        <v>34494686.549999997</v>
      </c>
      <c r="H632" cm="1">
        <f t="array" ref="H632:W632">Siam_Chart[[#This Row],[MCap (M)]:[CG]]</f>
        <v>17747998998.799999</v>
      </c>
      <c r="I632">
        <v>13.77</v>
      </c>
      <c r="J632">
        <v>0.75</v>
      </c>
      <c r="K632">
        <v>0.84235099999999996</v>
      </c>
      <c r="L632">
        <v>0.2</v>
      </c>
      <c r="M632">
        <v>0.41</v>
      </c>
      <c r="N632">
        <v>5.0712419999999998</v>
      </c>
      <c r="O632">
        <v>5.5232109999999999</v>
      </c>
      <c r="P632">
        <v>6.0391779999999997</v>
      </c>
      <c r="Q632">
        <v>4.08</v>
      </c>
      <c r="R632" t="str">
        <v/>
      </c>
      <c r="S632" t="str">
        <v/>
      </c>
      <c r="T632">
        <v>1011</v>
      </c>
      <c r="U632">
        <v>958</v>
      </c>
      <c r="V632">
        <v>0.73</v>
      </c>
      <c r="W632">
        <v>5</v>
      </c>
      <c r="X632" s="5">
        <f t="shared" si="21"/>
        <v>13.066666666666668</v>
      </c>
      <c r="Y632" s="6">
        <f t="shared" si="22"/>
        <v>1811020305.9999998</v>
      </c>
    </row>
    <row r="633" spans="2:25" x14ac:dyDescent="0.25">
      <c r="B633" t="str">
        <f>Siam_Chart[[#This Row],[Name]]</f>
        <v>SK</v>
      </c>
      <c r="C633">
        <f>Siam_Chart[[#This Row],[No.]]</f>
        <v>632</v>
      </c>
      <c r="D633">
        <f>Siam_Chart[[#This Row],[Last]]</f>
        <v>0.54</v>
      </c>
      <c r="E633">
        <f>Siam_Chart[[#This Row],[Chg%]]</f>
        <v>0</v>
      </c>
      <c r="F633">
        <f>Siam_Chart[[#This Row],[Volume]]</f>
        <v>4082512</v>
      </c>
      <c r="G633">
        <f>Siam_Chart[[#This Row],[Value (k)]]</f>
        <v>2267342.58</v>
      </c>
      <c r="H633" cm="1">
        <f t="array" ref="H633:W633">Siam_Chart[[#This Row],[MCap (M)]:[CG]]</f>
        <v>248400000</v>
      </c>
      <c r="I633">
        <v>9.1</v>
      </c>
      <c r="J633">
        <v>0.59</v>
      </c>
      <c r="K633">
        <v>0.33083800000000002</v>
      </c>
      <c r="L633">
        <v>0.03</v>
      </c>
      <c r="M633">
        <v>0.03</v>
      </c>
      <c r="N633">
        <v>5.2648440000000001</v>
      </c>
      <c r="O633">
        <v>6.6067920000000004</v>
      </c>
      <c r="P633">
        <v>4.2947189999999997</v>
      </c>
      <c r="Q633">
        <v>5.56</v>
      </c>
      <c r="R633" t="str">
        <v/>
      </c>
      <c r="S633" t="str">
        <v/>
      </c>
      <c r="T633">
        <v>709</v>
      </c>
      <c r="U633">
        <v>705</v>
      </c>
      <c r="V633">
        <v>0.15</v>
      </c>
      <c r="W633">
        <v>3</v>
      </c>
      <c r="X633" s="5">
        <f t="shared" si="21"/>
        <v>0.91525423728813571</v>
      </c>
      <c r="Y633" s="6">
        <f t="shared" si="22"/>
        <v>459999999.99999994</v>
      </c>
    </row>
    <row r="634" spans="2:25" x14ac:dyDescent="0.25">
      <c r="B634" t="str">
        <f>Siam_Chart[[#This Row],[Name]]</f>
        <v>SKE</v>
      </c>
      <c r="C634">
        <f>Siam_Chart[[#This Row],[No.]]</f>
        <v>633</v>
      </c>
      <c r="D634">
        <f>Siam_Chart[[#This Row],[Last]]</f>
        <v>0.18</v>
      </c>
      <c r="E634">
        <f>Siam_Chart[[#This Row],[Chg%]]</f>
        <v>-5.26</v>
      </c>
      <c r="F634">
        <f>Siam_Chart[[#This Row],[Volume]]</f>
        <v>162100</v>
      </c>
      <c r="G634">
        <f>Siam_Chart[[#This Row],[Value (k)]]</f>
        <v>29230</v>
      </c>
      <c r="H634" cm="1">
        <f t="array" ref="H634:W634">Siam_Chart[[#This Row],[MCap (M)]:[CG]]</f>
        <v>200880346.13999999</v>
      </c>
      <c r="I634">
        <v>200880346.13999999</v>
      </c>
      <c r="J634">
        <v>0.37</v>
      </c>
      <c r="K634">
        <v>1.190024</v>
      </c>
      <c r="L634">
        <v>1.4999999999999999E-2</v>
      </c>
      <c r="M634">
        <v>-0.04</v>
      </c>
      <c r="N634">
        <v>-8.142754</v>
      </c>
      <c r="O634">
        <v>-34.157426999999998</v>
      </c>
      <c r="P634">
        <v>-19.683646</v>
      </c>
      <c r="Q634">
        <v>0.37</v>
      </c>
      <c r="R634" t="str">
        <v/>
      </c>
      <c r="S634" t="str">
        <v/>
      </c>
      <c r="T634">
        <v>0</v>
      </c>
      <c r="U634">
        <v>0</v>
      </c>
      <c r="V634">
        <v>0</v>
      </c>
      <c r="W634">
        <v>4</v>
      </c>
      <c r="X634" s="5">
        <f t="shared" si="21"/>
        <v>0.48648648648648646</v>
      </c>
      <c r="Y634" s="6">
        <f t="shared" si="22"/>
        <v>1116001923</v>
      </c>
    </row>
    <row r="635" spans="2:25" x14ac:dyDescent="0.25">
      <c r="B635" t="str">
        <f>Siam_Chart[[#This Row],[Name]]</f>
        <v>SKIN</v>
      </c>
      <c r="C635">
        <f>Siam_Chart[[#This Row],[No.]]</f>
        <v>634</v>
      </c>
      <c r="D635">
        <f>Siam_Chart[[#This Row],[Last]]</f>
        <v>0.91</v>
      </c>
      <c r="E635">
        <f>Siam_Chart[[#This Row],[Chg%]]</f>
        <v>2.25</v>
      </c>
      <c r="F635">
        <f>Siam_Chart[[#This Row],[Volume]]</f>
        <v>66000</v>
      </c>
      <c r="G635">
        <f>Siam_Chart[[#This Row],[Value (k)]]</f>
        <v>58966</v>
      </c>
      <c r="H635" cm="1">
        <f t="array" ref="H635:W635">Siam_Chart[[#This Row],[MCap (M)]:[CG]]</f>
        <v>131040000</v>
      </c>
      <c r="I635">
        <v>126720000</v>
      </c>
      <c r="J635">
        <v>1.52</v>
      </c>
      <c r="K635">
        <v>0.18743899999999999</v>
      </c>
      <c r="L635">
        <v>-0.1</v>
      </c>
      <c r="M635">
        <v>-0.1</v>
      </c>
      <c r="N635">
        <v>-19.548228000000002</v>
      </c>
      <c r="O635">
        <v>-24.290685</v>
      </c>
      <c r="P635">
        <v>-21.878579999999999</v>
      </c>
      <c r="Q635">
        <v>1.47</v>
      </c>
      <c r="R635" t="str">
        <v/>
      </c>
      <c r="S635" t="str">
        <v/>
      </c>
      <c r="T635">
        <v>0</v>
      </c>
      <c r="U635">
        <v>0</v>
      </c>
      <c r="V635">
        <v>0</v>
      </c>
      <c r="W635">
        <v>0</v>
      </c>
      <c r="X635" s="5">
        <f t="shared" si="21"/>
        <v>0.59868421052631582</v>
      </c>
      <c r="Y635" s="6">
        <f t="shared" si="22"/>
        <v>144000000</v>
      </c>
    </row>
    <row r="636" spans="2:25" x14ac:dyDescent="0.25">
      <c r="B636" t="str">
        <f>Siam_Chart[[#This Row],[Name]]</f>
        <v>SKN</v>
      </c>
      <c r="C636">
        <f>Siam_Chart[[#This Row],[No.]]</f>
        <v>635</v>
      </c>
      <c r="D636">
        <f>Siam_Chart[[#This Row],[Last]]</f>
        <v>5.2</v>
      </c>
      <c r="E636">
        <f>Siam_Chart[[#This Row],[Chg%]]</f>
        <v>-0.95</v>
      </c>
      <c r="F636">
        <f>Siam_Chart[[#This Row],[Volume]]</f>
        <v>20000</v>
      </c>
      <c r="G636">
        <f>Siam_Chart[[#This Row],[Value (k)]]</f>
        <v>104000</v>
      </c>
      <c r="H636" cm="1">
        <f t="array" ref="H636:W636">Siam_Chart[[#This Row],[MCap (M)]:[CG]]</f>
        <v>4160000000</v>
      </c>
      <c r="I636">
        <v>24.44</v>
      </c>
      <c r="J636">
        <v>0.96</v>
      </c>
      <c r="K636">
        <v>0.464974</v>
      </c>
      <c r="L636">
        <v>0.4</v>
      </c>
      <c r="M636">
        <v>3.2633505326194241</v>
      </c>
      <c r="N636">
        <v>3.2633510000000001</v>
      </c>
      <c r="O636">
        <v>4.0240859999999996</v>
      </c>
      <c r="P636">
        <v>0.32400299999999999</v>
      </c>
      <c r="Q636">
        <v>0.88</v>
      </c>
      <c r="R636" t="str">
        <v/>
      </c>
      <c r="S636" t="str">
        <v/>
      </c>
      <c r="T636">
        <v>815</v>
      </c>
      <c r="U636">
        <v>758</v>
      </c>
      <c r="V636">
        <v>-1.53</v>
      </c>
      <c r="W636">
        <v>3</v>
      </c>
      <c r="X636" s="5">
        <f t="shared" si="21"/>
        <v>5.416666666666667</v>
      </c>
      <c r="Y636" s="6">
        <f t="shared" si="22"/>
        <v>800000000</v>
      </c>
    </row>
    <row r="637" spans="2:25" x14ac:dyDescent="0.25">
      <c r="B637" t="str">
        <f>Siam_Chart[[#This Row],[Name]]</f>
        <v>SKR</v>
      </c>
      <c r="C637">
        <f>Siam_Chart[[#This Row],[No.]]</f>
        <v>636</v>
      </c>
      <c r="D637">
        <f>Siam_Chart[[#This Row],[Last]]</f>
        <v>8</v>
      </c>
      <c r="E637">
        <f>Siam_Chart[[#This Row],[Chg%]]</f>
        <v>0</v>
      </c>
      <c r="F637">
        <f>Siam_Chart[[#This Row],[Volume]]</f>
        <v>22204</v>
      </c>
      <c r="G637">
        <f>Siam_Chart[[#This Row],[Value (k)]]</f>
        <v>176641.55</v>
      </c>
      <c r="H637" cm="1">
        <f t="array" ref="H637:W637">Siam_Chart[[#This Row],[MCap (M)]:[CG]]</f>
        <v>16462629192</v>
      </c>
      <c r="I637">
        <v>26.42</v>
      </c>
      <c r="J637">
        <v>2.1</v>
      </c>
      <c r="K637">
        <v>0.19397</v>
      </c>
      <c r="L637">
        <v>0.1</v>
      </c>
      <c r="M637">
        <v>0.14000000000000001</v>
      </c>
      <c r="N637">
        <v>8.4377519999999997</v>
      </c>
      <c r="O637">
        <v>7.9074900000000001</v>
      </c>
      <c r="P637">
        <v>9.9185599999999994</v>
      </c>
      <c r="Q637">
        <v>3.15</v>
      </c>
      <c r="R637" t="str">
        <v/>
      </c>
      <c r="S637" t="str">
        <v/>
      </c>
      <c r="T637">
        <v>922</v>
      </c>
      <c r="U637">
        <v>790</v>
      </c>
      <c r="V637">
        <v>-1.89</v>
      </c>
      <c r="W637">
        <v>5</v>
      </c>
      <c r="X637" s="5">
        <f t="shared" si="21"/>
        <v>3.8095238095238093</v>
      </c>
      <c r="Y637" s="6">
        <f t="shared" si="22"/>
        <v>2057828649</v>
      </c>
    </row>
    <row r="638" spans="2:25" x14ac:dyDescent="0.25">
      <c r="B638" t="str">
        <f>Siam_Chart[[#This Row],[Name]]</f>
        <v>SKY</v>
      </c>
      <c r="C638">
        <f>Siam_Chart[[#This Row],[No.]]</f>
        <v>637</v>
      </c>
      <c r="D638">
        <f>Siam_Chart[[#This Row],[Last]]</f>
        <v>18</v>
      </c>
      <c r="E638">
        <f>Siam_Chart[[#This Row],[Chg%]]</f>
        <v>-1.1000000000000001</v>
      </c>
      <c r="F638">
        <f>Siam_Chart[[#This Row],[Volume]]</f>
        <v>395573</v>
      </c>
      <c r="G638">
        <f>Siam_Chart[[#This Row],[Value (k)]]</f>
        <v>7210749.5999999996</v>
      </c>
      <c r="H638" cm="1">
        <f t="array" ref="H638:W638">Siam_Chart[[#This Row],[MCap (M)]:[CG]]</f>
        <v>12911038272</v>
      </c>
      <c r="I638">
        <v>15.9</v>
      </c>
      <c r="J638">
        <v>2.06</v>
      </c>
      <c r="K638">
        <v>1.198226</v>
      </c>
      <c r="L638">
        <v>0.3</v>
      </c>
      <c r="M638">
        <v>0.67</v>
      </c>
      <c r="N638">
        <v>9.4629379999999994</v>
      </c>
      <c r="O638">
        <v>13.621487999999999</v>
      </c>
      <c r="P638">
        <v>9.5997389999999996</v>
      </c>
      <c r="Q638">
        <v>1.67</v>
      </c>
      <c r="R638" t="str">
        <v/>
      </c>
      <c r="S638" t="str">
        <v/>
      </c>
      <c r="T638">
        <v>666</v>
      </c>
      <c r="U638">
        <v>662</v>
      </c>
      <c r="V638">
        <v>0.11</v>
      </c>
      <c r="W638">
        <v>5</v>
      </c>
      <c r="X638" s="5">
        <f t="shared" si="21"/>
        <v>8.7378640776699026</v>
      </c>
      <c r="Y638" s="6">
        <f t="shared" si="22"/>
        <v>717279904</v>
      </c>
    </row>
    <row r="639" spans="2:25" x14ac:dyDescent="0.25">
      <c r="B639" t="str">
        <f>Siam_Chart[[#This Row],[Name]]</f>
        <v>SLP</v>
      </c>
      <c r="C639">
        <f>Siam_Chart[[#This Row],[No.]]</f>
        <v>638</v>
      </c>
      <c r="D639">
        <f>Siam_Chart[[#This Row],[Last]]</f>
        <v>0.48</v>
      </c>
      <c r="E639">
        <f>Siam_Chart[[#This Row],[Chg%]]</f>
        <v>-7.69</v>
      </c>
      <c r="F639">
        <f>Siam_Chart[[#This Row],[Volume]]</f>
        <v>129000</v>
      </c>
      <c r="G639">
        <f>Siam_Chart[[#This Row],[Value (k)]]</f>
        <v>62527</v>
      </c>
      <c r="H639" cm="1">
        <f t="array" ref="H639:W639">Siam_Chart[[#This Row],[MCap (M)]:[CG]]</f>
        <v>576000000</v>
      </c>
      <c r="I639">
        <v>12.18</v>
      </c>
      <c r="J639">
        <v>0.63</v>
      </c>
      <c r="K639">
        <v>0.14802100000000001</v>
      </c>
      <c r="L639">
        <v>0.02</v>
      </c>
      <c r="M639">
        <v>0.02</v>
      </c>
      <c r="N639">
        <v>5.0975919999999997</v>
      </c>
      <c r="O639">
        <v>5.2982339999999999</v>
      </c>
      <c r="P639">
        <v>8.2416920000000005</v>
      </c>
      <c r="Q639">
        <v>0.66</v>
      </c>
      <c r="R639" t="str">
        <v/>
      </c>
      <c r="S639" t="str">
        <v/>
      </c>
      <c r="T639">
        <v>883</v>
      </c>
      <c r="U639">
        <v>814</v>
      </c>
      <c r="V639">
        <v>-0.09</v>
      </c>
      <c r="W639">
        <v>0</v>
      </c>
      <c r="X639" s="5">
        <f t="shared" si="21"/>
        <v>0.76190476190476186</v>
      </c>
      <c r="Y639" s="6">
        <f t="shared" si="22"/>
        <v>1200000000</v>
      </c>
    </row>
    <row r="640" spans="2:25" x14ac:dyDescent="0.25">
      <c r="B640" t="str">
        <f>Siam_Chart[[#This Row],[Name]]</f>
        <v>SMART</v>
      </c>
      <c r="C640">
        <f>Siam_Chart[[#This Row],[No.]]</f>
        <v>639</v>
      </c>
      <c r="D640">
        <f>Siam_Chart[[#This Row],[Last]]</f>
        <v>0.66</v>
      </c>
      <c r="E640">
        <f>Siam_Chart[[#This Row],[Chg%]]</f>
        <v>0</v>
      </c>
      <c r="F640">
        <f>Siam_Chart[[#This Row],[Volume]]</f>
        <v>1948554</v>
      </c>
      <c r="G640">
        <f>Siam_Chart[[#This Row],[Value (k)]]</f>
        <v>1275466.6399999999</v>
      </c>
      <c r="H640" cm="1">
        <f t="array" ref="H640:W640">Siam_Chart[[#This Row],[MCap (M)]:[CG]]</f>
        <v>687433981.74000001</v>
      </c>
      <c r="I640">
        <v>26.35</v>
      </c>
      <c r="J640">
        <v>1.19</v>
      </c>
      <c r="K640">
        <v>0.17103299999999999</v>
      </c>
      <c r="L640">
        <v>6.7500000000000004E-2</v>
      </c>
      <c r="M640">
        <v>0.01</v>
      </c>
      <c r="N640">
        <v>5.0767470000000001</v>
      </c>
      <c r="O640">
        <v>4.3301990000000004</v>
      </c>
      <c r="P640">
        <v>4.089728</v>
      </c>
      <c r="Q640">
        <v>10.23</v>
      </c>
      <c r="R640" t="str">
        <v/>
      </c>
      <c r="S640" t="str">
        <v/>
      </c>
      <c r="T640">
        <v>1114</v>
      </c>
      <c r="U640">
        <v>1010</v>
      </c>
      <c r="V640">
        <v>1.05</v>
      </c>
      <c r="W640">
        <v>0</v>
      </c>
      <c r="X640" s="5">
        <f t="shared" si="21"/>
        <v>0.55462184873949583</v>
      </c>
      <c r="Y640" s="6">
        <f t="shared" si="22"/>
        <v>1041566639</v>
      </c>
    </row>
    <row r="641" spans="2:25" x14ac:dyDescent="0.25">
      <c r="B641" t="str">
        <f>Siam_Chart[[#This Row],[Name]]</f>
        <v>SMD100</v>
      </c>
      <c r="C641">
        <f>Siam_Chart[[#This Row],[No.]]</f>
        <v>640</v>
      </c>
      <c r="D641">
        <f>Siam_Chart[[#This Row],[Last]]</f>
        <v>1.72</v>
      </c>
      <c r="E641">
        <f>Siam_Chart[[#This Row],[Chg%]]</f>
        <v>6.83</v>
      </c>
      <c r="F641">
        <f>Siam_Chart[[#This Row],[Volume]]</f>
        <v>5362958</v>
      </c>
      <c r="G641">
        <f>Siam_Chart[[#This Row],[Value (k)]]</f>
        <v>9464161.5800000001</v>
      </c>
      <c r="H641" cm="1">
        <f t="array" ref="H641:W641">Siam_Chart[[#This Row],[MCap (M)]:[CG]]</f>
        <v>386456165.24000001</v>
      </c>
      <c r="I641">
        <v>7.3</v>
      </c>
      <c r="J641">
        <v>0.51</v>
      </c>
      <c r="K641">
        <v>0.92111500000000002</v>
      </c>
      <c r="L641">
        <v>6.2420000000000003E-2</v>
      </c>
      <c r="M641">
        <v>-0.01</v>
      </c>
      <c r="N641">
        <v>6.2729419999999996</v>
      </c>
      <c r="O641">
        <v>7.1531390000000004</v>
      </c>
      <c r="P641">
        <v>-0.38047799999999998</v>
      </c>
      <c r="Q641">
        <v>3.63</v>
      </c>
      <c r="R641" t="str">
        <v/>
      </c>
      <c r="S641" t="str">
        <v/>
      </c>
      <c r="T641">
        <v>1300</v>
      </c>
      <c r="U641">
        <v>1230</v>
      </c>
      <c r="V641">
        <v>-0.78</v>
      </c>
      <c r="W641">
        <v>3</v>
      </c>
      <c r="X641" s="5">
        <f t="shared" si="21"/>
        <v>3.3725490196078431</v>
      </c>
      <c r="Y641" s="6">
        <f t="shared" si="22"/>
        <v>224683817</v>
      </c>
    </row>
    <row r="642" spans="2:25" x14ac:dyDescent="0.25">
      <c r="B642" t="str">
        <f>Siam_Chart[[#This Row],[Name]]</f>
        <v>SMIT</v>
      </c>
      <c r="C642">
        <f>Siam_Chart[[#This Row],[No.]]</f>
        <v>641</v>
      </c>
      <c r="D642">
        <f>Siam_Chart[[#This Row],[Last]]</f>
        <v>3.58</v>
      </c>
      <c r="E642">
        <f>Siam_Chart[[#This Row],[Chg%]]</f>
        <v>-0.56000000000000005</v>
      </c>
      <c r="F642">
        <f>Siam_Chart[[#This Row],[Volume]]</f>
        <v>22700</v>
      </c>
      <c r="G642">
        <f>Siam_Chart[[#This Row],[Value (k)]]</f>
        <v>81222</v>
      </c>
      <c r="H642" cm="1">
        <f t="array" ref="H642:W642">Siam_Chart[[#This Row],[MCap (M)]:[CG]]</f>
        <v>1897400000</v>
      </c>
      <c r="I642">
        <v>11.73</v>
      </c>
      <c r="J642">
        <v>0.71</v>
      </c>
      <c r="K642">
        <v>0.112959</v>
      </c>
      <c r="L642">
        <v>0.1</v>
      </c>
      <c r="M642">
        <v>0.16</v>
      </c>
      <c r="N642">
        <v>6.6474919999999997</v>
      </c>
      <c r="O642">
        <v>6.0618020000000001</v>
      </c>
      <c r="P642">
        <v>10.225364000000001</v>
      </c>
      <c r="Q642">
        <v>6.7</v>
      </c>
      <c r="R642" t="str">
        <v/>
      </c>
      <c r="S642" t="str">
        <v/>
      </c>
      <c r="T642">
        <v>809</v>
      </c>
      <c r="U642">
        <v>665</v>
      </c>
      <c r="V642">
        <v>-1.1299999999999999</v>
      </c>
      <c r="W642">
        <v>0</v>
      </c>
      <c r="X642" s="5">
        <f t="shared" si="21"/>
        <v>5.042253521126761</v>
      </c>
      <c r="Y642" s="6">
        <f t="shared" si="22"/>
        <v>530000000</v>
      </c>
    </row>
    <row r="643" spans="2:25" x14ac:dyDescent="0.25">
      <c r="B643" t="str">
        <f>Siam_Chart[[#This Row],[Name]]</f>
        <v>SMO</v>
      </c>
      <c r="C643">
        <f>Siam_Chart[[#This Row],[No.]]</f>
        <v>642</v>
      </c>
      <c r="D643">
        <f>Siam_Chart[[#This Row],[Last]]</f>
        <v>3.48</v>
      </c>
      <c r="E643">
        <f>Siam_Chart[[#This Row],[Chg%]]</f>
        <v>-0.56999999999999995</v>
      </c>
      <c r="F643">
        <f>Siam_Chart[[#This Row],[Volume]]</f>
        <v>131710</v>
      </c>
      <c r="G643">
        <f>Siam_Chart[[#This Row],[Value (k)]]</f>
        <v>461015</v>
      </c>
      <c r="H643" cm="1">
        <f t="array" ref="H643:W643">Siam_Chart[[#This Row],[MCap (M)]:[CG]]</f>
        <v>3201600000</v>
      </c>
      <c r="I643">
        <v>24.46</v>
      </c>
      <c r="J643">
        <v>1.1399999999999999</v>
      </c>
      <c r="K643">
        <v>0.62699300000000002</v>
      </c>
      <c r="L643">
        <v>0.2</v>
      </c>
      <c r="M643">
        <v>-0.03</v>
      </c>
      <c r="N643">
        <v>3.7382689999999998</v>
      </c>
      <c r="O643">
        <v>5.4962059999999999</v>
      </c>
      <c r="P643">
        <v>-0.49815799999999999</v>
      </c>
      <c r="Q643">
        <v>10.06</v>
      </c>
      <c r="R643" t="str">
        <v/>
      </c>
      <c r="S643" t="str">
        <v/>
      </c>
      <c r="T643">
        <v>0</v>
      </c>
      <c r="U643">
        <v>0</v>
      </c>
      <c r="V643">
        <v>0.03</v>
      </c>
      <c r="W643">
        <v>0</v>
      </c>
      <c r="X643" s="5">
        <f t="shared" si="21"/>
        <v>3.0526315789473686</v>
      </c>
      <c r="Y643" s="6">
        <f t="shared" si="22"/>
        <v>920000000</v>
      </c>
    </row>
    <row r="644" spans="2:25" x14ac:dyDescent="0.25">
      <c r="B644" t="str">
        <f>Siam_Chart[[#This Row],[Name]]</f>
        <v>SMPC</v>
      </c>
      <c r="C644">
        <f>Siam_Chart[[#This Row],[No.]]</f>
        <v>643</v>
      </c>
      <c r="D644">
        <f>Siam_Chart[[#This Row],[Last]]</f>
        <v>9.9</v>
      </c>
      <c r="E644">
        <f>Siam_Chart[[#This Row],[Chg%]]</f>
        <v>0.51</v>
      </c>
      <c r="F644">
        <f>Siam_Chart[[#This Row],[Volume]]</f>
        <v>130421</v>
      </c>
      <c r="G644">
        <f>Siam_Chart[[#This Row],[Value (k)]]</f>
        <v>1286042.3999999999</v>
      </c>
      <c r="H644" cm="1">
        <f t="array" ref="H644:W644">Siam_Chart[[#This Row],[MCap (M)]:[CG]]</f>
        <v>5301512696.6999998</v>
      </c>
      <c r="I644">
        <v>8.2200000000000006</v>
      </c>
      <c r="J644">
        <v>1.51</v>
      </c>
      <c r="K644">
        <v>0.23200499999999999</v>
      </c>
      <c r="L644">
        <v>0.45</v>
      </c>
      <c r="M644">
        <v>0.73</v>
      </c>
      <c r="N644">
        <v>16.562422999999999</v>
      </c>
      <c r="O644">
        <v>19.088221000000001</v>
      </c>
      <c r="P644">
        <v>17.470395</v>
      </c>
      <c r="Q644">
        <v>7.07</v>
      </c>
      <c r="R644" t="str">
        <v/>
      </c>
      <c r="S644" t="str">
        <v/>
      </c>
      <c r="T644">
        <v>254</v>
      </c>
      <c r="U644">
        <v>222</v>
      </c>
      <c r="V644">
        <v>1.68</v>
      </c>
      <c r="W644">
        <v>5</v>
      </c>
      <c r="X644" s="5">
        <f t="shared" ref="X644:X707" si="23">IFERROR(D644/J644,0)</f>
        <v>6.556291390728477</v>
      </c>
      <c r="Y644" s="6">
        <f t="shared" ref="Y644:Y707" si="24">IFERROR(H644/D644,0)</f>
        <v>535506332.99999994</v>
      </c>
    </row>
    <row r="645" spans="2:25" x14ac:dyDescent="0.25">
      <c r="B645" t="str">
        <f>Siam_Chart[[#This Row],[Name]]</f>
        <v>SMT</v>
      </c>
      <c r="C645">
        <f>Siam_Chart[[#This Row],[No.]]</f>
        <v>644</v>
      </c>
      <c r="D645">
        <f>Siam_Chart[[#This Row],[Last]]</f>
        <v>6.05</v>
      </c>
      <c r="E645">
        <f>Siam_Chart[[#This Row],[Chg%]]</f>
        <v>2.54</v>
      </c>
      <c r="F645">
        <f>Siam_Chart[[#This Row],[Volume]]</f>
        <v>21618759</v>
      </c>
      <c r="G645">
        <f>Siam_Chart[[#This Row],[Value (k)]]</f>
        <v>128354709.45</v>
      </c>
      <c r="H645" cm="1">
        <f t="array" ref="H645:W645">Siam_Chart[[#This Row],[MCap (M)]:[CG]]</f>
        <v>5072881821.1499996</v>
      </c>
      <c r="I645">
        <v>4569786103.3500004</v>
      </c>
      <c r="J645">
        <v>2.84</v>
      </c>
      <c r="K645">
        <v>0.37156299999999998</v>
      </c>
      <c r="L645">
        <v>0.03</v>
      </c>
      <c r="M645">
        <v>0.06</v>
      </c>
      <c r="N645">
        <v>0.22120400000000001</v>
      </c>
      <c r="O645">
        <v>-0.39477299999999999</v>
      </c>
      <c r="P645">
        <v>3.7999000000000001</v>
      </c>
      <c r="Q645">
        <v>0.5</v>
      </c>
      <c r="R645" t="str">
        <v/>
      </c>
      <c r="S645" t="str">
        <v/>
      </c>
      <c r="T645">
        <v>0</v>
      </c>
      <c r="U645">
        <v>0</v>
      </c>
      <c r="V645">
        <v>0</v>
      </c>
      <c r="W645">
        <v>4</v>
      </c>
      <c r="X645" s="5">
        <f t="shared" si="23"/>
        <v>2.130281690140845</v>
      </c>
      <c r="Y645" s="6">
        <f t="shared" si="24"/>
        <v>838492863</v>
      </c>
    </row>
    <row r="646" spans="2:25" x14ac:dyDescent="0.25">
      <c r="B646" t="str">
        <f>Siam_Chart[[#This Row],[Name]]</f>
        <v>SNC</v>
      </c>
      <c r="C646">
        <f>Siam_Chart[[#This Row],[No.]]</f>
        <v>645</v>
      </c>
      <c r="D646">
        <f>Siam_Chart[[#This Row],[Last]]</f>
        <v>7.4</v>
      </c>
      <c r="E646">
        <f>Siam_Chart[[#This Row],[Chg%]]</f>
        <v>-0.67</v>
      </c>
      <c r="F646">
        <f>Siam_Chart[[#This Row],[Volume]]</f>
        <v>147800</v>
      </c>
      <c r="G646">
        <f>Siam_Chart[[#This Row],[Value (k)]]</f>
        <v>1080755</v>
      </c>
      <c r="H646" cm="1">
        <f t="array" ref="H646:W646">Siam_Chart[[#This Row],[MCap (M)]:[CG]]</f>
        <v>2680430508.5999999</v>
      </c>
      <c r="I646">
        <v>6.73</v>
      </c>
      <c r="J646">
        <v>0.48</v>
      </c>
      <c r="K646">
        <v>1.2566269999999999</v>
      </c>
      <c r="L646">
        <v>0.25</v>
      </c>
      <c r="M646">
        <v>0.99</v>
      </c>
      <c r="N646">
        <v>4.7693719999999997</v>
      </c>
      <c r="O646">
        <v>7.3601599999999996</v>
      </c>
      <c r="P646">
        <v>6.4644700000000004</v>
      </c>
      <c r="Q646">
        <v>0.48</v>
      </c>
      <c r="R646" t="str">
        <v/>
      </c>
      <c r="S646" t="str">
        <v/>
      </c>
      <c r="T646">
        <v>483</v>
      </c>
      <c r="U646">
        <v>541</v>
      </c>
      <c r="V646">
        <v>-0.1</v>
      </c>
      <c r="W646">
        <v>5</v>
      </c>
      <c r="X646" s="5">
        <f t="shared" si="23"/>
        <v>15.416666666666668</v>
      </c>
      <c r="Y646" s="6">
        <f t="shared" si="24"/>
        <v>362220338.99999994</v>
      </c>
    </row>
    <row r="647" spans="2:25" x14ac:dyDescent="0.25">
      <c r="B647" t="str">
        <f>Siam_Chart[[#This Row],[Name]]</f>
        <v>SNNP</v>
      </c>
      <c r="C647">
        <f>Siam_Chart[[#This Row],[No.]]</f>
        <v>646</v>
      </c>
      <c r="D647">
        <f>Siam_Chart[[#This Row],[Last]]</f>
        <v>6.75</v>
      </c>
      <c r="E647">
        <f>Siam_Chart[[#This Row],[Chg%]]</f>
        <v>0.75</v>
      </c>
      <c r="F647">
        <f>Siam_Chart[[#This Row],[Volume]]</f>
        <v>279782</v>
      </c>
      <c r="G647">
        <f>Siam_Chart[[#This Row],[Value (k)]]</f>
        <v>1878006.45</v>
      </c>
      <c r="H647" cm="1">
        <f t="array" ref="H647:W647">Siam_Chart[[#This Row],[MCap (M)]:[CG]]</f>
        <v>6075034425</v>
      </c>
      <c r="I647">
        <v>17.440000000000001</v>
      </c>
      <c r="J647">
        <v>2.67</v>
      </c>
      <c r="K647">
        <v>1.353761</v>
      </c>
      <c r="L647">
        <v>0.16</v>
      </c>
      <c r="M647">
        <v>0.14000000000000001</v>
      </c>
      <c r="N647">
        <v>8.3534419999999994</v>
      </c>
      <c r="O647">
        <v>14.647563</v>
      </c>
      <c r="P647">
        <v>4.7897590000000001</v>
      </c>
      <c r="Q647">
        <v>8.81</v>
      </c>
      <c r="R647" t="str">
        <v/>
      </c>
      <c r="S647" t="str">
        <v/>
      </c>
      <c r="T647">
        <v>667</v>
      </c>
      <c r="U647">
        <v>745</v>
      </c>
      <c r="V647">
        <v>3.09</v>
      </c>
      <c r="W647">
        <v>5</v>
      </c>
      <c r="X647" s="5">
        <f t="shared" si="23"/>
        <v>2.5280898876404496</v>
      </c>
      <c r="Y647" s="6">
        <f t="shared" si="24"/>
        <v>900005100</v>
      </c>
    </row>
    <row r="648" spans="2:25" x14ac:dyDescent="0.25">
      <c r="B648" t="str">
        <f>Siam_Chart[[#This Row],[Name]]</f>
        <v>SNP</v>
      </c>
      <c r="C648">
        <f>Siam_Chart[[#This Row],[No.]]</f>
        <v>647</v>
      </c>
      <c r="D648">
        <f>Siam_Chart[[#This Row],[Last]]</f>
        <v>8.75</v>
      </c>
      <c r="E648">
        <f>Siam_Chart[[#This Row],[Chg%]]</f>
        <v>0.56999999999999995</v>
      </c>
      <c r="F648">
        <f>Siam_Chart[[#This Row],[Volume]]</f>
        <v>16432</v>
      </c>
      <c r="G648">
        <f>Siam_Chart[[#This Row],[Value (k)]]</f>
        <v>143000</v>
      </c>
      <c r="H648" cm="1">
        <f t="array" ref="H648:W648">Siam_Chart[[#This Row],[MCap (M)]:[CG]]</f>
        <v>4503715851.25</v>
      </c>
      <c r="I648">
        <v>18.11</v>
      </c>
      <c r="J648">
        <v>1.88</v>
      </c>
      <c r="K648">
        <v>0.59960899999999995</v>
      </c>
      <c r="L648">
        <v>0.05</v>
      </c>
      <c r="M648">
        <v>0.12</v>
      </c>
      <c r="N648">
        <v>8.1248070000000006</v>
      </c>
      <c r="O648">
        <v>10.367492</v>
      </c>
      <c r="P648">
        <v>2.4108710000000002</v>
      </c>
      <c r="Q648">
        <v>5.71</v>
      </c>
      <c r="R648" t="str">
        <v/>
      </c>
      <c r="S648" t="str">
        <v/>
      </c>
      <c r="T648">
        <v>788</v>
      </c>
      <c r="U648">
        <v>759</v>
      </c>
      <c r="V648">
        <v>-9.2899999999999991</v>
      </c>
      <c r="W648">
        <v>5</v>
      </c>
      <c r="X648" s="5">
        <f t="shared" si="23"/>
        <v>4.6542553191489366</v>
      </c>
      <c r="Y648" s="6">
        <f t="shared" si="24"/>
        <v>514710383</v>
      </c>
    </row>
    <row r="649" spans="2:25" x14ac:dyDescent="0.25">
      <c r="B649" t="str">
        <f>Siam_Chart[[#This Row],[Name]]</f>
        <v>SNPS</v>
      </c>
      <c r="C649">
        <f>Siam_Chart[[#This Row],[No.]]</f>
        <v>648</v>
      </c>
      <c r="D649">
        <f>Siam_Chart[[#This Row],[Last]]</f>
        <v>4.32</v>
      </c>
      <c r="E649">
        <f>Siam_Chart[[#This Row],[Chg%]]</f>
        <v>-1.37</v>
      </c>
      <c r="F649">
        <f>Siam_Chart[[#This Row],[Volume]]</f>
        <v>1600</v>
      </c>
      <c r="G649">
        <f>Siam_Chart[[#This Row],[Value (k)]]</f>
        <v>6912</v>
      </c>
      <c r="H649" cm="1">
        <f t="array" ref="H649:W649">Siam_Chart[[#This Row],[MCap (M)]:[CG]]</f>
        <v>1749600000</v>
      </c>
      <c r="I649">
        <v>16.010000000000002</v>
      </c>
      <c r="J649">
        <v>2.02</v>
      </c>
      <c r="K649">
        <v>0.12682499999999999</v>
      </c>
      <c r="L649">
        <v>0.19</v>
      </c>
      <c r="M649">
        <v>0.11</v>
      </c>
      <c r="N649">
        <v>13.500007999999999</v>
      </c>
      <c r="O649">
        <v>12.658299</v>
      </c>
      <c r="P649">
        <v>17.071404000000001</v>
      </c>
      <c r="Q649">
        <v>6.02</v>
      </c>
      <c r="R649" t="str">
        <v/>
      </c>
      <c r="S649" t="str">
        <v/>
      </c>
      <c r="T649">
        <v>646</v>
      </c>
      <c r="U649">
        <v>538</v>
      </c>
      <c r="V649">
        <v>0.4</v>
      </c>
      <c r="W649">
        <v>3</v>
      </c>
      <c r="X649" s="5">
        <f t="shared" si="23"/>
        <v>2.1386138613861387</v>
      </c>
      <c r="Y649" s="6">
        <f t="shared" si="24"/>
        <v>405000000</v>
      </c>
    </row>
    <row r="650" spans="2:25" x14ac:dyDescent="0.25">
      <c r="B650" t="str">
        <f>Siam_Chart[[#This Row],[Name]]</f>
        <v>SO</v>
      </c>
      <c r="C650">
        <f>Siam_Chart[[#This Row],[No.]]</f>
        <v>649</v>
      </c>
      <c r="D650">
        <f>Siam_Chart[[#This Row],[Last]]</f>
        <v>4.76</v>
      </c>
      <c r="E650">
        <f>Siam_Chart[[#This Row],[Chg%]]</f>
        <v>-1.24</v>
      </c>
      <c r="F650">
        <f>Siam_Chart[[#This Row],[Volume]]</f>
        <v>205394</v>
      </c>
      <c r="G650">
        <f>Siam_Chart[[#This Row],[Value (k)]]</f>
        <v>981721.4</v>
      </c>
      <c r="H650" cm="1">
        <f t="array" ref="H650:W650">Siam_Chart[[#This Row],[MCap (M)]:[CG]]</f>
        <v>2266474019.04</v>
      </c>
      <c r="I650">
        <v>11.55</v>
      </c>
      <c r="J650">
        <v>1.99</v>
      </c>
      <c r="K650">
        <v>1.254664</v>
      </c>
      <c r="L650">
        <v>0.18</v>
      </c>
      <c r="M650">
        <v>0.22</v>
      </c>
      <c r="N650">
        <v>9.5442540000000005</v>
      </c>
      <c r="O650">
        <v>17.215112000000001</v>
      </c>
      <c r="P650">
        <v>7.3236220000000003</v>
      </c>
      <c r="Q650">
        <v>8.0299999999999994</v>
      </c>
      <c r="R650" t="str">
        <v/>
      </c>
      <c r="S650" t="str">
        <v/>
      </c>
      <c r="T650">
        <v>326</v>
      </c>
      <c r="U650">
        <v>378</v>
      </c>
      <c r="V650">
        <v>0.96</v>
      </c>
      <c r="W650">
        <v>5</v>
      </c>
      <c r="X650" s="5">
        <f t="shared" si="23"/>
        <v>2.3919597989949746</v>
      </c>
      <c r="Y650" s="6">
        <f t="shared" si="24"/>
        <v>476150004</v>
      </c>
    </row>
    <row r="651" spans="2:25" x14ac:dyDescent="0.25">
      <c r="B651" t="str">
        <f>Siam_Chart[[#This Row],[Name]]</f>
        <v>SOLAR</v>
      </c>
      <c r="C651">
        <f>Siam_Chart[[#This Row],[No.]]</f>
        <v>650</v>
      </c>
      <c r="D651">
        <f>Siam_Chart[[#This Row],[Last]]</f>
        <v>0.23</v>
      </c>
      <c r="E651">
        <f>Siam_Chart[[#This Row],[Chg%]]</f>
        <v>-4.17</v>
      </c>
      <c r="F651">
        <f>Siam_Chart[[#This Row],[Volume]]</f>
        <v>725672</v>
      </c>
      <c r="G651">
        <f>Siam_Chart[[#This Row],[Value (k)]]</f>
        <v>168398.86</v>
      </c>
      <c r="H651" cm="1">
        <f t="array" ref="H651:W651">Siam_Chart[[#This Row],[MCap (M)]:[CG]]</f>
        <v>300637771.12</v>
      </c>
      <c r="I651">
        <v>300637771.12</v>
      </c>
      <c r="J651">
        <v>1.53</v>
      </c>
      <c r="K651">
        <v>5.2389760000000001</v>
      </c>
      <c r="L651">
        <v>-0.06</v>
      </c>
      <c r="M651">
        <v>-0.06</v>
      </c>
      <c r="N651">
        <v>-33.751612999999999</v>
      </c>
      <c r="O651">
        <v>-111.675613</v>
      </c>
      <c r="P651">
        <v>-39.036028000000002</v>
      </c>
      <c r="Q651">
        <v>1.53</v>
      </c>
      <c r="R651" t="str">
        <v/>
      </c>
      <c r="S651" t="str">
        <v/>
      </c>
      <c r="T651">
        <v>0</v>
      </c>
      <c r="U651">
        <v>0</v>
      </c>
      <c r="V651">
        <v>0</v>
      </c>
      <c r="W651">
        <v>0</v>
      </c>
      <c r="X651" s="5">
        <f t="shared" si="23"/>
        <v>0.15032679738562091</v>
      </c>
      <c r="Y651" s="6">
        <f t="shared" si="24"/>
        <v>1307120744</v>
      </c>
    </row>
    <row r="652" spans="2:25" x14ac:dyDescent="0.25">
      <c r="B652" t="str">
        <f>Siam_Chart[[#This Row],[Name]]</f>
        <v>SONIC</v>
      </c>
      <c r="C652">
        <f>Siam_Chart[[#This Row],[No.]]</f>
        <v>651</v>
      </c>
      <c r="D652">
        <f>Siam_Chart[[#This Row],[Last]]</f>
        <v>1.53</v>
      </c>
      <c r="E652">
        <f>Siam_Chart[[#This Row],[Chg%]]</f>
        <v>0</v>
      </c>
      <c r="F652">
        <f>Siam_Chart[[#This Row],[Volume]]</f>
        <v>206001</v>
      </c>
      <c r="G652">
        <f>Siam_Chart[[#This Row],[Value (k)]]</f>
        <v>315074.52</v>
      </c>
      <c r="H652" cm="1">
        <f t="array" ref="H652:W652">Siam_Chart[[#This Row],[MCap (M)]:[CG]]</f>
        <v>1289313851.76</v>
      </c>
      <c r="I652">
        <v>8.33</v>
      </c>
      <c r="J652">
        <v>0.76</v>
      </c>
      <c r="K652">
        <v>0.27808500000000003</v>
      </c>
      <c r="L652">
        <v>0.06</v>
      </c>
      <c r="M652">
        <v>0.1</v>
      </c>
      <c r="N652">
        <v>9.4861070000000005</v>
      </c>
      <c r="O652">
        <v>9.1951499999999999</v>
      </c>
      <c r="P652">
        <v>7.5709549999999997</v>
      </c>
      <c r="Q652">
        <v>4.08</v>
      </c>
      <c r="R652" t="str">
        <v/>
      </c>
      <c r="S652" t="str">
        <v/>
      </c>
      <c r="T652">
        <v>633</v>
      </c>
      <c r="U652">
        <v>510</v>
      </c>
      <c r="V652">
        <v>-2.33</v>
      </c>
      <c r="W652">
        <v>5</v>
      </c>
      <c r="X652" s="5">
        <f t="shared" si="23"/>
        <v>2.013157894736842</v>
      </c>
      <c r="Y652" s="6">
        <f t="shared" si="24"/>
        <v>842688792</v>
      </c>
    </row>
    <row r="653" spans="2:25" x14ac:dyDescent="0.25">
      <c r="B653" t="str">
        <f>Siam_Chart[[#This Row],[Name]]</f>
        <v>SORKON</v>
      </c>
      <c r="C653">
        <f>Siam_Chart[[#This Row],[No.]]</f>
        <v>652</v>
      </c>
      <c r="D653">
        <f>Siam_Chart[[#This Row],[Last]]</f>
        <v>3.4</v>
      </c>
      <c r="E653">
        <f>Siam_Chart[[#This Row],[Chg%]]</f>
        <v>0</v>
      </c>
      <c r="F653">
        <f>Siam_Chart[[#This Row],[Volume]]</f>
        <v>158916</v>
      </c>
      <c r="G653">
        <f>Siam_Chart[[#This Row],[Value (k)]]</f>
        <v>536146.66</v>
      </c>
      <c r="H653" cm="1">
        <f t="array" ref="H653:W653">Siam_Chart[[#This Row],[MCap (M)]:[CG]]</f>
        <v>1099560000</v>
      </c>
      <c r="I653">
        <v>26.67</v>
      </c>
      <c r="J653">
        <v>0.83</v>
      </c>
      <c r="K653">
        <v>1.5643419999999999</v>
      </c>
      <c r="L653">
        <v>0.25</v>
      </c>
      <c r="M653">
        <v>2.1468362399328318</v>
      </c>
      <c r="N653">
        <v>2.146836</v>
      </c>
      <c r="O653">
        <v>3.0408529999999998</v>
      </c>
      <c r="P653">
        <v>-0.437164</v>
      </c>
      <c r="Q653">
        <v>7.35</v>
      </c>
      <c r="R653" t="str">
        <v/>
      </c>
      <c r="S653" t="str">
        <v/>
      </c>
      <c r="T653">
        <v>1201</v>
      </c>
      <c r="U653">
        <v>1222</v>
      </c>
      <c r="V653">
        <v>1.61</v>
      </c>
      <c r="W653">
        <v>3</v>
      </c>
      <c r="X653" s="5">
        <f t="shared" si="23"/>
        <v>4.096385542168675</v>
      </c>
      <c r="Y653" s="6">
        <f t="shared" si="24"/>
        <v>323400000</v>
      </c>
    </row>
    <row r="654" spans="2:25" x14ac:dyDescent="0.25">
      <c r="B654" t="str">
        <f>Siam_Chart[[#This Row],[Name]]</f>
        <v>SPA</v>
      </c>
      <c r="C654">
        <f>Siam_Chart[[#This Row],[No.]]</f>
        <v>653</v>
      </c>
      <c r="D654">
        <f>Siam_Chart[[#This Row],[Last]]</f>
        <v>3.12</v>
      </c>
      <c r="E654">
        <f>Siam_Chart[[#This Row],[Chg%]]</f>
        <v>0</v>
      </c>
      <c r="F654">
        <f>Siam_Chart[[#This Row],[Volume]]</f>
        <v>502010</v>
      </c>
      <c r="G654">
        <f>Siam_Chart[[#This Row],[Value (k)]]</f>
        <v>1567687.26</v>
      </c>
      <c r="H654" cm="1">
        <f t="array" ref="H654:W654">Siam_Chart[[#This Row],[MCap (M)]:[CG]]</f>
        <v>4001397266.8800001</v>
      </c>
      <c r="I654">
        <v>20.34</v>
      </c>
      <c r="J654">
        <v>3.2</v>
      </c>
      <c r="K654">
        <v>1.1118809999999999</v>
      </c>
      <c r="L654">
        <v>0.1</v>
      </c>
      <c r="M654">
        <v>7.0000000000000007E-2</v>
      </c>
      <c r="N654">
        <v>11.788570999999999</v>
      </c>
      <c r="O654">
        <v>16.347615000000001</v>
      </c>
      <c r="P654">
        <v>10.243923000000001</v>
      </c>
      <c r="Q654">
        <v>3.21</v>
      </c>
      <c r="R654" t="str">
        <v/>
      </c>
      <c r="S654" t="str">
        <v/>
      </c>
      <c r="T654">
        <v>708</v>
      </c>
      <c r="U654">
        <v>700</v>
      </c>
      <c r="V654">
        <v>-0.14000000000000001</v>
      </c>
      <c r="W654">
        <v>4</v>
      </c>
      <c r="X654" s="5">
        <f t="shared" si="23"/>
        <v>0.97499999999999998</v>
      </c>
      <c r="Y654" s="6">
        <f t="shared" si="24"/>
        <v>1282499124</v>
      </c>
    </row>
    <row r="655" spans="2:25" x14ac:dyDescent="0.25">
      <c r="B655" t="str">
        <f>Siam_Chart[[#This Row],[Name]]</f>
        <v>SPACK</v>
      </c>
      <c r="C655">
        <f>Siam_Chart[[#This Row],[No.]]</f>
        <v>654</v>
      </c>
      <c r="D655">
        <f>Siam_Chart[[#This Row],[Last]]</f>
        <v>1.67</v>
      </c>
      <c r="E655">
        <f>Siam_Chart[[#This Row],[Chg%]]</f>
        <v>-2.34</v>
      </c>
      <c r="F655">
        <f>Siam_Chart[[#This Row],[Volume]]</f>
        <v>243601</v>
      </c>
      <c r="G655">
        <f>Siam_Chart[[#This Row],[Value (k)]]</f>
        <v>411923.7</v>
      </c>
      <c r="H655" cm="1">
        <f t="array" ref="H655:W655">Siam_Chart[[#This Row],[MCap (M)]:[CG]]</f>
        <v>501000000</v>
      </c>
      <c r="I655">
        <v>10.29</v>
      </c>
      <c r="J655">
        <v>0.68</v>
      </c>
      <c r="K655">
        <v>0.76486100000000001</v>
      </c>
      <c r="L655">
        <v>0.08</v>
      </c>
      <c r="M655">
        <v>0.08</v>
      </c>
      <c r="N655">
        <v>4.6126950000000004</v>
      </c>
      <c r="O655">
        <v>6.7998760000000003</v>
      </c>
      <c r="P655">
        <v>4.3295329999999996</v>
      </c>
      <c r="Q655">
        <v>0.71</v>
      </c>
      <c r="R655" t="str">
        <v/>
      </c>
      <c r="S655" t="str">
        <v/>
      </c>
      <c r="T655">
        <v>725</v>
      </c>
      <c r="U655">
        <v>772</v>
      </c>
      <c r="V655">
        <v>0.18</v>
      </c>
      <c r="W655">
        <v>0</v>
      </c>
      <c r="X655" s="5">
        <f t="shared" si="23"/>
        <v>2.4558823529411762</v>
      </c>
      <c r="Y655" s="6">
        <f t="shared" si="24"/>
        <v>300000000</v>
      </c>
    </row>
    <row r="656" spans="2:25" x14ac:dyDescent="0.25">
      <c r="B656" t="str">
        <f>Siam_Chart[[#This Row],[Name]]</f>
        <v>SPALI</v>
      </c>
      <c r="C656">
        <f>Siam_Chart[[#This Row],[No.]]</f>
        <v>655</v>
      </c>
      <c r="D656">
        <f>Siam_Chart[[#This Row],[Last]]</f>
        <v>16.5</v>
      </c>
      <c r="E656">
        <f>Siam_Chart[[#This Row],[Chg%]]</f>
        <v>2.48</v>
      </c>
      <c r="F656">
        <f>Siam_Chart[[#This Row],[Volume]]</f>
        <v>12473737</v>
      </c>
      <c r="G656">
        <f>Siam_Chart[[#This Row],[Value (k)]]</f>
        <v>204224867.69999999</v>
      </c>
      <c r="H656" cm="1">
        <f t="array" ref="H656:W656">Siam_Chart[[#This Row],[MCap (M)]:[CG]]</f>
        <v>32225391495</v>
      </c>
      <c r="I656">
        <v>6.89</v>
      </c>
      <c r="J656">
        <v>0.56000000000000005</v>
      </c>
      <c r="K656">
        <v>0.81512799999999996</v>
      </c>
      <c r="L656">
        <v>0.55000000000000004</v>
      </c>
      <c r="M656">
        <v>1.0900000000000001</v>
      </c>
      <c r="N656">
        <v>6.2165239999999997</v>
      </c>
      <c r="O656">
        <v>8.3769600000000004</v>
      </c>
      <c r="P656">
        <v>18.841875000000002</v>
      </c>
      <c r="Q656">
        <v>7.53</v>
      </c>
      <c r="R656" t="str">
        <v/>
      </c>
      <c r="S656" t="str">
        <v/>
      </c>
      <c r="T656">
        <v>524</v>
      </c>
      <c r="U656">
        <v>508</v>
      </c>
      <c r="V656">
        <v>-0.72</v>
      </c>
      <c r="W656">
        <v>5</v>
      </c>
      <c r="X656" s="5">
        <f t="shared" si="23"/>
        <v>29.464285714285712</v>
      </c>
      <c r="Y656" s="6">
        <f t="shared" si="24"/>
        <v>1953054030</v>
      </c>
    </row>
    <row r="657" spans="2:25" x14ac:dyDescent="0.25">
      <c r="B657" t="str">
        <f>Siam_Chart[[#This Row],[Name]]</f>
        <v>SPC</v>
      </c>
      <c r="C657">
        <f>Siam_Chart[[#This Row],[No.]]</f>
        <v>656</v>
      </c>
      <c r="D657">
        <f>Siam_Chart[[#This Row],[Last]]</f>
        <v>56</v>
      </c>
      <c r="E657">
        <f>Siam_Chart[[#This Row],[Chg%]]</f>
        <v>-0.44</v>
      </c>
      <c r="F657">
        <f>Siam_Chart[[#This Row],[Volume]]</f>
        <v>15907</v>
      </c>
      <c r="G657">
        <f>Siam_Chart[[#This Row],[Value (k)]]</f>
        <v>891618.75</v>
      </c>
      <c r="H657" cm="1">
        <f t="array" ref="H657:W657">Siam_Chart[[#This Row],[MCap (M)]:[CG]]</f>
        <v>18480000000</v>
      </c>
      <c r="I657">
        <v>7.17</v>
      </c>
      <c r="J657">
        <v>0.62</v>
      </c>
      <c r="K657">
        <v>0.29732399999999998</v>
      </c>
      <c r="L657">
        <v>1.6</v>
      </c>
      <c r="M657">
        <v>4.3099999999999996</v>
      </c>
      <c r="N657">
        <v>8.3658319999999993</v>
      </c>
      <c r="O657">
        <v>8.9136729999999993</v>
      </c>
      <c r="P657">
        <v>7.344201</v>
      </c>
      <c r="Q657">
        <v>4.29</v>
      </c>
      <c r="R657" t="str">
        <v/>
      </c>
      <c r="S657" t="str">
        <v/>
      </c>
      <c r="T657">
        <v>417</v>
      </c>
      <c r="U657">
        <v>328</v>
      </c>
      <c r="V657">
        <v>0.57999999999999996</v>
      </c>
      <c r="W657">
        <v>5</v>
      </c>
      <c r="X657" s="5">
        <f t="shared" si="23"/>
        <v>90.322580645161295</v>
      </c>
      <c r="Y657" s="6">
        <f t="shared" si="24"/>
        <v>330000000</v>
      </c>
    </row>
    <row r="658" spans="2:25" x14ac:dyDescent="0.25">
      <c r="B658" t="str">
        <f>Siam_Chart[[#This Row],[Name]]</f>
        <v>SPCG</v>
      </c>
      <c r="C658">
        <f>Siam_Chart[[#This Row],[No.]]</f>
        <v>657</v>
      </c>
      <c r="D658">
        <f>Siam_Chart[[#This Row],[Last]]</f>
        <v>11.1</v>
      </c>
      <c r="E658">
        <f>Siam_Chart[[#This Row],[Chg%]]</f>
        <v>-4.3099999999999996</v>
      </c>
      <c r="F658">
        <f>Siam_Chart[[#This Row],[Volume]]</f>
        <v>26396814</v>
      </c>
      <c r="G658">
        <f>Siam_Chart[[#This Row],[Value (k)]]</f>
        <v>308320270.10000002</v>
      </c>
      <c r="H658" cm="1">
        <f t="array" ref="H658:W658">Siam_Chart[[#This Row],[MCap (M)]:[CG]]</f>
        <v>11719269000</v>
      </c>
      <c r="I658">
        <v>31.59</v>
      </c>
      <c r="J658">
        <v>0.73</v>
      </c>
      <c r="K658">
        <v>9.7339999999999996E-3</v>
      </c>
      <c r="L658">
        <v>0.26</v>
      </c>
      <c r="M658">
        <v>0.21</v>
      </c>
      <c r="N658">
        <v>2.173699</v>
      </c>
      <c r="O658">
        <v>2.1722049999999999</v>
      </c>
      <c r="P658">
        <v>27.955577999999999</v>
      </c>
      <c r="Q658">
        <v>19.46</v>
      </c>
      <c r="R658" t="str">
        <v/>
      </c>
      <c r="S658" t="str">
        <v/>
      </c>
      <c r="T658">
        <v>1225</v>
      </c>
      <c r="U658">
        <v>1229</v>
      </c>
      <c r="V658">
        <v>-0.83</v>
      </c>
      <c r="W658">
        <v>5</v>
      </c>
      <c r="X658" s="5">
        <f t="shared" si="23"/>
        <v>15.205479452054794</v>
      </c>
      <c r="Y658" s="6">
        <f t="shared" si="24"/>
        <v>1055790000</v>
      </c>
    </row>
    <row r="659" spans="2:25" x14ac:dyDescent="0.25">
      <c r="B659" t="str">
        <f>Siam_Chart[[#This Row],[Name]]</f>
        <v>SPG</v>
      </c>
      <c r="C659">
        <f>Siam_Chart[[#This Row],[No.]]</f>
        <v>658</v>
      </c>
      <c r="D659">
        <f>Siam_Chart[[#This Row],[Last]]</f>
        <v>11.8</v>
      </c>
      <c r="E659">
        <f>Siam_Chart[[#This Row],[Chg%]]</f>
        <v>2.61</v>
      </c>
      <c r="F659">
        <f>Siam_Chart[[#This Row],[Volume]]</f>
        <v>2800</v>
      </c>
      <c r="G659">
        <f>Siam_Chart[[#This Row],[Value (k)]]</f>
        <v>32840</v>
      </c>
      <c r="H659" cm="1">
        <f t="array" ref="H659:W659">Siam_Chart[[#This Row],[MCap (M)]:[CG]]</f>
        <v>4071000000</v>
      </c>
      <c r="I659">
        <v>11.7</v>
      </c>
      <c r="J659">
        <v>0.71</v>
      </c>
      <c r="K659">
        <v>8.3799999999999999E-2</v>
      </c>
      <c r="L659">
        <v>0.8</v>
      </c>
      <c r="M659">
        <v>0.64</v>
      </c>
      <c r="N659">
        <v>7.1293990000000003</v>
      </c>
      <c r="O659">
        <v>6.110195</v>
      </c>
      <c r="P659">
        <v>18.307380999999999</v>
      </c>
      <c r="Q659">
        <v>6.78</v>
      </c>
      <c r="R659" t="str">
        <v/>
      </c>
      <c r="S659" t="str">
        <v/>
      </c>
      <c r="T659">
        <v>770</v>
      </c>
      <c r="U659">
        <v>597</v>
      </c>
      <c r="V659">
        <v>-1.89</v>
      </c>
      <c r="W659">
        <v>0</v>
      </c>
      <c r="X659" s="5">
        <f t="shared" si="23"/>
        <v>16.619718309859156</v>
      </c>
      <c r="Y659" s="6">
        <f t="shared" si="24"/>
        <v>345000000</v>
      </c>
    </row>
    <row r="660" spans="2:25" x14ac:dyDescent="0.25">
      <c r="B660" t="str">
        <f>Siam_Chart[[#This Row],[Name]]</f>
        <v>SPI</v>
      </c>
      <c r="C660">
        <f>Siam_Chart[[#This Row],[No.]]</f>
        <v>659</v>
      </c>
      <c r="D660">
        <f>Siam_Chart[[#This Row],[Last]]</f>
        <v>33.75</v>
      </c>
      <c r="E660">
        <f>Siam_Chart[[#This Row],[Chg%]]</f>
        <v>0</v>
      </c>
      <c r="F660">
        <f>Siam_Chart[[#This Row],[Volume]]</f>
        <v>113</v>
      </c>
      <c r="G660">
        <f>Siam_Chart[[#This Row],[Value (k)]]</f>
        <v>3830.25</v>
      </c>
      <c r="H660" cm="1">
        <f t="array" ref="H660:W660">Siam_Chart[[#This Row],[MCap (M)]:[CG]]</f>
        <v>43430923203.75</v>
      </c>
      <c r="I660">
        <v>25.9</v>
      </c>
      <c r="J660">
        <v>0.86</v>
      </c>
      <c r="K660">
        <v>0.44677899999999998</v>
      </c>
      <c r="L660">
        <v>0.2</v>
      </c>
      <c r="M660">
        <v>0.87</v>
      </c>
      <c r="N660">
        <v>3.110986</v>
      </c>
      <c r="O660">
        <v>3.3491460000000002</v>
      </c>
      <c r="P660">
        <v>58.826723000000001</v>
      </c>
      <c r="Q660">
        <v>0.79</v>
      </c>
      <c r="R660" t="str">
        <v/>
      </c>
      <c r="S660" t="str">
        <v/>
      </c>
      <c r="T660">
        <v>1198</v>
      </c>
      <c r="U660">
        <v>1178</v>
      </c>
      <c r="V660">
        <v>-3.09</v>
      </c>
      <c r="W660">
        <v>5</v>
      </c>
      <c r="X660" s="5">
        <f t="shared" si="23"/>
        <v>39.244186046511629</v>
      </c>
      <c r="Y660" s="6">
        <f t="shared" si="24"/>
        <v>1286842169</v>
      </c>
    </row>
    <row r="661" spans="2:25" x14ac:dyDescent="0.25">
      <c r="B661" t="str">
        <f>Siam_Chart[[#This Row],[Name]]</f>
        <v>SPRC</v>
      </c>
      <c r="C661">
        <f>Siam_Chart[[#This Row],[No.]]</f>
        <v>660</v>
      </c>
      <c r="D661">
        <f>Siam_Chart[[#This Row],[Last]]</f>
        <v>12.8</v>
      </c>
      <c r="E661">
        <f>Siam_Chart[[#This Row],[Chg%]]</f>
        <v>0</v>
      </c>
      <c r="F661">
        <f>Siam_Chart[[#This Row],[Volume]]</f>
        <v>30338091</v>
      </c>
      <c r="G661">
        <f>Siam_Chart[[#This Row],[Value (k)]]</f>
        <v>388767391.5</v>
      </c>
      <c r="H661" cm="1">
        <f t="array" ref="H661:W661">Siam_Chart[[#This Row],[MCap (M)]:[CG]]</f>
        <v>55499547200</v>
      </c>
      <c r="I661">
        <v>3.27</v>
      </c>
      <c r="J661">
        <v>1.04</v>
      </c>
      <c r="K661">
        <v>0.44464399999999998</v>
      </c>
      <c r="L661">
        <v>0.3</v>
      </c>
      <c r="M661">
        <v>3.29</v>
      </c>
      <c r="N661">
        <v>30.572741000000001</v>
      </c>
      <c r="O661">
        <v>37.665348000000002</v>
      </c>
      <c r="P661">
        <v>10.540409</v>
      </c>
      <c r="Q661">
        <v>3.52</v>
      </c>
      <c r="R661" t="str">
        <v/>
      </c>
      <c r="S661" t="str">
        <v/>
      </c>
      <c r="T661">
        <v>125</v>
      </c>
      <c r="U661">
        <v>111</v>
      </c>
      <c r="V661">
        <v>-7.0000000000000007E-2</v>
      </c>
      <c r="W661">
        <v>5</v>
      </c>
      <c r="X661" s="5">
        <f t="shared" si="23"/>
        <v>12.307692307692308</v>
      </c>
      <c r="Y661" s="6">
        <f t="shared" si="24"/>
        <v>4335902125</v>
      </c>
    </row>
    <row r="662" spans="2:25" x14ac:dyDescent="0.25">
      <c r="B662" t="str">
        <f>Siam_Chart[[#This Row],[Name]]</f>
        <v>SPREME</v>
      </c>
      <c r="C662">
        <f>Siam_Chart[[#This Row],[No.]]</f>
        <v>661</v>
      </c>
      <c r="D662">
        <f>Siam_Chart[[#This Row],[Last]]</f>
        <v>1.5</v>
      </c>
      <c r="E662">
        <f>Siam_Chart[[#This Row],[Chg%]]</f>
        <v>0</v>
      </c>
      <c r="F662">
        <f>Siam_Chart[[#This Row],[Volume]]</f>
        <v>148400</v>
      </c>
      <c r="G662">
        <f>Siam_Chart[[#This Row],[Value (k)]]</f>
        <v>222882</v>
      </c>
      <c r="H662" cm="1">
        <f t="array" ref="H662:W662">Siam_Chart[[#This Row],[MCap (M)]:[CG]]</f>
        <v>1110000000</v>
      </c>
      <c r="I662">
        <v>6.26</v>
      </c>
      <c r="J662">
        <v>1.1200000000000001</v>
      </c>
      <c r="K662">
        <v>5.1033600000000003</v>
      </c>
      <c r="L662">
        <v>0.12</v>
      </c>
      <c r="M662">
        <v>0.09</v>
      </c>
      <c r="N662">
        <v>6.2941440000000002</v>
      </c>
      <c r="O662">
        <v>18.685929000000002</v>
      </c>
      <c r="P662">
        <v>8.5411859999999997</v>
      </c>
      <c r="Q662">
        <v>8</v>
      </c>
      <c r="R662" t="str">
        <v/>
      </c>
      <c r="S662" t="str">
        <v/>
      </c>
      <c r="T662">
        <v>219</v>
      </c>
      <c r="U662">
        <v>403</v>
      </c>
      <c r="V662">
        <v>2.74</v>
      </c>
      <c r="W662">
        <v>3</v>
      </c>
      <c r="X662" s="5">
        <f t="shared" si="23"/>
        <v>1.3392857142857142</v>
      </c>
      <c r="Y662" s="6">
        <f t="shared" si="24"/>
        <v>740000000</v>
      </c>
    </row>
    <row r="663" spans="2:25" x14ac:dyDescent="0.25">
      <c r="B663" t="str">
        <f>Siam_Chart[[#This Row],[Name]]</f>
        <v>SPTX</v>
      </c>
      <c r="C663">
        <f>Siam_Chart[[#This Row],[No.]]</f>
        <v>662</v>
      </c>
      <c r="D663">
        <f>Siam_Chart[[#This Row],[Last]]</f>
        <v>0.01</v>
      </c>
      <c r="E663">
        <f>Siam_Chart[[#This Row],[Chg%]]</f>
        <v>0</v>
      </c>
      <c r="F663">
        <f>Siam_Chart[[#This Row],[Volume]]</f>
        <v>1763541</v>
      </c>
      <c r="G663">
        <f>Siam_Chart[[#This Row],[Value (k)]]</f>
        <v>17635.41</v>
      </c>
      <c r="H663" cm="1">
        <f t="array" ref="H663:W663">Siam_Chart[[#This Row],[MCap (M)]:[CG]]</f>
        <v>2136448815.4100001</v>
      </c>
      <c r="I663">
        <v>2136448815.4100001</v>
      </c>
      <c r="J663">
        <v>2</v>
      </c>
      <c r="K663">
        <v>1.0850230000000001</v>
      </c>
      <c r="L663">
        <v>0</v>
      </c>
      <c r="M663">
        <v>-3.1488859355744325</v>
      </c>
      <c r="N663">
        <v>-3.1488860000000001</v>
      </c>
      <c r="O663">
        <v>-32.073459</v>
      </c>
      <c r="P663">
        <v>-173.68185199999999</v>
      </c>
      <c r="Q663">
        <v>2</v>
      </c>
      <c r="R663" t="str">
        <v/>
      </c>
      <c r="S663" t="str">
        <v/>
      </c>
      <c r="T663">
        <v>0</v>
      </c>
      <c r="U663">
        <v>0</v>
      </c>
      <c r="V663">
        <v>0</v>
      </c>
      <c r="W663">
        <v>0</v>
      </c>
      <c r="X663" s="5">
        <f t="shared" si="23"/>
        <v>5.0000000000000001E-3</v>
      </c>
      <c r="Y663" s="6">
        <f t="shared" si="24"/>
        <v>213644881541</v>
      </c>
    </row>
    <row r="664" spans="2:25" x14ac:dyDescent="0.25">
      <c r="B664" t="str">
        <f>Siam_Chart[[#This Row],[Name]]</f>
        <v>SPVI</v>
      </c>
      <c r="C664">
        <f>Siam_Chart[[#This Row],[No.]]</f>
        <v>663</v>
      </c>
      <c r="D664">
        <f>Siam_Chart[[#This Row],[Last]]</f>
        <v>3.82</v>
      </c>
      <c r="E664">
        <f>Siam_Chart[[#This Row],[Chg%]]</f>
        <v>1.06</v>
      </c>
      <c r="F664">
        <f>Siam_Chart[[#This Row],[Volume]]</f>
        <v>695561</v>
      </c>
      <c r="G664">
        <f>Siam_Chart[[#This Row],[Value (k)]]</f>
        <v>2671830.44</v>
      </c>
      <c r="H664" cm="1">
        <f t="array" ref="H664:W664">Siam_Chart[[#This Row],[MCap (M)]:[CG]]</f>
        <v>1528000000</v>
      </c>
      <c r="I664">
        <v>9.09</v>
      </c>
      <c r="J664">
        <v>2.2200000000000002</v>
      </c>
      <c r="K664">
        <v>0.72496099999999997</v>
      </c>
      <c r="L664">
        <v>0.14499999999999999</v>
      </c>
      <c r="M664">
        <v>0.27</v>
      </c>
      <c r="N664">
        <v>17.416979000000001</v>
      </c>
      <c r="O664">
        <v>26.579815</v>
      </c>
      <c r="P664">
        <v>2.6770290000000001</v>
      </c>
      <c r="Q664">
        <v>3.8</v>
      </c>
      <c r="R664" t="str">
        <v/>
      </c>
      <c r="S664" t="str">
        <v/>
      </c>
      <c r="T664">
        <v>234</v>
      </c>
      <c r="U664">
        <v>235</v>
      </c>
      <c r="V664">
        <v>0.94</v>
      </c>
      <c r="W664">
        <v>4</v>
      </c>
      <c r="X664" s="5">
        <f t="shared" si="23"/>
        <v>1.7207207207207205</v>
      </c>
      <c r="Y664" s="6">
        <f t="shared" si="24"/>
        <v>400000000</v>
      </c>
    </row>
    <row r="665" spans="2:25" x14ac:dyDescent="0.25">
      <c r="B665" t="str">
        <f>Siam_Chart[[#This Row],[Name]]</f>
        <v>SQ</v>
      </c>
      <c r="C665">
        <f>Siam_Chart[[#This Row],[No.]]</f>
        <v>664</v>
      </c>
      <c r="D665">
        <f>Siam_Chart[[#This Row],[Last]]</f>
        <v>0.17</v>
      </c>
      <c r="E665">
        <f>Siam_Chart[[#This Row],[Chg%]]</f>
        <v>6.25</v>
      </c>
      <c r="F665">
        <f>Siam_Chart[[#This Row],[Volume]]</f>
        <v>230800</v>
      </c>
      <c r="G665">
        <f>Siam_Chart[[#This Row],[Value (k)]]</f>
        <v>39056</v>
      </c>
      <c r="H665" cm="1">
        <f t="array" ref="H665:W665">Siam_Chart[[#This Row],[MCap (M)]:[CG]]</f>
        <v>195357200</v>
      </c>
      <c r="I665">
        <v>195357200</v>
      </c>
      <c r="J665">
        <v>0.14000000000000001</v>
      </c>
      <c r="K665">
        <v>4.2241499999999998</v>
      </c>
      <c r="L665">
        <v>0.05</v>
      </c>
      <c r="M665">
        <v>-0.39</v>
      </c>
      <c r="N665">
        <v>-13.064398000000001</v>
      </c>
      <c r="O665">
        <v>-64.233997000000002</v>
      </c>
      <c r="P665">
        <v>-40.375436999999998</v>
      </c>
      <c r="Q665">
        <v>0.14000000000000001</v>
      </c>
      <c r="R665" t="str">
        <v/>
      </c>
      <c r="S665" t="str">
        <v/>
      </c>
      <c r="T665">
        <v>0</v>
      </c>
      <c r="U665">
        <v>0</v>
      </c>
      <c r="V665">
        <v>0</v>
      </c>
      <c r="W665">
        <v>0</v>
      </c>
      <c r="X665" s="5">
        <f t="shared" si="23"/>
        <v>1.2142857142857142</v>
      </c>
      <c r="Y665" s="6">
        <f t="shared" si="24"/>
        <v>1149160000</v>
      </c>
    </row>
    <row r="666" spans="2:25" x14ac:dyDescent="0.25">
      <c r="B666" t="str">
        <f>Siam_Chart[[#This Row],[Name]]</f>
        <v>SR</v>
      </c>
      <c r="C666">
        <f>Siam_Chart[[#This Row],[No.]]</f>
        <v>665</v>
      </c>
      <c r="D666">
        <f>Siam_Chart[[#This Row],[Last]]</f>
        <v>0.4</v>
      </c>
      <c r="E666">
        <f>Siam_Chart[[#This Row],[Chg%]]</f>
        <v>-2.44</v>
      </c>
      <c r="F666">
        <f>Siam_Chart[[#This Row],[Volume]]</f>
        <v>40403</v>
      </c>
      <c r="G666">
        <f>Siam_Chart[[#This Row],[Value (k)]]</f>
        <v>16550.2</v>
      </c>
      <c r="H666" cm="1">
        <f t="array" ref="H666:W666">Siam_Chart[[#This Row],[MCap (M)]:[CG]]</f>
        <v>270680000</v>
      </c>
      <c r="I666">
        <v>263913000</v>
      </c>
      <c r="J666">
        <v>0.44</v>
      </c>
      <c r="K666">
        <v>2.125515</v>
      </c>
      <c r="L666">
        <v>0.03</v>
      </c>
      <c r="M666">
        <v>0.03</v>
      </c>
      <c r="N666">
        <v>3.0675919999999999</v>
      </c>
      <c r="O666">
        <v>-0.35955300000000001</v>
      </c>
      <c r="P666">
        <v>3.4445899999999998</v>
      </c>
      <c r="Q666">
        <v>0.43</v>
      </c>
      <c r="R666" t="str">
        <v/>
      </c>
      <c r="S666" t="str">
        <v/>
      </c>
      <c r="T666">
        <v>0</v>
      </c>
      <c r="U666">
        <v>0</v>
      </c>
      <c r="V666">
        <v>0</v>
      </c>
      <c r="W666">
        <v>5</v>
      </c>
      <c r="X666" s="5">
        <f t="shared" si="23"/>
        <v>0.90909090909090917</v>
      </c>
      <c r="Y666" s="6">
        <f t="shared" si="24"/>
        <v>676700000</v>
      </c>
    </row>
    <row r="667" spans="2:25" x14ac:dyDescent="0.25">
      <c r="B667" t="str">
        <f>Siam_Chart[[#This Row],[Name]]</f>
        <v>SRICHA</v>
      </c>
      <c r="C667">
        <f>Siam_Chart[[#This Row],[No.]]</f>
        <v>666</v>
      </c>
      <c r="D667">
        <f>Siam_Chart[[#This Row],[Last]]</f>
        <v>18.2</v>
      </c>
      <c r="E667">
        <f>Siam_Chart[[#This Row],[Chg%]]</f>
        <v>-5.21</v>
      </c>
      <c r="F667">
        <f>Siam_Chart[[#This Row],[Volume]]</f>
        <v>578738</v>
      </c>
      <c r="G667">
        <f>Siam_Chart[[#This Row],[Value (k)]]</f>
        <v>10546713.199999999</v>
      </c>
      <c r="H667" cm="1">
        <f t="array" ref="H667:W667">Siam_Chart[[#This Row],[MCap (M)]:[CG]]</f>
        <v>5639797800</v>
      </c>
      <c r="I667">
        <v>3.27</v>
      </c>
      <c r="J667">
        <v>2.7</v>
      </c>
      <c r="K667">
        <v>0.53501600000000005</v>
      </c>
      <c r="L667">
        <v>1</v>
      </c>
      <c r="M667">
        <v>2.2000000000000002</v>
      </c>
      <c r="N667">
        <v>78.368893</v>
      </c>
      <c r="O667">
        <v>112.529228</v>
      </c>
      <c r="P667">
        <v>25.458786</v>
      </c>
      <c r="Q667">
        <v>5.49</v>
      </c>
      <c r="R667" t="str">
        <v/>
      </c>
      <c r="S667" t="str">
        <v/>
      </c>
      <c r="T667">
        <v>37</v>
      </c>
      <c r="U667">
        <v>30</v>
      </c>
      <c r="V667">
        <v>-0.02</v>
      </c>
      <c r="W667">
        <v>0</v>
      </c>
      <c r="X667" s="5">
        <f t="shared" si="23"/>
        <v>6.7407407407407405</v>
      </c>
      <c r="Y667" s="6">
        <f t="shared" si="24"/>
        <v>309879000</v>
      </c>
    </row>
    <row r="668" spans="2:25" x14ac:dyDescent="0.25">
      <c r="B668" t="str">
        <f>Siam_Chart[[#This Row],[Name]]</f>
        <v>SRS</v>
      </c>
      <c r="C668">
        <f>Siam_Chart[[#This Row],[No.]]</f>
        <v>667</v>
      </c>
      <c r="D668">
        <f>Siam_Chart[[#This Row],[Last]]</f>
        <v>2.52</v>
      </c>
      <c r="E668">
        <f>Siam_Chart[[#This Row],[Chg%]]</f>
        <v>-1.56</v>
      </c>
      <c r="F668">
        <f>Siam_Chart[[#This Row],[Volume]]</f>
        <v>68310</v>
      </c>
      <c r="G668">
        <f>Siam_Chart[[#This Row],[Value (k)]]</f>
        <v>174237</v>
      </c>
      <c r="H668" cm="1">
        <f t="array" ref="H668:W668">Siam_Chart[[#This Row],[MCap (M)]:[CG]]</f>
        <v>403200000</v>
      </c>
      <c r="I668">
        <v>31.42</v>
      </c>
      <c r="J668">
        <v>0.59</v>
      </c>
      <c r="K668">
        <v>0.86311400000000005</v>
      </c>
      <c r="L668">
        <v>0.05</v>
      </c>
      <c r="M668">
        <v>0.17</v>
      </c>
      <c r="N668">
        <v>1.848274</v>
      </c>
      <c r="O668">
        <v>1.8803380000000001</v>
      </c>
      <c r="P668">
        <v>4.930987</v>
      </c>
      <c r="Q668">
        <v>0.55000000000000004</v>
      </c>
      <c r="R668" t="str">
        <v/>
      </c>
      <c r="S668" t="str">
        <v/>
      </c>
      <c r="T668">
        <v>0</v>
      </c>
      <c r="U668">
        <v>0</v>
      </c>
      <c r="V668">
        <v>0</v>
      </c>
      <c r="W668">
        <v>4</v>
      </c>
      <c r="X668" s="5">
        <f t="shared" si="23"/>
        <v>4.2711864406779663</v>
      </c>
      <c r="Y668" s="6">
        <f t="shared" si="24"/>
        <v>160000000</v>
      </c>
    </row>
    <row r="669" spans="2:25" x14ac:dyDescent="0.25">
      <c r="B669" t="str">
        <f>Siam_Chart[[#This Row],[Name]]</f>
        <v>SSF</v>
      </c>
      <c r="C669">
        <f>Siam_Chart[[#This Row],[No.]]</f>
        <v>668</v>
      </c>
      <c r="D669">
        <f>Siam_Chart[[#This Row],[Last]]</f>
        <v>5.0999999999999996</v>
      </c>
      <c r="E669">
        <f>Siam_Chart[[#This Row],[Chg%]]</f>
        <v>0.99</v>
      </c>
      <c r="F669">
        <f>Siam_Chart[[#This Row],[Volume]]</f>
        <v>5200</v>
      </c>
      <c r="G669">
        <f>Siam_Chart[[#This Row],[Value (k)]]</f>
        <v>26520</v>
      </c>
      <c r="H669" cm="1">
        <f t="array" ref="H669:W669">Siam_Chart[[#This Row],[MCap (M)]:[CG]]</f>
        <v>1376994900</v>
      </c>
      <c r="I669">
        <v>16.190000000000001</v>
      </c>
      <c r="J669">
        <v>0.74</v>
      </c>
      <c r="K669">
        <v>0.58321800000000001</v>
      </c>
      <c r="L669">
        <v>0.37040000000000001</v>
      </c>
      <c r="M669">
        <v>0.14000000000000001</v>
      </c>
      <c r="N669">
        <v>5.2825100000000003</v>
      </c>
      <c r="O669">
        <v>4.4776959999999999</v>
      </c>
      <c r="P669">
        <v>2.8534510000000002</v>
      </c>
      <c r="Q669">
        <v>7.26</v>
      </c>
      <c r="R669" t="str">
        <v/>
      </c>
      <c r="S669" t="str">
        <v/>
      </c>
      <c r="T669">
        <v>749</v>
      </c>
      <c r="U669">
        <v>589</v>
      </c>
      <c r="V669">
        <v>13.18</v>
      </c>
      <c r="W669">
        <v>5</v>
      </c>
      <c r="X669" s="5">
        <f t="shared" si="23"/>
        <v>6.8918918918918912</v>
      </c>
      <c r="Y669" s="6">
        <f t="shared" si="24"/>
        <v>269999000</v>
      </c>
    </row>
    <row r="670" spans="2:25" x14ac:dyDescent="0.25">
      <c r="B670" t="str">
        <f>Siam_Chart[[#This Row],[Name]]</f>
        <v>SSP</v>
      </c>
      <c r="C670">
        <f>Siam_Chart[[#This Row],[No.]]</f>
        <v>669</v>
      </c>
      <c r="D670">
        <f>Siam_Chart[[#This Row],[Last]]</f>
        <v>5.15</v>
      </c>
      <c r="E670">
        <f>Siam_Chart[[#This Row],[Chg%]]</f>
        <v>1.98</v>
      </c>
      <c r="F670">
        <f>Siam_Chart[[#This Row],[Volume]]</f>
        <v>332442</v>
      </c>
      <c r="G670">
        <f>Siam_Chart[[#This Row],[Value (k)]]</f>
        <v>1696303.05</v>
      </c>
      <c r="H670" cm="1">
        <f t="array" ref="H670:W670">Siam_Chart[[#This Row],[MCap (M)]:[CG]]</f>
        <v>6431452035.6999998</v>
      </c>
      <c r="I670">
        <v>9.6999999999999993</v>
      </c>
      <c r="J670">
        <v>0.83</v>
      </c>
      <c r="K670">
        <v>2.4655909999999999</v>
      </c>
      <c r="L670">
        <v>0.20499999999999999</v>
      </c>
      <c r="M670">
        <v>0.26</v>
      </c>
      <c r="N670">
        <v>4.9710179999999999</v>
      </c>
      <c r="O670">
        <v>8.763382</v>
      </c>
      <c r="P670">
        <v>19.709987999999999</v>
      </c>
      <c r="Q670">
        <v>3.98</v>
      </c>
      <c r="R670" t="str">
        <v/>
      </c>
      <c r="S670" t="str">
        <v/>
      </c>
      <c r="T670">
        <v>648</v>
      </c>
      <c r="U670">
        <v>704</v>
      </c>
      <c r="V670">
        <v>-2.1800000000000002</v>
      </c>
      <c r="W670">
        <v>5</v>
      </c>
      <c r="X670" s="5">
        <f t="shared" si="23"/>
        <v>6.2048192771084345</v>
      </c>
      <c r="Y670" s="6">
        <f t="shared" si="24"/>
        <v>1248825637.9999998</v>
      </c>
    </row>
    <row r="671" spans="2:25" x14ac:dyDescent="0.25">
      <c r="B671" t="str">
        <f>Siam_Chart[[#This Row],[Name]]</f>
        <v>SSSC</v>
      </c>
      <c r="C671">
        <f>Siam_Chart[[#This Row],[No.]]</f>
        <v>670</v>
      </c>
      <c r="D671">
        <f>Siam_Chart[[#This Row],[Last]]</f>
        <v>2.34</v>
      </c>
      <c r="E671">
        <f>Siam_Chart[[#This Row],[Chg%]]</f>
        <v>-0.85</v>
      </c>
      <c r="F671">
        <f>Siam_Chart[[#This Row],[Volume]]</f>
        <v>203051</v>
      </c>
      <c r="G671">
        <f>Siam_Chart[[#This Row],[Value (k)]]</f>
        <v>472214.14</v>
      </c>
      <c r="H671" cm="1">
        <f t="array" ref="H671:W671">Siam_Chart[[#This Row],[MCap (M)]:[CG]]</f>
        <v>1497595039.2</v>
      </c>
      <c r="I671">
        <v>7.12</v>
      </c>
      <c r="J671">
        <v>0.44</v>
      </c>
      <c r="K671">
        <v>0.13248099999999999</v>
      </c>
      <c r="L671">
        <v>0.16500000000000001</v>
      </c>
      <c r="M671">
        <v>0.2</v>
      </c>
      <c r="N671">
        <v>7.0704399999999996</v>
      </c>
      <c r="O671">
        <v>6.3120620000000001</v>
      </c>
      <c r="P671">
        <v>5.8727499999999999</v>
      </c>
      <c r="Q671">
        <v>7.05</v>
      </c>
      <c r="R671" t="str">
        <v/>
      </c>
      <c r="S671" t="str">
        <v/>
      </c>
      <c r="T671">
        <v>655</v>
      </c>
      <c r="U671">
        <v>527</v>
      </c>
      <c r="V671">
        <v>-1.47</v>
      </c>
      <c r="W671">
        <v>5</v>
      </c>
      <c r="X671" s="5">
        <f t="shared" si="23"/>
        <v>5.3181818181818175</v>
      </c>
      <c r="Y671" s="6">
        <f t="shared" si="24"/>
        <v>639997880</v>
      </c>
    </row>
    <row r="672" spans="2:25" x14ac:dyDescent="0.25">
      <c r="B672" t="str">
        <f>Siam_Chart[[#This Row],[Name]]</f>
        <v>SST</v>
      </c>
      <c r="C672">
        <f>Siam_Chart[[#This Row],[No.]]</f>
        <v>671</v>
      </c>
      <c r="D672">
        <f>Siam_Chart[[#This Row],[Last]]</f>
        <v>0.99</v>
      </c>
      <c r="E672">
        <f>Siam_Chart[[#This Row],[Chg%]]</f>
        <v>-1.98</v>
      </c>
      <c r="F672">
        <f>Siam_Chart[[#This Row],[Volume]]</f>
        <v>25832</v>
      </c>
      <c r="G672">
        <f>Siam_Chart[[#This Row],[Value (k)]]</f>
        <v>24993.8</v>
      </c>
      <c r="H672" cm="1">
        <f t="array" ref="H672:W672">Siam_Chart[[#This Row],[MCap (M)]:[CG]]</f>
        <v>521191984.5</v>
      </c>
      <c r="I672">
        <v>536985681</v>
      </c>
      <c r="J672">
        <v>0.48</v>
      </c>
      <c r="K672">
        <v>3.1034549999999999</v>
      </c>
      <c r="L672">
        <v>0.01</v>
      </c>
      <c r="M672">
        <v>-0.31</v>
      </c>
      <c r="N672">
        <v>-10.226171000000001</v>
      </c>
      <c r="O672">
        <v>-40.502572999999998</v>
      </c>
      <c r="P672">
        <v>-21.527166999999999</v>
      </c>
      <c r="Q672">
        <v>0.5</v>
      </c>
      <c r="R672" t="str">
        <v/>
      </c>
      <c r="S672" t="str">
        <v/>
      </c>
      <c r="T672">
        <v>0</v>
      </c>
      <c r="U672">
        <v>0</v>
      </c>
      <c r="V672">
        <v>0</v>
      </c>
      <c r="W672">
        <v>3</v>
      </c>
      <c r="X672" s="5">
        <f t="shared" si="23"/>
        <v>2.0625</v>
      </c>
      <c r="Y672" s="6">
        <f t="shared" si="24"/>
        <v>526456550</v>
      </c>
    </row>
    <row r="673" spans="2:25" x14ac:dyDescent="0.25">
      <c r="B673" t="str">
        <f>Siam_Chart[[#This Row],[Name]]</f>
        <v>STA</v>
      </c>
      <c r="C673">
        <f>Siam_Chart[[#This Row],[No.]]</f>
        <v>672</v>
      </c>
      <c r="D673">
        <f>Siam_Chart[[#This Row],[Last]]</f>
        <v>21.3</v>
      </c>
      <c r="E673">
        <f>Siam_Chart[[#This Row],[Chg%]]</f>
        <v>5.97</v>
      </c>
      <c r="F673">
        <f>Siam_Chart[[#This Row],[Volume]]</f>
        <v>39780170</v>
      </c>
      <c r="G673">
        <f>Siam_Chart[[#This Row],[Value (k)]]</f>
        <v>827974041.10000002</v>
      </c>
      <c r="H673" cm="1">
        <f t="array" ref="H673:W673">Siam_Chart[[#This Row],[MCap (M)]:[CG]]</f>
        <v>32716799957.400002</v>
      </c>
      <c r="I673">
        <v>87.75</v>
      </c>
      <c r="J673">
        <v>0.66</v>
      </c>
      <c r="K673">
        <v>0.58933599999999997</v>
      </c>
      <c r="L673">
        <v>0.5</v>
      </c>
      <c r="M673">
        <v>1</v>
      </c>
      <c r="N673">
        <v>1.509296</v>
      </c>
      <c r="O673">
        <v>0.75015799999999999</v>
      </c>
      <c r="P673">
        <v>3.4832589999999999</v>
      </c>
      <c r="Q673">
        <v>2.35</v>
      </c>
      <c r="R673" t="str">
        <v/>
      </c>
      <c r="S673" t="str">
        <v/>
      </c>
      <c r="T673">
        <v>0</v>
      </c>
      <c r="U673">
        <v>0</v>
      </c>
      <c r="V673">
        <v>0</v>
      </c>
      <c r="W673">
        <v>5</v>
      </c>
      <c r="X673" s="5">
        <f t="shared" si="23"/>
        <v>32.272727272727273</v>
      </c>
      <c r="Y673" s="6">
        <f t="shared" si="24"/>
        <v>1535999998</v>
      </c>
    </row>
    <row r="674" spans="2:25" x14ac:dyDescent="0.25">
      <c r="B674" t="str">
        <f>Siam_Chart[[#This Row],[Name]]</f>
        <v>STANLY</v>
      </c>
      <c r="C674">
        <f>Siam_Chart[[#This Row],[No.]]</f>
        <v>673</v>
      </c>
      <c r="D674">
        <f>Siam_Chart[[#This Row],[Last]]</f>
        <v>230</v>
      </c>
      <c r="E674">
        <f>Siam_Chart[[#This Row],[Chg%]]</f>
        <v>-0.43</v>
      </c>
      <c r="F674">
        <f>Siam_Chart[[#This Row],[Volume]]</f>
        <v>31298</v>
      </c>
      <c r="G674">
        <f>Siam_Chart[[#This Row],[Value (k)]]</f>
        <v>7212927</v>
      </c>
      <c r="H674" cm="1">
        <f t="array" ref="H674:W674">Siam_Chart[[#This Row],[MCap (M)]:[CG]]</f>
        <v>17623750000</v>
      </c>
      <c r="I674">
        <v>9.19</v>
      </c>
      <c r="J674">
        <v>0.85</v>
      </c>
      <c r="K674">
        <v>0.19393199999999999</v>
      </c>
      <c r="L674">
        <v>17</v>
      </c>
      <c r="M674">
        <v>4.72</v>
      </c>
      <c r="N674">
        <v>9.4558549999999997</v>
      </c>
      <c r="O674">
        <v>9.2087509999999995</v>
      </c>
      <c r="P674">
        <v>13.555234</v>
      </c>
      <c r="Q674">
        <v>10.87</v>
      </c>
      <c r="R674" t="str">
        <v/>
      </c>
      <c r="S674" t="str">
        <v/>
      </c>
      <c r="T674">
        <v>513</v>
      </c>
      <c r="U674">
        <v>393</v>
      </c>
      <c r="V674">
        <v>0.99</v>
      </c>
      <c r="W674">
        <v>3</v>
      </c>
      <c r="X674" s="5">
        <f t="shared" si="23"/>
        <v>270.58823529411768</v>
      </c>
      <c r="Y674" s="6">
        <f t="shared" si="24"/>
        <v>76625000</v>
      </c>
    </row>
    <row r="675" spans="2:25" x14ac:dyDescent="0.25">
      <c r="B675" t="str">
        <f>Siam_Chart[[#This Row],[Name]]</f>
        <v>STARM</v>
      </c>
      <c r="C675">
        <f>Siam_Chart[[#This Row],[No.]]</f>
        <v>674</v>
      </c>
      <c r="D675">
        <f>Siam_Chart[[#This Row],[Last]]</f>
        <v>0.98</v>
      </c>
      <c r="E675">
        <f>Siam_Chart[[#This Row],[Chg%]]</f>
        <v>-1.01</v>
      </c>
      <c r="F675">
        <f>Siam_Chart[[#This Row],[Volume]]</f>
        <v>67700</v>
      </c>
      <c r="G675">
        <f>Siam_Chart[[#This Row],[Value (k)]]</f>
        <v>66036</v>
      </c>
      <c r="H675" cm="1">
        <f t="array" ref="H675:W675">Siam_Chart[[#This Row],[MCap (M)]:[CG]]</f>
        <v>1078000000</v>
      </c>
      <c r="I675">
        <v>11.86</v>
      </c>
      <c r="J675">
        <v>0.9</v>
      </c>
      <c r="K675">
        <v>1.270159</v>
      </c>
      <c r="L675">
        <v>5.8000000000000003E-2</v>
      </c>
      <c r="M675">
        <v>0.05</v>
      </c>
      <c r="N675">
        <v>6.8382420000000002</v>
      </c>
      <c r="O675">
        <v>7.7083779999999997</v>
      </c>
      <c r="P675">
        <v>7.6829619999999998</v>
      </c>
      <c r="Q675">
        <v>5.92</v>
      </c>
      <c r="R675" t="str">
        <v/>
      </c>
      <c r="S675" t="str">
        <v/>
      </c>
      <c r="T675">
        <v>710</v>
      </c>
      <c r="U675">
        <v>882</v>
      </c>
      <c r="V675">
        <v>1.36</v>
      </c>
      <c r="W675">
        <v>5</v>
      </c>
      <c r="X675" s="5">
        <f t="shared" si="23"/>
        <v>1.0888888888888888</v>
      </c>
      <c r="Y675" s="6">
        <f t="shared" si="24"/>
        <v>1100000000</v>
      </c>
    </row>
    <row r="676" spans="2:25" x14ac:dyDescent="0.25">
      <c r="B676" t="str">
        <f>Siam_Chart[[#This Row],[Name]]</f>
        <v>STC</v>
      </c>
      <c r="C676">
        <f>Siam_Chart[[#This Row],[No.]]</f>
        <v>675</v>
      </c>
      <c r="D676">
        <f>Siam_Chart[[#This Row],[Last]]</f>
        <v>0.59</v>
      </c>
      <c r="E676">
        <f>Siam_Chart[[#This Row],[Chg%]]</f>
        <v>-4.84</v>
      </c>
      <c r="F676">
        <f>Siam_Chart[[#This Row],[Volume]]</f>
        <v>67810</v>
      </c>
      <c r="G676">
        <f>Siam_Chart[[#This Row],[Value (k)]]</f>
        <v>40705.9</v>
      </c>
      <c r="H676" cm="1">
        <f t="array" ref="H676:W676">Siam_Chart[[#This Row],[MCap (M)]:[CG]]</f>
        <v>335120000</v>
      </c>
      <c r="I676">
        <v>19.2</v>
      </c>
      <c r="J676">
        <v>0.88</v>
      </c>
      <c r="K676">
        <v>1.109111</v>
      </c>
      <c r="L676">
        <v>0.01</v>
      </c>
      <c r="M676">
        <v>0.01</v>
      </c>
      <c r="N676">
        <v>3.549499</v>
      </c>
      <c r="O676">
        <v>4.6680479999999998</v>
      </c>
      <c r="P676">
        <v>2.965992</v>
      </c>
      <c r="Q676">
        <v>1.69</v>
      </c>
      <c r="R676" t="str">
        <v/>
      </c>
      <c r="S676" t="str">
        <v/>
      </c>
      <c r="T676">
        <v>1070</v>
      </c>
      <c r="U676">
        <v>1079</v>
      </c>
      <c r="V676">
        <v>0.15</v>
      </c>
      <c r="W676">
        <v>3</v>
      </c>
      <c r="X676" s="5">
        <f t="shared" si="23"/>
        <v>0.67045454545454541</v>
      </c>
      <c r="Y676" s="6">
        <f t="shared" si="24"/>
        <v>568000000</v>
      </c>
    </row>
    <row r="677" spans="2:25" x14ac:dyDescent="0.25">
      <c r="B677" t="str">
        <f>Siam_Chart[[#This Row],[Name]]</f>
        <v>STECH</v>
      </c>
      <c r="C677">
        <f>Siam_Chart[[#This Row],[No.]]</f>
        <v>676</v>
      </c>
      <c r="D677">
        <f>Siam_Chart[[#This Row],[Last]]</f>
        <v>1.62</v>
      </c>
      <c r="E677">
        <f>Siam_Chart[[#This Row],[Chg%]]</f>
        <v>0</v>
      </c>
      <c r="F677">
        <f>Siam_Chart[[#This Row],[Volume]]</f>
        <v>232210</v>
      </c>
      <c r="G677">
        <f>Siam_Chart[[#This Row],[Value (k)]]</f>
        <v>374362.1</v>
      </c>
      <c r="H677" cm="1">
        <f t="array" ref="H677:W677">Siam_Chart[[#This Row],[MCap (M)]:[CG]]</f>
        <v>1174500000</v>
      </c>
      <c r="I677">
        <v>5.89</v>
      </c>
      <c r="J677">
        <v>0.67</v>
      </c>
      <c r="K677">
        <v>0.92998800000000004</v>
      </c>
      <c r="L677">
        <v>0.04</v>
      </c>
      <c r="M677">
        <v>0.22</v>
      </c>
      <c r="N677">
        <v>8.2983879999999992</v>
      </c>
      <c r="O677">
        <v>11.951601999999999</v>
      </c>
      <c r="P677">
        <v>11.565083</v>
      </c>
      <c r="Q677">
        <v>2.4700000000000002</v>
      </c>
      <c r="R677" t="str">
        <v/>
      </c>
      <c r="S677" t="str">
        <v/>
      </c>
      <c r="T677">
        <v>359</v>
      </c>
      <c r="U677">
        <v>336</v>
      </c>
      <c r="V677">
        <v>0.48</v>
      </c>
      <c r="W677">
        <v>0</v>
      </c>
      <c r="X677" s="5">
        <f t="shared" si="23"/>
        <v>2.4179104477611939</v>
      </c>
      <c r="Y677" s="6">
        <f t="shared" si="24"/>
        <v>725000000</v>
      </c>
    </row>
    <row r="678" spans="2:25" x14ac:dyDescent="0.25">
      <c r="B678" t="str">
        <f>Siam_Chart[[#This Row],[Name]]</f>
        <v>STECON</v>
      </c>
      <c r="C678">
        <f>Siam_Chart[[#This Row],[No.]]</f>
        <v>677</v>
      </c>
      <c r="D678">
        <f>Siam_Chart[[#This Row],[Last]]</f>
        <v>19</v>
      </c>
      <c r="E678">
        <f>Siam_Chart[[#This Row],[Chg%]]</f>
        <v>0.53</v>
      </c>
      <c r="F678">
        <f>Siam_Chart[[#This Row],[Volume]]</f>
        <v>27247380</v>
      </c>
      <c r="G678">
        <f>Siam_Chart[[#This Row],[Value (k)]]</f>
        <v>522343720.10000002</v>
      </c>
      <c r="H678" cm="1">
        <f t="array" ref="H678:W678">Siam_Chart[[#This Row],[MCap (M)]:[CG]]</f>
        <v>28862523667</v>
      </c>
      <c r="I678">
        <v>12.25</v>
      </c>
      <c r="J678">
        <v>1.38</v>
      </c>
      <c r="K678">
        <v>1.965522</v>
      </c>
      <c r="L678">
        <v>0.55000000000000004</v>
      </c>
      <c r="M678">
        <v>0.84</v>
      </c>
      <c r="N678">
        <v>5.2681930000000001</v>
      </c>
      <c r="O678">
        <v>13.109163000000001</v>
      </c>
      <c r="P678">
        <v>7.152183</v>
      </c>
      <c r="Q678">
        <v>2.86</v>
      </c>
      <c r="R678" t="str">
        <v/>
      </c>
      <c r="S678" t="str">
        <v/>
      </c>
      <c r="T678">
        <v>620</v>
      </c>
      <c r="U678">
        <v>840</v>
      </c>
      <c r="V678">
        <v>-7.0000000000000007E-2</v>
      </c>
      <c r="W678">
        <v>5</v>
      </c>
      <c r="X678" s="5">
        <f t="shared" si="23"/>
        <v>13.768115942028986</v>
      </c>
      <c r="Y678" s="6">
        <f t="shared" si="24"/>
        <v>1519080193</v>
      </c>
    </row>
    <row r="679" spans="2:25" x14ac:dyDescent="0.25">
      <c r="B679" t="str">
        <f>Siam_Chart[[#This Row],[Name]]</f>
        <v>STELLA</v>
      </c>
      <c r="C679">
        <f>Siam_Chart[[#This Row],[No.]]</f>
        <v>678</v>
      </c>
      <c r="D679">
        <f>Siam_Chart[[#This Row],[Last]]</f>
        <v>0.22</v>
      </c>
      <c r="E679">
        <f>Siam_Chart[[#This Row],[Chg%]]</f>
        <v>-8.33</v>
      </c>
      <c r="F679">
        <f>Siam_Chart[[#This Row],[Volume]]</f>
        <v>1241100</v>
      </c>
      <c r="G679">
        <f>Siam_Chart[[#This Row],[Value (k)]]</f>
        <v>285824</v>
      </c>
      <c r="H679" cm="1">
        <f t="array" ref="H679:W679">Siam_Chart[[#This Row],[MCap (M)]:[CG]]</f>
        <v>4792312528.7399998</v>
      </c>
      <c r="I679">
        <v>5227977304.0799999</v>
      </c>
      <c r="J679">
        <v>0.84</v>
      </c>
      <c r="K679">
        <v>1.2326189999999999</v>
      </c>
      <c r="L679">
        <v>0</v>
      </c>
      <c r="M679">
        <v>-20.44395239515103</v>
      </c>
      <c r="N679">
        <v>-20.443951999999999</v>
      </c>
      <c r="O679">
        <v>-42.471426000000001</v>
      </c>
      <c r="P679">
        <v>-28.069631999999999</v>
      </c>
      <c r="Q679">
        <v>0.92</v>
      </c>
      <c r="R679" t="str">
        <v/>
      </c>
      <c r="S679" t="str">
        <v/>
      </c>
      <c r="T679">
        <v>0</v>
      </c>
      <c r="U679">
        <v>0</v>
      </c>
      <c r="V679">
        <v>0</v>
      </c>
      <c r="W679">
        <v>0</v>
      </c>
      <c r="X679" s="5">
        <f t="shared" si="23"/>
        <v>0.26190476190476192</v>
      </c>
      <c r="Y679" s="6">
        <f t="shared" si="24"/>
        <v>21783238767</v>
      </c>
    </row>
    <row r="680" spans="2:25" x14ac:dyDescent="0.25">
      <c r="B680" t="str">
        <f>Siam_Chart[[#This Row],[Name]]</f>
        <v>STGT</v>
      </c>
      <c r="C680">
        <f>Siam_Chart[[#This Row],[No.]]</f>
        <v>679</v>
      </c>
      <c r="D680">
        <f>Siam_Chart[[#This Row],[Last]]</f>
        <v>10.7</v>
      </c>
      <c r="E680">
        <f>Siam_Chart[[#This Row],[Chg%]]</f>
        <v>-0.93</v>
      </c>
      <c r="F680">
        <f>Siam_Chart[[#This Row],[Volume]]</f>
        <v>3694854</v>
      </c>
      <c r="G680">
        <f>Siam_Chart[[#This Row],[Value (k)]]</f>
        <v>39642116.399999999</v>
      </c>
      <c r="H680" cm="1">
        <f t="array" ref="H680:W680">Siam_Chart[[#This Row],[MCap (M)]:[CG]]</f>
        <v>30657425037</v>
      </c>
      <c r="I680">
        <v>86.62</v>
      </c>
      <c r="J680">
        <v>0.77</v>
      </c>
      <c r="K680">
        <v>0.22267400000000001</v>
      </c>
      <c r="L680">
        <v>0.25</v>
      </c>
      <c r="M680">
        <v>0.34</v>
      </c>
      <c r="N680">
        <v>0.99490199999999995</v>
      </c>
      <c r="O680">
        <v>0.89713100000000001</v>
      </c>
      <c r="P680">
        <v>7.9125059999999996</v>
      </c>
      <c r="Q680">
        <v>4.7</v>
      </c>
      <c r="R680" t="str">
        <v/>
      </c>
      <c r="S680" t="str">
        <v/>
      </c>
      <c r="T680">
        <v>0</v>
      </c>
      <c r="U680">
        <v>0</v>
      </c>
      <c r="V680">
        <v>0</v>
      </c>
      <c r="W680">
        <v>5</v>
      </c>
      <c r="X680" s="5">
        <f t="shared" si="23"/>
        <v>13.896103896103895</v>
      </c>
      <c r="Y680" s="6">
        <f t="shared" si="24"/>
        <v>2865179910</v>
      </c>
    </row>
    <row r="681" spans="2:25" x14ac:dyDescent="0.25">
      <c r="B681" t="str">
        <f>Siam_Chart[[#This Row],[Name]]</f>
        <v>STI</v>
      </c>
      <c r="C681">
        <f>Siam_Chart[[#This Row],[No.]]</f>
        <v>680</v>
      </c>
      <c r="D681">
        <f>Siam_Chart[[#This Row],[Last]]</f>
        <v>1.75</v>
      </c>
      <c r="E681">
        <f>Siam_Chart[[#This Row],[Chg%]]</f>
        <v>0.56999999999999995</v>
      </c>
      <c r="F681">
        <f>Siam_Chart[[#This Row],[Volume]]</f>
        <v>4900</v>
      </c>
      <c r="G681">
        <f>Siam_Chart[[#This Row],[Value (k)]]</f>
        <v>8533</v>
      </c>
      <c r="H681" cm="1">
        <f t="array" ref="H681:W681">Siam_Chart[[#This Row],[MCap (M)]:[CG]]</f>
        <v>1055244888.25</v>
      </c>
      <c r="I681">
        <v>18.28</v>
      </c>
      <c r="J681">
        <v>1.2</v>
      </c>
      <c r="K681">
        <v>0.97238000000000002</v>
      </c>
      <c r="L681">
        <v>2.5999999999999999E-2</v>
      </c>
      <c r="M681">
        <v>0.06</v>
      </c>
      <c r="N681">
        <v>4.5557530000000002</v>
      </c>
      <c r="O681">
        <v>6.7128329999999998</v>
      </c>
      <c r="P681">
        <v>3.6684679999999998</v>
      </c>
      <c r="Q681">
        <v>1.49</v>
      </c>
      <c r="R681" t="str">
        <v/>
      </c>
      <c r="S681" t="str">
        <v/>
      </c>
      <c r="T681">
        <v>939</v>
      </c>
      <c r="U681">
        <v>983</v>
      </c>
      <c r="V681">
        <v>-0.7</v>
      </c>
      <c r="W681">
        <v>5</v>
      </c>
      <c r="X681" s="5">
        <f t="shared" si="23"/>
        <v>1.4583333333333335</v>
      </c>
      <c r="Y681" s="6">
        <f t="shared" si="24"/>
        <v>602997079</v>
      </c>
    </row>
    <row r="682" spans="2:25" x14ac:dyDescent="0.25">
      <c r="B682" t="str">
        <f>Siam_Chart[[#This Row],[Name]]</f>
        <v>STOWER</v>
      </c>
      <c r="C682">
        <f>Siam_Chart[[#This Row],[No.]]</f>
        <v>681</v>
      </c>
      <c r="D682">
        <f>Siam_Chart[[#This Row],[Last]]</f>
        <v>0.03</v>
      </c>
      <c r="E682">
        <f>Siam_Chart[[#This Row],[Chg%]]</f>
        <v>-25</v>
      </c>
      <c r="F682">
        <f>Siam_Chart[[#This Row],[Volume]]</f>
        <v>192920</v>
      </c>
      <c r="G682">
        <f>Siam_Chart[[#This Row],[Value (k)]]</f>
        <v>5916.6</v>
      </c>
      <c r="H682" cm="1">
        <f t="array" ref="H682:W682">Siam_Chart[[#This Row],[MCap (M)]:[CG]]</f>
        <v>121871259.75</v>
      </c>
      <c r="I682">
        <v>162495013</v>
      </c>
      <c r="J682">
        <v>0.18</v>
      </c>
      <c r="K682">
        <v>0.23972399999999999</v>
      </c>
      <c r="L682">
        <v>-0.01</v>
      </c>
      <c r="M682">
        <v>-0.01</v>
      </c>
      <c r="N682">
        <v>-8.7016650000000002</v>
      </c>
      <c r="O682">
        <v>-12.70303</v>
      </c>
      <c r="P682">
        <v>-25.434808</v>
      </c>
      <c r="Q682">
        <v>0.24</v>
      </c>
      <c r="R682" t="str">
        <v/>
      </c>
      <c r="S682" t="str">
        <v/>
      </c>
      <c r="T682">
        <v>0</v>
      </c>
      <c r="U682">
        <v>0</v>
      </c>
      <c r="V682">
        <v>0</v>
      </c>
      <c r="W682">
        <v>0</v>
      </c>
      <c r="X682" s="5">
        <f t="shared" si="23"/>
        <v>0.16666666666666666</v>
      </c>
      <c r="Y682" s="6">
        <f t="shared" si="24"/>
        <v>4062375325</v>
      </c>
    </row>
    <row r="683" spans="2:25" x14ac:dyDescent="0.25">
      <c r="B683" t="str">
        <f>Siam_Chart[[#This Row],[Name]]</f>
        <v>STP</v>
      </c>
      <c r="C683">
        <f>Siam_Chart[[#This Row],[No.]]</f>
        <v>682</v>
      </c>
      <c r="D683">
        <f>Siam_Chart[[#This Row],[Last]]</f>
        <v>12.2</v>
      </c>
      <c r="E683">
        <f>Siam_Chart[[#This Row],[Chg%]]</f>
        <v>0.83</v>
      </c>
      <c r="F683">
        <f>Siam_Chart[[#This Row],[Volume]]</f>
        <v>10801</v>
      </c>
      <c r="G683">
        <f>Siam_Chart[[#This Row],[Value (k)]]</f>
        <v>130472</v>
      </c>
      <c r="H683" cm="1">
        <f t="array" ref="H683:W683">Siam_Chart[[#This Row],[MCap (M)]:[CG]]</f>
        <v>1220000000</v>
      </c>
      <c r="I683">
        <v>7.13</v>
      </c>
      <c r="J683">
        <v>1.29</v>
      </c>
      <c r="K683">
        <v>0.21897</v>
      </c>
      <c r="L683">
        <v>0.3</v>
      </c>
      <c r="M683">
        <v>0.99</v>
      </c>
      <c r="N683">
        <v>18.504339000000002</v>
      </c>
      <c r="O683">
        <v>19.097065000000001</v>
      </c>
      <c r="P683">
        <v>21.776789999999998</v>
      </c>
      <c r="Q683">
        <v>5.49</v>
      </c>
      <c r="R683" t="str">
        <v/>
      </c>
      <c r="S683" t="str">
        <v/>
      </c>
      <c r="T683">
        <v>196</v>
      </c>
      <c r="U683">
        <v>130</v>
      </c>
      <c r="V683">
        <v>0.54</v>
      </c>
      <c r="W683">
        <v>0</v>
      </c>
      <c r="X683" s="5">
        <f t="shared" si="23"/>
        <v>9.4573643410852704</v>
      </c>
      <c r="Y683" s="6">
        <f t="shared" si="24"/>
        <v>100000000</v>
      </c>
    </row>
    <row r="684" spans="2:25" x14ac:dyDescent="0.25">
      <c r="B684" t="str">
        <f>Siam_Chart[[#This Row],[Name]]</f>
        <v>STPI</v>
      </c>
      <c r="C684">
        <f>Siam_Chart[[#This Row],[No.]]</f>
        <v>683</v>
      </c>
      <c r="D684">
        <f>Siam_Chart[[#This Row],[Last]]</f>
        <v>5.85</v>
      </c>
      <c r="E684">
        <f>Siam_Chart[[#This Row],[Chg%]]</f>
        <v>0.86</v>
      </c>
      <c r="F684">
        <f>Siam_Chart[[#This Row],[Volume]]</f>
        <v>7306533</v>
      </c>
      <c r="G684">
        <f>Siam_Chart[[#This Row],[Value (k)]]</f>
        <v>42825864.5</v>
      </c>
      <c r="H684" cm="1">
        <f t="array" ref="H684:W684">Siam_Chart[[#This Row],[MCap (M)]:[CG]]</f>
        <v>10601793463.950001</v>
      </c>
      <c r="I684">
        <v>10873634322</v>
      </c>
      <c r="J684">
        <v>1.2</v>
      </c>
      <c r="K684">
        <v>0.58579300000000001</v>
      </c>
      <c r="L684">
        <v>0</v>
      </c>
      <c r="M684">
        <v>2.0205001409979348</v>
      </c>
      <c r="N684">
        <v>2.0205000000000002</v>
      </c>
      <c r="O684">
        <v>-0.11874700000000001</v>
      </c>
      <c r="P684">
        <v>0.39095200000000002</v>
      </c>
      <c r="Q684">
        <v>1.23</v>
      </c>
      <c r="R684" t="str">
        <v/>
      </c>
      <c r="S684" t="str">
        <v/>
      </c>
      <c r="T684">
        <v>1335</v>
      </c>
      <c r="U684">
        <v>1268</v>
      </c>
      <c r="V684">
        <v>-1.42</v>
      </c>
      <c r="W684">
        <v>3</v>
      </c>
      <c r="X684" s="5">
        <f t="shared" si="23"/>
        <v>4.875</v>
      </c>
      <c r="Y684" s="6">
        <f t="shared" si="24"/>
        <v>1812272387.0000002</v>
      </c>
    </row>
    <row r="685" spans="2:25" x14ac:dyDescent="0.25">
      <c r="B685" t="str">
        <f>Siam_Chart[[#This Row],[Name]]</f>
        <v>STX</v>
      </c>
      <c r="C685">
        <f>Siam_Chart[[#This Row],[No.]]</f>
        <v>684</v>
      </c>
      <c r="D685">
        <f>Siam_Chart[[#This Row],[Last]]</f>
        <v>0.78</v>
      </c>
      <c r="E685">
        <f>Siam_Chart[[#This Row],[Chg%]]</f>
        <v>0</v>
      </c>
      <c r="F685">
        <f>Siam_Chart[[#This Row],[Volume]]</f>
        <v>1285208</v>
      </c>
      <c r="G685">
        <f>Siam_Chart[[#This Row],[Value (k)]]</f>
        <v>1005694.32</v>
      </c>
      <c r="H685" cm="1">
        <f t="array" ref="H685:W685">Siam_Chart[[#This Row],[MCap (M)]:[CG]]</f>
        <v>239564988</v>
      </c>
      <c r="I685">
        <v>37.450000000000003</v>
      </c>
      <c r="J685">
        <v>0.28000000000000003</v>
      </c>
      <c r="K685">
        <v>0.26323800000000003</v>
      </c>
      <c r="L685">
        <v>8.5000000000000006E-2</v>
      </c>
      <c r="M685">
        <v>1.0205008652399286</v>
      </c>
      <c r="N685">
        <v>1.0205010000000001</v>
      </c>
      <c r="O685">
        <v>0.73532200000000003</v>
      </c>
      <c r="P685">
        <v>-0.356012</v>
      </c>
      <c r="Q685">
        <v>10.9</v>
      </c>
      <c r="R685" t="str">
        <v/>
      </c>
      <c r="S685" t="str">
        <v/>
      </c>
      <c r="T685">
        <v>1250</v>
      </c>
      <c r="U685">
        <v>1270</v>
      </c>
      <c r="V685">
        <v>1.47</v>
      </c>
      <c r="W685">
        <v>3</v>
      </c>
      <c r="X685" s="5">
        <f t="shared" si="23"/>
        <v>2.7857142857142856</v>
      </c>
      <c r="Y685" s="6">
        <f t="shared" si="24"/>
        <v>307134600</v>
      </c>
    </row>
    <row r="686" spans="2:25" x14ac:dyDescent="0.25">
      <c r="B686" t="str">
        <f>Siam_Chart[[#This Row],[Name]]</f>
        <v>SUC</v>
      </c>
      <c r="C686">
        <f>Siam_Chart[[#This Row],[No.]]</f>
        <v>685</v>
      </c>
      <c r="D686">
        <f>Siam_Chart[[#This Row],[Last]]</f>
        <v>27.75</v>
      </c>
      <c r="E686">
        <f>Siam_Chart[[#This Row],[Chg%]]</f>
        <v>0</v>
      </c>
      <c r="F686">
        <f>Siam_Chart[[#This Row],[Volume]]</f>
        <v>2905</v>
      </c>
      <c r="G686">
        <f>Siam_Chart[[#This Row],[Value (k)]]</f>
        <v>80113.75</v>
      </c>
      <c r="H686" cm="1">
        <f t="array" ref="H686:W686">Siam_Chart[[#This Row],[MCap (M)]:[CG]]</f>
        <v>8325000000</v>
      </c>
      <c r="I686">
        <v>7.28</v>
      </c>
      <c r="J686">
        <v>0.33</v>
      </c>
      <c r="K686">
        <v>9.0558E-2</v>
      </c>
      <c r="L686">
        <v>1.5</v>
      </c>
      <c r="M686">
        <v>2.0099999999999998</v>
      </c>
      <c r="N686">
        <v>4.6315600000000003</v>
      </c>
      <c r="O686">
        <v>4.6466380000000003</v>
      </c>
      <c r="P686">
        <v>17.744039000000001</v>
      </c>
      <c r="Q686">
        <v>5.41</v>
      </c>
      <c r="R686" t="str">
        <v/>
      </c>
      <c r="S686" t="str">
        <v/>
      </c>
      <c r="T686">
        <v>444</v>
      </c>
      <c r="U686">
        <v>360</v>
      </c>
      <c r="V686">
        <v>0.14000000000000001</v>
      </c>
      <c r="W686">
        <v>5</v>
      </c>
      <c r="X686" s="5">
        <f t="shared" si="23"/>
        <v>84.090909090909093</v>
      </c>
      <c r="Y686" s="6">
        <f t="shared" si="24"/>
        <v>300000000</v>
      </c>
    </row>
    <row r="687" spans="2:25" x14ac:dyDescent="0.25">
      <c r="B687" t="str">
        <f>Siam_Chart[[#This Row],[Name]]</f>
        <v>SUN</v>
      </c>
      <c r="C687">
        <f>Siam_Chart[[#This Row],[No.]]</f>
        <v>686</v>
      </c>
      <c r="D687">
        <f>Siam_Chart[[#This Row],[Last]]</f>
        <v>2.2999999999999998</v>
      </c>
      <c r="E687">
        <f>Siam_Chart[[#This Row],[Chg%]]</f>
        <v>-0.86</v>
      </c>
      <c r="F687">
        <f>Siam_Chart[[#This Row],[Volume]]</f>
        <v>396736</v>
      </c>
      <c r="G687">
        <f>Siam_Chart[[#This Row],[Value (k)]]</f>
        <v>909783.52</v>
      </c>
      <c r="H687" cm="1">
        <f t="array" ref="H687:W687">Siam_Chart[[#This Row],[MCap (M)]:[CG]]</f>
        <v>1780192161.5999999</v>
      </c>
      <c r="I687">
        <v>29.29</v>
      </c>
      <c r="J687">
        <v>1.28</v>
      </c>
      <c r="K687">
        <v>0.66151899999999997</v>
      </c>
      <c r="L687">
        <v>0.05</v>
      </c>
      <c r="M687">
        <v>0.02</v>
      </c>
      <c r="N687">
        <v>3.3240560000000001</v>
      </c>
      <c r="O687">
        <v>4.2949440000000001</v>
      </c>
      <c r="P687">
        <v>0.93601900000000005</v>
      </c>
      <c r="Q687">
        <v>6.52</v>
      </c>
      <c r="R687" t="str">
        <v/>
      </c>
      <c r="S687" t="str">
        <v/>
      </c>
      <c r="T687">
        <v>1156</v>
      </c>
      <c r="U687">
        <v>1159</v>
      </c>
      <c r="V687">
        <v>1.38</v>
      </c>
      <c r="W687">
        <v>5</v>
      </c>
      <c r="X687" s="5">
        <f t="shared" si="23"/>
        <v>1.7968749999999998</v>
      </c>
      <c r="Y687" s="6">
        <f t="shared" si="24"/>
        <v>773996592</v>
      </c>
    </row>
    <row r="688" spans="2:25" x14ac:dyDescent="0.25">
      <c r="B688" t="str">
        <f>Siam_Chart[[#This Row],[Name]]</f>
        <v>SUPER</v>
      </c>
      <c r="C688">
        <f>Siam_Chart[[#This Row],[No.]]</f>
        <v>687</v>
      </c>
      <c r="D688">
        <f>Siam_Chart[[#This Row],[Last]]</f>
        <v>0.13</v>
      </c>
      <c r="E688">
        <f>Siam_Chart[[#This Row],[Chg%]]</f>
        <v>8.33</v>
      </c>
      <c r="F688">
        <f>Siam_Chart[[#This Row],[Volume]]</f>
        <v>5329730</v>
      </c>
      <c r="G688">
        <f>Siam_Chart[[#This Row],[Value (k)]]</f>
        <v>653574.13</v>
      </c>
      <c r="H688" cm="1">
        <f t="array" ref="H688:W688">Siam_Chart[[#This Row],[MCap (M)]:[CG]]</f>
        <v>3555431503.9099998</v>
      </c>
      <c r="I688">
        <v>2.4</v>
      </c>
      <c r="J688">
        <v>0.17</v>
      </c>
      <c r="K688">
        <v>1.9415560000000001</v>
      </c>
      <c r="L688">
        <v>6.0000000000000001E-3</v>
      </c>
      <c r="M688">
        <v>0.03</v>
      </c>
      <c r="N688">
        <v>7.0438229999999997</v>
      </c>
      <c r="O688">
        <v>7.4659009999999997</v>
      </c>
      <c r="P688">
        <v>21.820338</v>
      </c>
      <c r="Q688">
        <v>0.16</v>
      </c>
      <c r="R688" t="str">
        <v/>
      </c>
      <c r="S688" t="str">
        <v/>
      </c>
      <c r="T688">
        <v>681</v>
      </c>
      <c r="U688">
        <v>484</v>
      </c>
      <c r="V688">
        <v>0</v>
      </c>
      <c r="W688">
        <v>4</v>
      </c>
      <c r="X688" s="5">
        <f t="shared" si="23"/>
        <v>0.76470588235294112</v>
      </c>
      <c r="Y688" s="6">
        <f t="shared" si="24"/>
        <v>27349473106.999996</v>
      </c>
    </row>
    <row r="689" spans="2:25" x14ac:dyDescent="0.25">
      <c r="B689" t="str">
        <f>Siam_Chart[[#This Row],[Name]]</f>
        <v>SUSCO</v>
      </c>
      <c r="C689">
        <f>Siam_Chart[[#This Row],[No.]]</f>
        <v>688</v>
      </c>
      <c r="D689">
        <f>Siam_Chart[[#This Row],[Last]]</f>
        <v>2.54</v>
      </c>
      <c r="E689">
        <f>Siam_Chart[[#This Row],[Chg%]]</f>
        <v>0</v>
      </c>
      <c r="F689">
        <f>Siam_Chart[[#This Row],[Volume]]</f>
        <v>4834641</v>
      </c>
      <c r="G689">
        <f>Siam_Chart[[#This Row],[Value (k)]]</f>
        <v>12421073.52</v>
      </c>
      <c r="H689" cm="1">
        <f t="array" ref="H689:W689">Siam_Chart[[#This Row],[MCap (M)]:[CG]]</f>
        <v>2539999888.2399998</v>
      </c>
      <c r="I689">
        <v>10.54</v>
      </c>
      <c r="J689">
        <v>0.53</v>
      </c>
      <c r="K689">
        <v>1.242548</v>
      </c>
      <c r="L689">
        <v>0.03</v>
      </c>
      <c r="M689">
        <v>0.22</v>
      </c>
      <c r="N689">
        <v>4.3054899999999998</v>
      </c>
      <c r="O689">
        <v>5.1556439999999997</v>
      </c>
      <c r="P689">
        <v>1.3059769999999999</v>
      </c>
      <c r="Q689">
        <v>3.54</v>
      </c>
      <c r="R689" t="str">
        <v/>
      </c>
      <c r="S689" t="str">
        <v/>
      </c>
      <c r="T689">
        <v>1128</v>
      </c>
      <c r="U689">
        <v>1086</v>
      </c>
      <c r="V689">
        <v>0.56000000000000005</v>
      </c>
      <c r="W689">
        <v>5</v>
      </c>
      <c r="X689" s="5">
        <f t="shared" si="23"/>
        <v>4.7924528301886795</v>
      </c>
      <c r="Y689" s="6">
        <f t="shared" si="24"/>
        <v>999999955.99999988</v>
      </c>
    </row>
    <row r="690" spans="2:25" x14ac:dyDescent="0.25">
      <c r="B690" t="str">
        <f>Siam_Chart[[#This Row],[Name]]</f>
        <v>SUTHA</v>
      </c>
      <c r="C690">
        <f>Siam_Chart[[#This Row],[No.]]</f>
        <v>689</v>
      </c>
      <c r="D690">
        <f>Siam_Chart[[#This Row],[Last]]</f>
        <v>3.12</v>
      </c>
      <c r="E690">
        <f>Siam_Chart[[#This Row],[Chg%]]</f>
        <v>-3.7</v>
      </c>
      <c r="F690">
        <f>Siam_Chart[[#This Row],[Volume]]</f>
        <v>13110</v>
      </c>
      <c r="G690">
        <f>Siam_Chart[[#This Row],[Value (k)]]</f>
        <v>42352</v>
      </c>
      <c r="H690" cm="1">
        <f t="array" ref="H690:W690">Siam_Chart[[#This Row],[MCap (M)]:[CG]]</f>
        <v>1130666337.8399999</v>
      </c>
      <c r="I690">
        <v>45.44</v>
      </c>
      <c r="J690">
        <v>1.07</v>
      </c>
      <c r="K690">
        <v>1.033561</v>
      </c>
      <c r="L690">
        <v>7.0000000000000007E-2</v>
      </c>
      <c r="M690">
        <v>0.23</v>
      </c>
      <c r="N690">
        <v>3.1659890000000002</v>
      </c>
      <c r="O690">
        <v>2.3727320000000001</v>
      </c>
      <c r="P690">
        <v>11.198297999999999</v>
      </c>
      <c r="Q690">
        <v>2.2400000000000002</v>
      </c>
      <c r="R690" t="str">
        <v/>
      </c>
      <c r="S690" t="str">
        <v/>
      </c>
      <c r="T690">
        <v>0</v>
      </c>
      <c r="U690">
        <v>0</v>
      </c>
      <c r="V690">
        <v>0</v>
      </c>
      <c r="W690">
        <v>5</v>
      </c>
      <c r="X690" s="5">
        <f t="shared" si="23"/>
        <v>2.9158878504672896</v>
      </c>
      <c r="Y690" s="6">
        <f t="shared" si="24"/>
        <v>362393056.99999994</v>
      </c>
    </row>
    <row r="691" spans="2:25" x14ac:dyDescent="0.25">
      <c r="B691" t="str">
        <f>Siam_Chart[[#This Row],[Name]]</f>
        <v>SVOA</v>
      </c>
      <c r="C691">
        <f>Siam_Chart[[#This Row],[No.]]</f>
        <v>690</v>
      </c>
      <c r="D691">
        <f>Siam_Chart[[#This Row],[Last]]</f>
        <v>2.12</v>
      </c>
      <c r="E691">
        <f>Siam_Chart[[#This Row],[Chg%]]</f>
        <v>1.92</v>
      </c>
      <c r="F691">
        <f>Siam_Chart[[#This Row],[Volume]]</f>
        <v>4231746</v>
      </c>
      <c r="G691">
        <f>Siam_Chart[[#This Row],[Value (k)]]</f>
        <v>9091754.4000000004</v>
      </c>
      <c r="H691" cm="1">
        <f t="array" ref="H691:W691">Siam_Chart[[#This Row],[MCap (M)]:[CG]]</f>
        <v>1724562760</v>
      </c>
      <c r="I691">
        <v>6.18</v>
      </c>
      <c r="J691">
        <v>0.72</v>
      </c>
      <c r="K691">
        <v>3.1548910000000001</v>
      </c>
      <c r="L691">
        <v>0.08</v>
      </c>
      <c r="M691">
        <v>0.2</v>
      </c>
      <c r="N691">
        <v>5.0015280000000004</v>
      </c>
      <c r="O691">
        <v>12.15579</v>
      </c>
      <c r="P691">
        <v>2.3173680000000001</v>
      </c>
      <c r="Q691">
        <v>3.77</v>
      </c>
      <c r="R691" t="str">
        <v/>
      </c>
      <c r="S691" t="str">
        <v/>
      </c>
      <c r="T691">
        <v>403</v>
      </c>
      <c r="U691">
        <v>597</v>
      </c>
      <c r="V691">
        <v>0.05</v>
      </c>
      <c r="W691">
        <v>5</v>
      </c>
      <c r="X691" s="5">
        <f t="shared" si="23"/>
        <v>2.9444444444444446</v>
      </c>
      <c r="Y691" s="6">
        <f t="shared" si="24"/>
        <v>813473000</v>
      </c>
    </row>
    <row r="692" spans="2:25" x14ac:dyDescent="0.25">
      <c r="B692" t="str">
        <f>Siam_Chart[[#This Row],[Name]]</f>
        <v>SVR</v>
      </c>
      <c r="C692">
        <f>Siam_Chart[[#This Row],[No.]]</f>
        <v>691</v>
      </c>
      <c r="D692">
        <f>Siam_Chart[[#This Row],[Last]]</f>
        <v>0.39</v>
      </c>
      <c r="E692">
        <f>Siam_Chart[[#This Row],[Chg%]]</f>
        <v>2.63</v>
      </c>
      <c r="F692">
        <f>Siam_Chart[[#This Row],[Volume]]</f>
        <v>195400</v>
      </c>
      <c r="G692">
        <f>Siam_Chart[[#This Row],[Value (k)]]</f>
        <v>75470</v>
      </c>
      <c r="H692" cm="1">
        <f t="array" ref="H692:W692">Siam_Chart[[#This Row],[MCap (M)]:[CG]]</f>
        <v>198900000</v>
      </c>
      <c r="I692">
        <v>178500000</v>
      </c>
      <c r="J692">
        <v>0.28999999999999998</v>
      </c>
      <c r="K692">
        <v>1.276343</v>
      </c>
      <c r="L692">
        <v>0.2</v>
      </c>
      <c r="M692">
        <v>-0.06</v>
      </c>
      <c r="N692">
        <v>-2.9680390000000001</v>
      </c>
      <c r="O692">
        <v>-7.7916379999999998</v>
      </c>
      <c r="P692">
        <v>-27.609691999999999</v>
      </c>
      <c r="Q692">
        <v>0.26</v>
      </c>
      <c r="R692" t="str">
        <v/>
      </c>
      <c r="S692" t="str">
        <v/>
      </c>
      <c r="T692">
        <v>0</v>
      </c>
      <c r="U692">
        <v>0</v>
      </c>
      <c r="V692">
        <v>0</v>
      </c>
      <c r="W692">
        <v>3</v>
      </c>
      <c r="X692" s="5">
        <f t="shared" si="23"/>
        <v>1.3448275862068968</v>
      </c>
      <c r="Y692" s="6">
        <f t="shared" si="24"/>
        <v>510000000</v>
      </c>
    </row>
    <row r="693" spans="2:25" x14ac:dyDescent="0.25">
      <c r="B693" t="str">
        <f>Siam_Chart[[#This Row],[Name]]</f>
        <v>SVT</v>
      </c>
      <c r="C693">
        <f>Siam_Chart[[#This Row],[No.]]</f>
        <v>692</v>
      </c>
      <c r="D693">
        <f>Siam_Chart[[#This Row],[Last]]</f>
        <v>1.6</v>
      </c>
      <c r="E693">
        <f>Siam_Chart[[#This Row],[Chg%]]</f>
        <v>5.26</v>
      </c>
      <c r="F693">
        <f>Siam_Chart[[#This Row],[Volume]]</f>
        <v>16872512</v>
      </c>
      <c r="G693">
        <f>Siam_Chart[[#This Row],[Value (k)]]</f>
        <v>27354593.170000002</v>
      </c>
      <c r="H693" cm="1">
        <f t="array" ref="H693:W693">Siam_Chart[[#This Row],[MCap (M)]:[CG]]</f>
        <v>1120000000</v>
      </c>
      <c r="I693">
        <v>10.75</v>
      </c>
      <c r="J693">
        <v>0.81</v>
      </c>
      <c r="K693">
        <v>0.37375700000000001</v>
      </c>
      <c r="L693">
        <v>0.05</v>
      </c>
      <c r="M693">
        <v>0.09</v>
      </c>
      <c r="N693">
        <v>7.1613689999999997</v>
      </c>
      <c r="O693">
        <v>7.7639199999999997</v>
      </c>
      <c r="P693">
        <v>4.2002389999999998</v>
      </c>
      <c r="Q693">
        <v>3.13</v>
      </c>
      <c r="R693" t="str">
        <v/>
      </c>
      <c r="S693" t="str">
        <v/>
      </c>
      <c r="T693">
        <v>640</v>
      </c>
      <c r="U693">
        <v>558</v>
      </c>
      <c r="V693">
        <v>0.95</v>
      </c>
      <c r="W693">
        <v>3</v>
      </c>
      <c r="X693" s="5">
        <f t="shared" si="23"/>
        <v>1.9753086419753085</v>
      </c>
      <c r="Y693" s="6">
        <f t="shared" si="24"/>
        <v>700000000</v>
      </c>
    </row>
    <row r="694" spans="2:25" x14ac:dyDescent="0.25">
      <c r="B694" t="str">
        <f>Siam_Chart[[#This Row],[Name]]</f>
        <v>SWC</v>
      </c>
      <c r="C694">
        <f>Siam_Chart[[#This Row],[No.]]</f>
        <v>693</v>
      </c>
      <c r="D694">
        <f>Siam_Chart[[#This Row],[Last]]</f>
        <v>4.88</v>
      </c>
      <c r="E694">
        <f>Siam_Chart[[#This Row],[Chg%]]</f>
        <v>9.91</v>
      </c>
      <c r="F694">
        <f>Siam_Chart[[#This Row],[Volume]]</f>
        <v>5107</v>
      </c>
      <c r="G694">
        <f>Siam_Chart[[#This Row],[Value (k)]]</f>
        <v>24899.62</v>
      </c>
      <c r="H694" cm="1">
        <f t="array" ref="H694:W694">Siam_Chart[[#This Row],[MCap (M)]:[CG]]</f>
        <v>2433813038.4000001</v>
      </c>
      <c r="I694">
        <v>12.1</v>
      </c>
      <c r="J694">
        <v>3.04</v>
      </c>
      <c r="K694">
        <v>0.60563999999999996</v>
      </c>
      <c r="L694">
        <v>0.125</v>
      </c>
      <c r="M694">
        <v>0.21</v>
      </c>
      <c r="N694">
        <v>21.815284999999999</v>
      </c>
      <c r="O694">
        <v>25.885511999999999</v>
      </c>
      <c r="P694">
        <v>12.74366</v>
      </c>
      <c r="Q694">
        <v>6.66</v>
      </c>
      <c r="R694" t="str">
        <v/>
      </c>
      <c r="S694" t="str">
        <v/>
      </c>
      <c r="T694">
        <v>517</v>
      </c>
      <c r="U694">
        <v>473</v>
      </c>
      <c r="V694">
        <v>0.2</v>
      </c>
      <c r="W694">
        <v>4</v>
      </c>
      <c r="X694" s="5">
        <f t="shared" si="23"/>
        <v>1.6052631578947367</v>
      </c>
      <c r="Y694" s="6">
        <f t="shared" si="24"/>
        <v>498732180.00000006</v>
      </c>
    </row>
    <row r="695" spans="2:25" x14ac:dyDescent="0.25">
      <c r="B695" t="str">
        <f>Siam_Chart[[#This Row],[Name]]</f>
        <v>SYMC</v>
      </c>
      <c r="C695">
        <f>Siam_Chart[[#This Row],[No.]]</f>
        <v>694</v>
      </c>
      <c r="D695">
        <f>Siam_Chart[[#This Row],[Last]]</f>
        <v>6.55</v>
      </c>
      <c r="E695">
        <f>Siam_Chart[[#This Row],[Chg%]]</f>
        <v>-0.76</v>
      </c>
      <c r="F695">
        <f>Siam_Chart[[#This Row],[Volume]]</f>
        <v>39914</v>
      </c>
      <c r="G695">
        <f>Siam_Chart[[#This Row],[Value (k)]]</f>
        <v>261159.15</v>
      </c>
      <c r="H695" cm="1">
        <f t="array" ref="H695:W695">Siam_Chart[[#This Row],[MCap (M)]:[CG]]</f>
        <v>2840439509.8499999</v>
      </c>
      <c r="I695">
        <v>21.42</v>
      </c>
      <c r="J695">
        <v>0.89</v>
      </c>
      <c r="K695">
        <v>0.56899599999999995</v>
      </c>
      <c r="L695">
        <v>9.7299999999999998E-2</v>
      </c>
      <c r="M695">
        <v>0.24</v>
      </c>
      <c r="N695">
        <v>4.2997350000000001</v>
      </c>
      <c r="O695">
        <v>4.2408020000000004</v>
      </c>
      <c r="P695">
        <v>8.9478039999999996</v>
      </c>
      <c r="Q695">
        <v>1.49</v>
      </c>
      <c r="R695" t="str">
        <v/>
      </c>
      <c r="S695" t="str">
        <v/>
      </c>
      <c r="T695">
        <v>1127</v>
      </c>
      <c r="U695">
        <v>1071</v>
      </c>
      <c r="V695">
        <v>3.34</v>
      </c>
      <c r="W695">
        <v>5</v>
      </c>
      <c r="X695" s="5">
        <f t="shared" si="23"/>
        <v>7.3595505617977528</v>
      </c>
      <c r="Y695" s="6">
        <f t="shared" si="24"/>
        <v>433654887</v>
      </c>
    </row>
    <row r="696" spans="2:25" x14ac:dyDescent="0.25">
      <c r="B696" t="str">
        <f>Siam_Chart[[#This Row],[Name]]</f>
        <v>SYNEX</v>
      </c>
      <c r="C696">
        <f>Siam_Chart[[#This Row],[No.]]</f>
        <v>695</v>
      </c>
      <c r="D696">
        <f>Siam_Chart[[#This Row],[Last]]</f>
        <v>9.8000000000000007</v>
      </c>
      <c r="E696">
        <f>Siam_Chart[[#This Row],[Chg%]]</f>
        <v>0</v>
      </c>
      <c r="F696">
        <f>Siam_Chart[[#This Row],[Volume]]</f>
        <v>3372002</v>
      </c>
      <c r="G696">
        <f>Siam_Chart[[#This Row],[Value (k)]]</f>
        <v>33354580.300000001</v>
      </c>
      <c r="H696" cm="1">
        <f t="array" ref="H696:W696">Siam_Chart[[#This Row],[MCap (M)]:[CG]]</f>
        <v>8304139818.8000002</v>
      </c>
      <c r="I696">
        <v>9.94</v>
      </c>
      <c r="J696">
        <v>1.68</v>
      </c>
      <c r="K696">
        <v>2.6276640000000002</v>
      </c>
      <c r="L696">
        <v>0.1</v>
      </c>
      <c r="M696">
        <v>0.53</v>
      </c>
      <c r="N696">
        <v>6.500813</v>
      </c>
      <c r="O696">
        <v>17.696964999999999</v>
      </c>
      <c r="P696">
        <v>1.92083</v>
      </c>
      <c r="Q696">
        <v>4.9000000000000004</v>
      </c>
      <c r="R696" t="str">
        <v/>
      </c>
      <c r="S696" t="str">
        <v/>
      </c>
      <c r="T696">
        <v>335</v>
      </c>
      <c r="U696">
        <v>558</v>
      </c>
      <c r="V696">
        <v>14.33</v>
      </c>
      <c r="W696">
        <v>5</v>
      </c>
      <c r="X696" s="5">
        <f t="shared" si="23"/>
        <v>5.8333333333333339</v>
      </c>
      <c r="Y696" s="6">
        <f t="shared" si="24"/>
        <v>847361206</v>
      </c>
    </row>
    <row r="697" spans="2:25" x14ac:dyDescent="0.25">
      <c r="B697" t="str">
        <f>Siam_Chart[[#This Row],[Name]]</f>
        <v>SYNTEC</v>
      </c>
      <c r="C697">
        <f>Siam_Chart[[#This Row],[No.]]</f>
        <v>696</v>
      </c>
      <c r="D697">
        <f>Siam_Chart[[#This Row],[Last]]</f>
        <v>1.97</v>
      </c>
      <c r="E697">
        <f>Siam_Chart[[#This Row],[Chg%]]</f>
        <v>-2.48</v>
      </c>
      <c r="F697">
        <f>Siam_Chart[[#This Row],[Volume]]</f>
        <v>4901102</v>
      </c>
      <c r="G697">
        <f>Siam_Chart[[#This Row],[Value (k)]]</f>
        <v>9732446.9600000009</v>
      </c>
      <c r="H697" cm="1">
        <f t="array" ref="H697:W697">Siam_Chart[[#This Row],[MCap (M)]:[CG]]</f>
        <v>3134185881</v>
      </c>
      <c r="I697">
        <v>4.88</v>
      </c>
      <c r="J697">
        <v>0.49</v>
      </c>
      <c r="K697">
        <v>0.52123200000000003</v>
      </c>
      <c r="L697">
        <v>7.0000000000000007E-2</v>
      </c>
      <c r="M697">
        <v>0.21</v>
      </c>
      <c r="N697">
        <v>7.6358009999999998</v>
      </c>
      <c r="O697">
        <v>10.574031</v>
      </c>
      <c r="P697">
        <v>8.3577969999999997</v>
      </c>
      <c r="Q697">
        <v>6.09</v>
      </c>
      <c r="R697" t="str">
        <v/>
      </c>
      <c r="S697" t="str">
        <v/>
      </c>
      <c r="T697">
        <v>329</v>
      </c>
      <c r="U697">
        <v>332</v>
      </c>
      <c r="V697">
        <v>-0.06</v>
      </c>
      <c r="W697">
        <v>5</v>
      </c>
      <c r="X697" s="5">
        <f t="shared" si="23"/>
        <v>4.0204081632653059</v>
      </c>
      <c r="Y697" s="6">
        <f t="shared" si="24"/>
        <v>1590957300</v>
      </c>
    </row>
    <row r="698" spans="2:25" x14ac:dyDescent="0.25">
      <c r="B698" t="str">
        <f>Siam_Chart[[#This Row],[Name]]</f>
        <v>TACC</v>
      </c>
      <c r="C698">
        <f>Siam_Chart[[#This Row],[No.]]</f>
        <v>697</v>
      </c>
      <c r="D698">
        <f>Siam_Chart[[#This Row],[Last]]</f>
        <v>6.5</v>
      </c>
      <c r="E698">
        <f>Siam_Chart[[#This Row],[Chg%]]</f>
        <v>0</v>
      </c>
      <c r="F698">
        <f>Siam_Chart[[#This Row],[Volume]]</f>
        <v>940886</v>
      </c>
      <c r="G698">
        <f>Siam_Chart[[#This Row],[Value (k)]]</f>
        <v>6124696.3499999996</v>
      </c>
      <c r="H698" cm="1">
        <f t="array" ref="H698:W698">Siam_Chart[[#This Row],[MCap (M)]:[CG]]</f>
        <v>3952000000</v>
      </c>
      <c r="I698">
        <v>11.24</v>
      </c>
      <c r="J698">
        <v>4.59</v>
      </c>
      <c r="K698">
        <v>0.607151</v>
      </c>
      <c r="L698">
        <v>0.21</v>
      </c>
      <c r="M698">
        <v>0.34</v>
      </c>
      <c r="N698">
        <v>33.624910999999997</v>
      </c>
      <c r="O698">
        <v>43.277819999999998</v>
      </c>
      <c r="P698">
        <v>15.388463</v>
      </c>
      <c r="Q698">
        <v>6.39</v>
      </c>
      <c r="R698" t="str">
        <v/>
      </c>
      <c r="S698" t="str">
        <v/>
      </c>
      <c r="T698">
        <v>334</v>
      </c>
      <c r="U698">
        <v>321</v>
      </c>
      <c r="V698">
        <v>1.19</v>
      </c>
      <c r="W698">
        <v>5</v>
      </c>
      <c r="X698" s="5">
        <f t="shared" si="23"/>
        <v>1.4161220043572986</v>
      </c>
      <c r="Y698" s="6">
        <f t="shared" si="24"/>
        <v>608000000</v>
      </c>
    </row>
    <row r="699" spans="2:25" x14ac:dyDescent="0.25">
      <c r="B699" t="str">
        <f>Siam_Chart[[#This Row],[Name]]</f>
        <v>TAE</v>
      </c>
      <c r="C699">
        <f>Siam_Chart[[#This Row],[No.]]</f>
        <v>698</v>
      </c>
      <c r="D699">
        <f>Siam_Chart[[#This Row],[Last]]</f>
        <v>1.65</v>
      </c>
      <c r="E699">
        <f>Siam_Chart[[#This Row],[Chg%]]</f>
        <v>1.23</v>
      </c>
      <c r="F699">
        <f>Siam_Chart[[#This Row],[Volume]]</f>
        <v>3723211</v>
      </c>
      <c r="G699">
        <f>Siam_Chart[[#This Row],[Value (k)]]</f>
        <v>6153610.6399999997</v>
      </c>
      <c r="H699" cm="1">
        <f t="array" ref="H699:W699">Siam_Chart[[#This Row],[MCap (M)]:[CG]]</f>
        <v>1650000000</v>
      </c>
      <c r="I699">
        <v>6.86</v>
      </c>
      <c r="J699">
        <v>0.87</v>
      </c>
      <c r="K699">
        <v>0.49037199999999997</v>
      </c>
      <c r="L699">
        <v>0.01</v>
      </c>
      <c r="M699">
        <v>0.23</v>
      </c>
      <c r="N699">
        <v>12.025980000000001</v>
      </c>
      <c r="O699">
        <v>13.586258000000001</v>
      </c>
      <c r="P699">
        <v>17.683025000000001</v>
      </c>
      <c r="Q699">
        <v>0.85</v>
      </c>
      <c r="R699" t="str">
        <v/>
      </c>
      <c r="S699" t="str">
        <v/>
      </c>
      <c r="T699">
        <v>258</v>
      </c>
      <c r="U699">
        <v>201</v>
      </c>
      <c r="V699">
        <v>-0.1</v>
      </c>
      <c r="W699">
        <v>4</v>
      </c>
      <c r="X699" s="5">
        <f t="shared" si="23"/>
        <v>1.896551724137931</v>
      </c>
      <c r="Y699" s="6">
        <f t="shared" si="24"/>
        <v>1000000000</v>
      </c>
    </row>
    <row r="700" spans="2:25" x14ac:dyDescent="0.25">
      <c r="B700" t="str">
        <f>Siam_Chart[[#This Row],[Name]]</f>
        <v>TAKUNI</v>
      </c>
      <c r="C700">
        <f>Siam_Chart[[#This Row],[No.]]</f>
        <v>699</v>
      </c>
      <c r="D700">
        <f>Siam_Chart[[#This Row],[Last]]</f>
        <v>0.48</v>
      </c>
      <c r="E700">
        <f>Siam_Chart[[#This Row],[Chg%]]</f>
        <v>0</v>
      </c>
      <c r="F700">
        <f>Siam_Chart[[#This Row],[Volume]]</f>
        <v>4132815</v>
      </c>
      <c r="G700">
        <f>Siam_Chart[[#This Row],[Value (k)]]</f>
        <v>1976735.05</v>
      </c>
      <c r="H700" cm="1">
        <f t="array" ref="H700:W700">Siam_Chart[[#This Row],[MCap (M)]:[CG]]</f>
        <v>384000113.27999997</v>
      </c>
      <c r="I700">
        <v>312000092.04000002</v>
      </c>
      <c r="J700">
        <v>0.78</v>
      </c>
      <c r="K700">
        <v>2.5189029999999999</v>
      </c>
      <c r="L700">
        <v>0.03</v>
      </c>
      <c r="M700">
        <v>0.02</v>
      </c>
      <c r="N700">
        <v>-10.939871999999999</v>
      </c>
      <c r="O700">
        <v>-60.566268000000001</v>
      </c>
      <c r="P700">
        <v>3.4857200000000002</v>
      </c>
      <c r="Q700">
        <v>0.63</v>
      </c>
      <c r="R700" t="str">
        <v/>
      </c>
      <c r="S700" t="str">
        <v/>
      </c>
      <c r="T700">
        <v>0</v>
      </c>
      <c r="U700">
        <v>0</v>
      </c>
      <c r="V700">
        <v>0</v>
      </c>
      <c r="W700">
        <v>3</v>
      </c>
      <c r="X700" s="5">
        <f t="shared" si="23"/>
        <v>0.61538461538461531</v>
      </c>
      <c r="Y700" s="6">
        <f t="shared" si="24"/>
        <v>800000236</v>
      </c>
    </row>
    <row r="701" spans="2:25" x14ac:dyDescent="0.25">
      <c r="B701" t="str">
        <f>Siam_Chart[[#This Row],[Name]]</f>
        <v>TAN</v>
      </c>
      <c r="C701">
        <f>Siam_Chart[[#This Row],[No.]]</f>
        <v>700</v>
      </c>
      <c r="D701">
        <f>Siam_Chart[[#This Row],[Last]]</f>
        <v>4.12</v>
      </c>
      <c r="E701">
        <f>Siam_Chart[[#This Row],[Chg%]]</f>
        <v>0</v>
      </c>
      <c r="F701">
        <f>Siam_Chart[[#This Row],[Volume]]</f>
        <v>3100</v>
      </c>
      <c r="G701">
        <f>Siam_Chart[[#This Row],[Value (k)]]</f>
        <v>12700</v>
      </c>
      <c r="H701" cm="1">
        <f t="array" ref="H701:W701">Siam_Chart[[#This Row],[MCap (M)]:[CG]]</f>
        <v>1236000000</v>
      </c>
      <c r="I701">
        <v>22.97</v>
      </c>
      <c r="J701">
        <v>0.82</v>
      </c>
      <c r="K701">
        <v>0.80328999999999995</v>
      </c>
      <c r="L701">
        <v>0.27</v>
      </c>
      <c r="M701">
        <v>0.12</v>
      </c>
      <c r="N701">
        <v>4.4279650000000004</v>
      </c>
      <c r="O701">
        <v>3.5255079999999999</v>
      </c>
      <c r="P701">
        <v>3.2591610000000002</v>
      </c>
      <c r="Q701">
        <v>6.55</v>
      </c>
      <c r="R701" t="str">
        <v/>
      </c>
      <c r="S701" t="str">
        <v/>
      </c>
      <c r="T701">
        <v>1183</v>
      </c>
      <c r="U701">
        <v>1080</v>
      </c>
      <c r="V701">
        <v>-0.56000000000000005</v>
      </c>
      <c r="W701">
        <v>5</v>
      </c>
      <c r="X701" s="5">
        <f t="shared" si="23"/>
        <v>5.024390243902439</v>
      </c>
      <c r="Y701" s="6">
        <f t="shared" si="24"/>
        <v>300000000</v>
      </c>
    </row>
    <row r="702" spans="2:25" x14ac:dyDescent="0.25">
      <c r="B702" t="str">
        <f>Siam_Chart[[#This Row],[Name]]</f>
        <v>TAPAC</v>
      </c>
      <c r="C702">
        <f>Siam_Chart[[#This Row],[No.]]</f>
        <v>701</v>
      </c>
      <c r="D702">
        <f>Siam_Chart[[#This Row],[Last]]</f>
        <v>2024</v>
      </c>
      <c r="E702">
        <f>Siam_Chart[[#This Row],[Chg%]]</f>
        <v>0</v>
      </c>
      <c r="F702">
        <f>Siam_Chart[[#This Row],[Volume]]</f>
        <v>0</v>
      </c>
      <c r="G702">
        <f>Siam_Chart[[#This Row],[Value (k)]]</f>
        <v>0</v>
      </c>
      <c r="H702" cm="1">
        <f t="array" ref="H702:W702">Siam_Chart[[#This Row],[MCap (M)]:[CG]]</f>
        <v>214</v>
      </c>
      <c r="I702">
        <v>0</v>
      </c>
      <c r="J702">
        <v>1.2253851400838021</v>
      </c>
      <c r="K702">
        <v>1.2253849999999999</v>
      </c>
      <c r="L702">
        <v>0.04</v>
      </c>
      <c r="M702">
        <v>-1.08</v>
      </c>
      <c r="N702">
        <v>-10.057795</v>
      </c>
      <c r="O702">
        <v>-37.154415</v>
      </c>
      <c r="P702">
        <v>-24.772445999999999</v>
      </c>
      <c r="Q702">
        <v>0</v>
      </c>
      <c r="R702" t="str">
        <v/>
      </c>
      <c r="S702" t="str">
        <v/>
      </c>
      <c r="T702">
        <v>0</v>
      </c>
      <c r="U702">
        <v>0</v>
      </c>
      <c r="V702">
        <v>0</v>
      </c>
      <c r="W702">
        <v>0</v>
      </c>
      <c r="X702" s="5">
        <f t="shared" si="23"/>
        <v>1651.7255953190211</v>
      </c>
      <c r="Y702" s="6">
        <f t="shared" si="24"/>
        <v>0.10573122529644269</v>
      </c>
    </row>
    <row r="703" spans="2:25" x14ac:dyDescent="0.25">
      <c r="B703" t="str">
        <f>Siam_Chart[[#This Row],[Name]]</f>
        <v>TASCO</v>
      </c>
      <c r="C703">
        <f>Siam_Chart[[#This Row],[No.]]</f>
        <v>702</v>
      </c>
      <c r="D703">
        <f>Siam_Chart[[#This Row],[Last]]</f>
        <v>16.8</v>
      </c>
      <c r="E703">
        <f>Siam_Chart[[#This Row],[Chg%]]</f>
        <v>-0.59</v>
      </c>
      <c r="F703">
        <f>Siam_Chart[[#This Row],[Volume]]</f>
        <v>5075738</v>
      </c>
      <c r="G703">
        <f>Siam_Chart[[#This Row],[Value (k)]]</f>
        <v>84895064.799999997</v>
      </c>
      <c r="H703" cm="1">
        <f t="array" ref="H703:W703">Siam_Chart[[#This Row],[MCap (M)]:[CG]]</f>
        <v>26516474376</v>
      </c>
      <c r="I703">
        <v>22.64</v>
      </c>
      <c r="J703">
        <v>1.83</v>
      </c>
      <c r="K703">
        <v>0.53234700000000001</v>
      </c>
      <c r="L703">
        <v>0.2</v>
      </c>
      <c r="M703">
        <v>0.56000000000000005</v>
      </c>
      <c r="N703">
        <v>7.0385369999999998</v>
      </c>
      <c r="O703">
        <v>7.9451070000000001</v>
      </c>
      <c r="P703">
        <v>5.8699269999999997</v>
      </c>
      <c r="Q703">
        <v>5.95</v>
      </c>
      <c r="R703" t="str">
        <v/>
      </c>
      <c r="S703" t="str">
        <v/>
      </c>
      <c r="T703">
        <v>929</v>
      </c>
      <c r="U703">
        <v>879</v>
      </c>
      <c r="V703">
        <v>-1.48</v>
      </c>
      <c r="W703">
        <v>5</v>
      </c>
      <c r="X703" s="5">
        <f t="shared" si="23"/>
        <v>9.1803278688524586</v>
      </c>
      <c r="Y703" s="6">
        <f t="shared" si="24"/>
        <v>1578361570</v>
      </c>
    </row>
    <row r="704" spans="2:25" x14ac:dyDescent="0.25">
      <c r="B704" t="str">
        <f>Siam_Chart[[#This Row],[Name]]</f>
        <v>TATG</v>
      </c>
      <c r="C704">
        <f>Siam_Chart[[#This Row],[No.]]</f>
        <v>703</v>
      </c>
      <c r="D704">
        <f>Siam_Chart[[#This Row],[Last]]</f>
        <v>1.07</v>
      </c>
      <c r="E704">
        <f>Siam_Chart[[#This Row],[Chg%]]</f>
        <v>7</v>
      </c>
      <c r="F704">
        <f>Siam_Chart[[#This Row],[Volume]]</f>
        <v>12125403</v>
      </c>
      <c r="G704">
        <f>Siam_Chart[[#This Row],[Value (k)]]</f>
        <v>13268064.27</v>
      </c>
      <c r="H704" cm="1">
        <f t="array" ref="H704:W704">Siam_Chart[[#This Row],[MCap (M)]:[CG]]</f>
        <v>428000000</v>
      </c>
      <c r="I704">
        <v>5.75</v>
      </c>
      <c r="J704">
        <v>0.38</v>
      </c>
      <c r="K704">
        <v>0.83795600000000003</v>
      </c>
      <c r="L704">
        <v>7.0000000000000007E-2</v>
      </c>
      <c r="M704">
        <v>0.1</v>
      </c>
      <c r="N704">
        <v>5.4843089999999997</v>
      </c>
      <c r="O704">
        <v>6.6517720000000002</v>
      </c>
      <c r="P704">
        <v>3.478113</v>
      </c>
      <c r="Q704">
        <v>6.54</v>
      </c>
      <c r="R704" t="str">
        <v/>
      </c>
      <c r="S704" t="str">
        <v/>
      </c>
      <c r="T704">
        <v>485</v>
      </c>
      <c r="U704">
        <v>454</v>
      </c>
      <c r="V704">
        <v>0.19</v>
      </c>
      <c r="W704">
        <v>3</v>
      </c>
      <c r="X704" s="5">
        <f t="shared" si="23"/>
        <v>2.8157894736842106</v>
      </c>
      <c r="Y704" s="6">
        <f t="shared" si="24"/>
        <v>400000000</v>
      </c>
    </row>
    <row r="705" spans="2:25" x14ac:dyDescent="0.25">
      <c r="B705" t="str">
        <f>Siam_Chart[[#This Row],[Name]]</f>
        <v>TBN</v>
      </c>
      <c r="C705">
        <f>Siam_Chart[[#This Row],[No.]]</f>
        <v>704</v>
      </c>
      <c r="D705">
        <f>Siam_Chart[[#This Row],[Last]]</f>
        <v>3.44</v>
      </c>
      <c r="E705">
        <f>Siam_Chart[[#This Row],[Chg%]]</f>
        <v>-1.71</v>
      </c>
      <c r="F705">
        <f>Siam_Chart[[#This Row],[Volume]]</f>
        <v>18854</v>
      </c>
      <c r="G705">
        <f>Siam_Chart[[#This Row],[Value (k)]]</f>
        <v>66238.880000000005</v>
      </c>
      <c r="H705" cm="1">
        <f t="array" ref="H705:W705">Siam_Chart[[#This Row],[MCap (M)]:[CG]]</f>
        <v>344000000</v>
      </c>
      <c r="I705">
        <v>324000000</v>
      </c>
      <c r="J705">
        <v>0.73</v>
      </c>
      <c r="K705">
        <v>0.40937099999999998</v>
      </c>
      <c r="L705">
        <v>0.21</v>
      </c>
      <c r="M705">
        <v>-0.19</v>
      </c>
      <c r="N705">
        <v>-0.82265299999999997</v>
      </c>
      <c r="O705">
        <v>-1.897535</v>
      </c>
      <c r="P705">
        <v>-11.142087999999999</v>
      </c>
      <c r="Q705">
        <v>6.1</v>
      </c>
      <c r="R705" t="str">
        <v/>
      </c>
      <c r="S705" t="str">
        <v/>
      </c>
      <c r="T705">
        <v>1323</v>
      </c>
      <c r="U705">
        <v>1323</v>
      </c>
      <c r="V705">
        <v>11.03</v>
      </c>
      <c r="W705">
        <v>5</v>
      </c>
      <c r="X705" s="5">
        <f t="shared" si="23"/>
        <v>4.7123287671232879</v>
      </c>
      <c r="Y705" s="6">
        <f t="shared" si="24"/>
        <v>100000000</v>
      </c>
    </row>
    <row r="706" spans="2:25" x14ac:dyDescent="0.25">
      <c r="B706" t="str">
        <f>Siam_Chart[[#This Row],[Name]]</f>
        <v>TBSP</v>
      </c>
      <c r="C706">
        <f>Siam_Chart[[#This Row],[No.]]</f>
        <v>705</v>
      </c>
      <c r="D706">
        <f>Siam_Chart[[#This Row],[Last]]</f>
        <v>1.0900000000000001</v>
      </c>
      <c r="E706">
        <f>Siam_Chart[[#This Row],[Chg%]]</f>
        <v>0.93</v>
      </c>
      <c r="F706">
        <f>Siam_Chart[[#This Row],[Volume]]</f>
        <v>1101</v>
      </c>
      <c r="G706">
        <f>Siam_Chart[[#This Row],[Value (k)]]</f>
        <v>1200.06</v>
      </c>
      <c r="H706" cm="1">
        <f t="array" ref="H706:W706">Siam_Chart[[#This Row],[MCap (M)]:[CG]]</f>
        <v>400374782.25999999</v>
      </c>
      <c r="I706">
        <v>352623661.44</v>
      </c>
      <c r="J706">
        <v>1.53</v>
      </c>
      <c r="K706">
        <v>0.90424499999999997</v>
      </c>
      <c r="L706">
        <v>0.9</v>
      </c>
      <c r="M706">
        <v>-0.03</v>
      </c>
      <c r="N706">
        <v>-96.950770000000006</v>
      </c>
      <c r="O706">
        <v>-372.84454299999999</v>
      </c>
      <c r="P706">
        <v>-7.1504250000000003</v>
      </c>
      <c r="Q706">
        <v>1.34</v>
      </c>
      <c r="R706" t="str">
        <v/>
      </c>
      <c r="S706" t="str">
        <v/>
      </c>
      <c r="T706">
        <v>0</v>
      </c>
      <c r="U706">
        <v>0</v>
      </c>
      <c r="V706">
        <v>0</v>
      </c>
      <c r="W706">
        <v>3</v>
      </c>
      <c r="X706" s="5">
        <f t="shared" si="23"/>
        <v>0.71241830065359479</v>
      </c>
      <c r="Y706" s="6">
        <f t="shared" si="24"/>
        <v>367316313.99999994</v>
      </c>
    </row>
    <row r="707" spans="2:25" x14ac:dyDescent="0.25">
      <c r="B707" t="str">
        <f>Siam_Chart[[#This Row],[Name]]</f>
        <v>TC</v>
      </c>
      <c r="C707">
        <f>Siam_Chart[[#This Row],[No.]]</f>
        <v>706</v>
      </c>
      <c r="D707">
        <f>Siam_Chart[[#This Row],[Last]]</f>
        <v>8.1999999999999993</v>
      </c>
      <c r="E707">
        <f>Siam_Chart[[#This Row],[Chg%]]</f>
        <v>0</v>
      </c>
      <c r="F707">
        <f>Siam_Chart[[#This Row],[Volume]]</f>
        <v>88517</v>
      </c>
      <c r="G707">
        <f>Siam_Chart[[#This Row],[Value (k)]]</f>
        <v>730635.5</v>
      </c>
      <c r="H707" cm="1">
        <f t="array" ref="H707:W707">Siam_Chart[[#This Row],[MCap (M)]:[CG]]</f>
        <v>2706000000</v>
      </c>
      <c r="I707">
        <v>10.25</v>
      </c>
      <c r="J707">
        <v>0.95</v>
      </c>
      <c r="K707">
        <v>0.62368400000000002</v>
      </c>
      <c r="L707">
        <v>0.3</v>
      </c>
      <c r="M707">
        <v>0.5</v>
      </c>
      <c r="N707">
        <v>7.0633549999999996</v>
      </c>
      <c r="O707">
        <v>9.5201989999999999</v>
      </c>
      <c r="P707">
        <v>5.3958649999999997</v>
      </c>
      <c r="Q707">
        <v>3.66</v>
      </c>
      <c r="R707" t="str">
        <v/>
      </c>
      <c r="S707" t="str">
        <v/>
      </c>
      <c r="T707">
        <v>514</v>
      </c>
      <c r="U707">
        <v>515</v>
      </c>
      <c r="V707">
        <v>0.05</v>
      </c>
      <c r="W707">
        <v>0</v>
      </c>
      <c r="X707" s="5">
        <f t="shared" si="23"/>
        <v>8.6315789473684212</v>
      </c>
      <c r="Y707" s="6">
        <f t="shared" si="24"/>
        <v>330000000</v>
      </c>
    </row>
    <row r="708" spans="2:25" x14ac:dyDescent="0.25">
      <c r="B708" t="str">
        <f>Siam_Chart[[#This Row],[Name]]</f>
        <v>TCAP</v>
      </c>
      <c r="C708">
        <f>Siam_Chart[[#This Row],[No.]]</f>
        <v>707</v>
      </c>
      <c r="D708">
        <f>Siam_Chart[[#This Row],[Last]]</f>
        <v>85.75</v>
      </c>
      <c r="E708">
        <f>Siam_Chart[[#This Row],[Chg%]]</f>
        <v>-1.72</v>
      </c>
      <c r="F708">
        <f>Siam_Chart[[#This Row],[Volume]]</f>
        <v>3244058</v>
      </c>
      <c r="G708">
        <f>Siam_Chart[[#This Row],[Value (k)]]</f>
        <v>279589294.75</v>
      </c>
      <c r="H708" cm="1">
        <f t="array" ref="H708:W708">Siam_Chart[[#This Row],[MCap (M)]:[CG]]</f>
        <v>89917896500.25</v>
      </c>
      <c r="I708">
        <v>10.29</v>
      </c>
      <c r="J708">
        <v>1.07</v>
      </c>
      <c r="K708">
        <v>0.76216700000000004</v>
      </c>
      <c r="L708">
        <v>2.2000000000000002</v>
      </c>
      <c r="M708">
        <v>4.54</v>
      </c>
      <c r="N708">
        <v>7.4476389999999997</v>
      </c>
      <c r="O708">
        <v>10.937052</v>
      </c>
      <c r="P708">
        <v>53.535868000000001</v>
      </c>
      <c r="Q708">
        <v>4.08</v>
      </c>
      <c r="R708" t="str">
        <v/>
      </c>
      <c r="S708" t="str">
        <v/>
      </c>
      <c r="T708">
        <v>537</v>
      </c>
      <c r="U708">
        <v>655</v>
      </c>
      <c r="V708">
        <v>1.01</v>
      </c>
      <c r="W708">
        <v>5</v>
      </c>
      <c r="X708" s="5">
        <f t="shared" ref="X708:X771" si="25">IFERROR(D708/J708,0)</f>
        <v>80.140186915887853</v>
      </c>
      <c r="Y708" s="6">
        <f t="shared" ref="Y708:Y771" si="26">IFERROR(H708/D708,0)</f>
        <v>1048605207</v>
      </c>
    </row>
    <row r="709" spans="2:25" x14ac:dyDescent="0.25">
      <c r="B709" t="str">
        <f>Siam_Chart[[#This Row],[Name]]</f>
        <v>TCC</v>
      </c>
      <c r="C709">
        <f>Siam_Chart[[#This Row],[No.]]</f>
        <v>708</v>
      </c>
      <c r="D709">
        <f>Siam_Chart[[#This Row],[Last]]</f>
        <v>0.31</v>
      </c>
      <c r="E709">
        <f>Siam_Chart[[#This Row],[Chg%]]</f>
        <v>0</v>
      </c>
      <c r="F709">
        <f>Siam_Chart[[#This Row],[Volume]]</f>
        <v>210044</v>
      </c>
      <c r="G709">
        <f>Siam_Chart[[#This Row],[Value (k)]]</f>
        <v>63278.2</v>
      </c>
      <c r="H709" cm="1">
        <f t="array" ref="H709:W709">Siam_Chart[[#This Row],[MCap (M)]:[CG]]</f>
        <v>432620546.5</v>
      </c>
      <c r="I709">
        <v>108.85</v>
      </c>
      <c r="J709">
        <v>0.39</v>
      </c>
      <c r="K709">
        <v>0.423678</v>
      </c>
      <c r="L709">
        <v>2.5000000000000001E-2</v>
      </c>
      <c r="M709">
        <v>2.2056033218156217</v>
      </c>
      <c r="N709">
        <v>2.205603</v>
      </c>
      <c r="O709">
        <v>0.35939300000000002</v>
      </c>
      <c r="P709">
        <v>-0.194664</v>
      </c>
      <c r="Q709">
        <v>0.37</v>
      </c>
      <c r="R709" t="str">
        <v/>
      </c>
      <c r="S709" t="str">
        <v/>
      </c>
      <c r="T709">
        <v>1262</v>
      </c>
      <c r="U709">
        <v>1191</v>
      </c>
      <c r="V709">
        <v>4.4000000000000004</v>
      </c>
      <c r="W709">
        <v>0</v>
      </c>
      <c r="X709" s="5">
        <f t="shared" si="25"/>
        <v>0.79487179487179482</v>
      </c>
      <c r="Y709" s="6">
        <f t="shared" si="26"/>
        <v>1395550150</v>
      </c>
    </row>
    <row r="710" spans="2:25" x14ac:dyDescent="0.25">
      <c r="B710" t="str">
        <f>Siam_Chart[[#This Row],[Name]]</f>
        <v>TCJ</v>
      </c>
      <c r="C710">
        <f>Siam_Chart[[#This Row],[No.]]</f>
        <v>709</v>
      </c>
      <c r="D710">
        <f>Siam_Chart[[#This Row],[Last]]</f>
        <v>2.82</v>
      </c>
      <c r="E710">
        <f>Siam_Chart[[#This Row],[Chg%]]</f>
        <v>1.44</v>
      </c>
      <c r="F710">
        <f>Siam_Chart[[#This Row],[Volume]]</f>
        <v>10500</v>
      </c>
      <c r="G710">
        <f>Siam_Chart[[#This Row],[Value (k)]]</f>
        <v>29012</v>
      </c>
      <c r="H710" cm="1">
        <f t="array" ref="H710:W710">Siam_Chart[[#This Row],[MCap (M)]:[CG]]</f>
        <v>297781667.51999998</v>
      </c>
      <c r="I710">
        <v>11.45</v>
      </c>
      <c r="J710">
        <v>0.22</v>
      </c>
      <c r="K710">
        <v>0.44316</v>
      </c>
      <c r="L710">
        <v>0.24</v>
      </c>
      <c r="M710">
        <v>0.24</v>
      </c>
      <c r="N710">
        <v>2.5317419999999999</v>
      </c>
      <c r="O710">
        <v>1.9302239999999999</v>
      </c>
      <c r="P710">
        <v>5.350638</v>
      </c>
      <c r="Q710">
        <v>0.19</v>
      </c>
      <c r="R710" t="str">
        <v/>
      </c>
      <c r="S710" t="str">
        <v/>
      </c>
      <c r="T710">
        <v>1212</v>
      </c>
      <c r="U710">
        <v>1174</v>
      </c>
      <c r="V710">
        <v>-0.08</v>
      </c>
      <c r="W710">
        <v>0</v>
      </c>
      <c r="X710" s="5">
        <f t="shared" si="25"/>
        <v>12.818181818181817</v>
      </c>
      <c r="Y710" s="6">
        <f t="shared" si="26"/>
        <v>105596336</v>
      </c>
    </row>
    <row r="711" spans="2:25" x14ac:dyDescent="0.25">
      <c r="B711" t="str">
        <f>Siam_Chart[[#This Row],[Name]]</f>
        <v>TCMC</v>
      </c>
      <c r="C711">
        <f>Siam_Chart[[#This Row],[No.]]</f>
        <v>710</v>
      </c>
      <c r="D711">
        <f>Siam_Chart[[#This Row],[Last]]</f>
        <v>0.3</v>
      </c>
      <c r="E711">
        <f>Siam_Chart[[#This Row],[Chg%]]</f>
        <v>0</v>
      </c>
      <c r="F711">
        <f>Siam_Chart[[#This Row],[Volume]]</f>
        <v>121100</v>
      </c>
      <c r="G711">
        <f>Siam_Chart[[#This Row],[Value (k)]]</f>
        <v>36328</v>
      </c>
      <c r="H711" cm="1">
        <f t="array" ref="H711:W711">Siam_Chart[[#This Row],[MCap (M)]:[CG]]</f>
        <v>228960337.5</v>
      </c>
      <c r="I711">
        <v>221328326.25</v>
      </c>
      <c r="J711">
        <v>0.33</v>
      </c>
      <c r="K711">
        <v>6.2507970000000004</v>
      </c>
      <c r="L711">
        <v>-0.15</v>
      </c>
      <c r="M711">
        <v>-0.15</v>
      </c>
      <c r="N711">
        <v>-10.720677</v>
      </c>
      <c r="O711">
        <v>-71.297809999999998</v>
      </c>
      <c r="P711">
        <v>-7.6890479999999997</v>
      </c>
      <c r="Q711">
        <v>0.32</v>
      </c>
      <c r="R711" t="str">
        <v/>
      </c>
      <c r="S711" t="str">
        <v/>
      </c>
      <c r="T711">
        <v>0</v>
      </c>
      <c r="U711">
        <v>0</v>
      </c>
      <c r="V711">
        <v>0</v>
      </c>
      <c r="W711">
        <v>5</v>
      </c>
      <c r="X711" s="5">
        <f t="shared" si="25"/>
        <v>0.90909090909090906</v>
      </c>
      <c r="Y711" s="6">
        <f t="shared" si="26"/>
        <v>763201125</v>
      </c>
    </row>
    <row r="712" spans="2:25" x14ac:dyDescent="0.25">
      <c r="B712" t="str">
        <f>Siam_Chart[[#This Row],[Name]]</f>
        <v>TCOAT</v>
      </c>
      <c r="C712">
        <f>Siam_Chart[[#This Row],[No.]]</f>
        <v>711</v>
      </c>
      <c r="D712">
        <f>Siam_Chart[[#This Row],[Last]]</f>
        <v>26.5</v>
      </c>
      <c r="E712">
        <f>Siam_Chart[[#This Row],[Chg%]]</f>
        <v>0.95</v>
      </c>
      <c r="F712">
        <f>Siam_Chart[[#This Row],[Volume]]</f>
        <v>100</v>
      </c>
      <c r="G712">
        <f>Siam_Chart[[#This Row],[Value (k)]]</f>
        <v>2650</v>
      </c>
      <c r="H712" cm="1">
        <f t="array" ref="H712:W712">Siam_Chart[[#This Row],[MCap (M)]:[CG]]</f>
        <v>278250000</v>
      </c>
      <c r="I712">
        <v>99.55</v>
      </c>
      <c r="J712">
        <v>0.54</v>
      </c>
      <c r="K712">
        <v>0.23272000000000001</v>
      </c>
      <c r="L712">
        <v>0.5</v>
      </c>
      <c r="M712">
        <v>0.76</v>
      </c>
      <c r="N712">
        <v>1.121175</v>
      </c>
      <c r="O712">
        <v>0.53890000000000005</v>
      </c>
      <c r="P712">
        <v>2.2680400000000001</v>
      </c>
      <c r="Q712">
        <v>1.89</v>
      </c>
      <c r="R712" t="str">
        <v/>
      </c>
      <c r="S712" t="str">
        <v/>
      </c>
      <c r="T712">
        <v>1345</v>
      </c>
      <c r="U712">
        <v>1346</v>
      </c>
      <c r="V712">
        <v>-0.56999999999999995</v>
      </c>
      <c r="W712">
        <v>0</v>
      </c>
      <c r="X712" s="5">
        <f t="shared" si="25"/>
        <v>49.074074074074069</v>
      </c>
      <c r="Y712" s="6">
        <f t="shared" si="26"/>
        <v>10500000</v>
      </c>
    </row>
    <row r="713" spans="2:25" x14ac:dyDescent="0.25">
      <c r="B713" t="str">
        <f>Siam_Chart[[#This Row],[Name]]</f>
        <v>TEAM</v>
      </c>
      <c r="C713">
        <f>Siam_Chart[[#This Row],[No.]]</f>
        <v>712</v>
      </c>
      <c r="D713">
        <f>Siam_Chart[[#This Row],[Last]]</f>
        <v>5.65</v>
      </c>
      <c r="E713">
        <f>Siam_Chart[[#This Row],[Chg%]]</f>
        <v>2.73</v>
      </c>
      <c r="F713">
        <f>Siam_Chart[[#This Row],[Volume]]</f>
        <v>4227729</v>
      </c>
      <c r="G713">
        <f>Siam_Chart[[#This Row],[Value (k)]]</f>
        <v>23888624.149999999</v>
      </c>
      <c r="H713" cm="1">
        <f t="array" ref="H713:W713">Siam_Chart[[#This Row],[MCap (M)]:[CG]]</f>
        <v>3599408125.25</v>
      </c>
      <c r="I713">
        <v>13.65</v>
      </c>
      <c r="J713">
        <v>2.4300000000000002</v>
      </c>
      <c r="K713">
        <v>0.63546800000000003</v>
      </c>
      <c r="L713">
        <v>0.12</v>
      </c>
      <c r="M713">
        <v>0.23</v>
      </c>
      <c r="N713">
        <v>11.578436999999999</v>
      </c>
      <c r="O713">
        <v>18.672691</v>
      </c>
      <c r="P713">
        <v>9.2675689999999999</v>
      </c>
      <c r="Q713">
        <v>3.54</v>
      </c>
      <c r="R713" t="str">
        <v/>
      </c>
      <c r="S713" t="str">
        <v/>
      </c>
      <c r="T713">
        <v>414</v>
      </c>
      <c r="U713">
        <v>445</v>
      </c>
      <c r="V713">
        <v>4.5999999999999996</v>
      </c>
      <c r="W713">
        <v>0</v>
      </c>
      <c r="X713" s="5">
        <f t="shared" si="25"/>
        <v>2.3251028806584362</v>
      </c>
      <c r="Y713" s="6">
        <f t="shared" si="26"/>
        <v>637063385</v>
      </c>
    </row>
    <row r="714" spans="2:25" x14ac:dyDescent="0.25">
      <c r="B714" t="str">
        <f>Siam_Chart[[#This Row],[Name]]</f>
        <v>TEAMG</v>
      </c>
      <c r="C714">
        <f>Siam_Chart[[#This Row],[No.]]</f>
        <v>713</v>
      </c>
      <c r="D714">
        <f>Siam_Chart[[#This Row],[Last]]</f>
        <v>3.08</v>
      </c>
      <c r="E714">
        <f>Siam_Chart[[#This Row],[Chg%]]</f>
        <v>0</v>
      </c>
      <c r="F714">
        <f>Siam_Chart[[#This Row],[Volume]]</f>
        <v>1051490</v>
      </c>
      <c r="G714">
        <f>Siam_Chart[[#This Row],[Value (k)]]</f>
        <v>3246034</v>
      </c>
      <c r="H714" cm="1">
        <f t="array" ref="H714:W714">Siam_Chart[[#This Row],[MCap (M)]:[CG]]</f>
        <v>2519137633.3200002</v>
      </c>
      <c r="I714">
        <v>11.77</v>
      </c>
      <c r="J714">
        <v>1.92</v>
      </c>
      <c r="K714">
        <v>1.7520340000000001</v>
      </c>
      <c r="L714">
        <v>0.16</v>
      </c>
      <c r="M714">
        <v>0.14000000000000001</v>
      </c>
      <c r="N714">
        <v>8.4280779999999993</v>
      </c>
      <c r="O714">
        <v>16.251189</v>
      </c>
      <c r="P714">
        <v>8.6969969999999996</v>
      </c>
      <c r="Q714">
        <v>5.19</v>
      </c>
      <c r="R714" t="str">
        <v/>
      </c>
      <c r="S714" t="str">
        <v/>
      </c>
      <c r="T714">
        <v>454</v>
      </c>
      <c r="U714">
        <v>547</v>
      </c>
      <c r="V714">
        <v>0.71</v>
      </c>
      <c r="W714">
        <v>5</v>
      </c>
      <c r="X714" s="5">
        <f t="shared" si="25"/>
        <v>1.6041666666666667</v>
      </c>
      <c r="Y714" s="6">
        <f t="shared" si="26"/>
        <v>817901829</v>
      </c>
    </row>
    <row r="715" spans="2:25" x14ac:dyDescent="0.25">
      <c r="B715" t="str">
        <f>Siam_Chart[[#This Row],[Name]]</f>
        <v>TEGH</v>
      </c>
      <c r="C715">
        <f>Siam_Chart[[#This Row],[No.]]</f>
        <v>714</v>
      </c>
      <c r="D715">
        <f>Siam_Chart[[#This Row],[Last]]</f>
        <v>3.26</v>
      </c>
      <c r="E715">
        <f>Siam_Chart[[#This Row],[Chg%]]</f>
        <v>5.84</v>
      </c>
      <c r="F715">
        <f>Siam_Chart[[#This Row],[Volume]]</f>
        <v>11262239</v>
      </c>
      <c r="G715">
        <f>Siam_Chart[[#This Row],[Value (k)]]</f>
        <v>36017478.840000004</v>
      </c>
      <c r="H715" cm="1">
        <f t="array" ref="H715:W715">Siam_Chart[[#This Row],[MCap (M)]:[CG]]</f>
        <v>3520800000</v>
      </c>
      <c r="I715">
        <v>8.98</v>
      </c>
      <c r="J715">
        <v>0.9</v>
      </c>
      <c r="K715">
        <v>1.159986</v>
      </c>
      <c r="L715">
        <v>0.22</v>
      </c>
      <c r="M715">
        <v>0.23</v>
      </c>
      <c r="N715">
        <v>6.3365559999999999</v>
      </c>
      <c r="O715">
        <v>10.160382999999999</v>
      </c>
      <c r="P715">
        <v>2.7838630000000002</v>
      </c>
      <c r="Q715">
        <v>6.75</v>
      </c>
      <c r="R715" t="str">
        <v/>
      </c>
      <c r="S715" t="str">
        <v/>
      </c>
      <c r="T715">
        <v>355</v>
      </c>
      <c r="U715">
        <v>428</v>
      </c>
      <c r="V715">
        <v>0.28000000000000003</v>
      </c>
      <c r="W715">
        <v>5</v>
      </c>
      <c r="X715" s="5">
        <f t="shared" si="25"/>
        <v>3.6222222222222218</v>
      </c>
      <c r="Y715" s="6">
        <f t="shared" si="26"/>
        <v>1080000000</v>
      </c>
    </row>
    <row r="716" spans="2:25" x14ac:dyDescent="0.25">
      <c r="B716" t="str">
        <f>Siam_Chart[[#This Row],[Name]]</f>
        <v>TEKA</v>
      </c>
      <c r="C716">
        <f>Siam_Chart[[#This Row],[No.]]</f>
        <v>715</v>
      </c>
      <c r="D716">
        <f>Siam_Chart[[#This Row],[Last]]</f>
        <v>1.86</v>
      </c>
      <c r="E716">
        <f>Siam_Chart[[#This Row],[Chg%]]</f>
        <v>-0.53</v>
      </c>
      <c r="F716">
        <f>Siam_Chart[[#This Row],[Volume]]</f>
        <v>372200</v>
      </c>
      <c r="G716">
        <f>Siam_Chart[[#This Row],[Value (k)]]</f>
        <v>692305</v>
      </c>
      <c r="H716" cm="1">
        <f t="array" ref="H716:W716">Siam_Chart[[#This Row],[MCap (M)]:[CG]]</f>
        <v>558000000</v>
      </c>
      <c r="I716">
        <v>5.58</v>
      </c>
      <c r="J716">
        <v>0.62</v>
      </c>
      <c r="K716">
        <v>0.92207300000000003</v>
      </c>
      <c r="L716">
        <v>0.15</v>
      </c>
      <c r="M716">
        <v>0.13</v>
      </c>
      <c r="N716">
        <v>7.3612310000000001</v>
      </c>
      <c r="O716">
        <v>11.394698</v>
      </c>
      <c r="P716">
        <v>3.854508</v>
      </c>
      <c r="Q716">
        <v>8.06</v>
      </c>
      <c r="R716" t="str">
        <v/>
      </c>
      <c r="S716" t="str">
        <v/>
      </c>
      <c r="T716">
        <v>288</v>
      </c>
      <c r="U716">
        <v>332</v>
      </c>
      <c r="V716">
        <v>-1.1299999999999999</v>
      </c>
      <c r="W716">
        <v>5</v>
      </c>
      <c r="X716" s="5">
        <f t="shared" si="25"/>
        <v>3</v>
      </c>
      <c r="Y716" s="6">
        <f t="shared" si="26"/>
        <v>300000000</v>
      </c>
    </row>
    <row r="717" spans="2:25" x14ac:dyDescent="0.25">
      <c r="B717" t="str">
        <f>Siam_Chart[[#This Row],[Name]]</f>
        <v>TERA</v>
      </c>
      <c r="C717">
        <f>Siam_Chart[[#This Row],[No.]]</f>
        <v>716</v>
      </c>
      <c r="D717">
        <f>Siam_Chart[[#This Row],[Last]]</f>
        <v>1.38</v>
      </c>
      <c r="E717">
        <f>Siam_Chart[[#This Row],[Chg%]]</f>
        <v>2.2200000000000002</v>
      </c>
      <c r="F717">
        <f>Siam_Chart[[#This Row],[Volume]]</f>
        <v>159405</v>
      </c>
      <c r="G717">
        <f>Siam_Chart[[#This Row],[Value (k)]]</f>
        <v>220825.58</v>
      </c>
      <c r="H717" cm="1">
        <f t="array" ref="H717:W717">Siam_Chart[[#This Row],[MCap (M)]:[CG]]</f>
        <v>331200000</v>
      </c>
      <c r="I717">
        <v>12.36</v>
      </c>
      <c r="J717">
        <v>1.24</v>
      </c>
      <c r="K717">
        <v>1.1202559999999999</v>
      </c>
      <c r="L717">
        <v>3.6999999999999998E-2</v>
      </c>
      <c r="M717">
        <v>0.06</v>
      </c>
      <c r="N717">
        <v>6.441859</v>
      </c>
      <c r="O717">
        <v>10.194213</v>
      </c>
      <c r="P717">
        <v>5.7626030000000004</v>
      </c>
      <c r="Q717">
        <v>4.8600000000000003</v>
      </c>
      <c r="R717" t="str">
        <v/>
      </c>
      <c r="S717" t="str">
        <v/>
      </c>
      <c r="T717">
        <v>568</v>
      </c>
      <c r="U717">
        <v>633</v>
      </c>
      <c r="V717">
        <v>-0.39</v>
      </c>
      <c r="W717">
        <v>0</v>
      </c>
      <c r="X717" s="5">
        <f t="shared" si="25"/>
        <v>1.1129032258064515</v>
      </c>
      <c r="Y717" s="6">
        <f t="shared" si="26"/>
        <v>240000000.00000003</v>
      </c>
    </row>
    <row r="718" spans="2:25" x14ac:dyDescent="0.25">
      <c r="B718" t="str">
        <f>Siam_Chart[[#This Row],[Name]]</f>
        <v>TFG</v>
      </c>
      <c r="C718">
        <f>Siam_Chart[[#This Row],[No.]]</f>
        <v>717</v>
      </c>
      <c r="D718">
        <f>Siam_Chart[[#This Row],[Last]]</f>
        <v>9.9499999999999993</v>
      </c>
      <c r="E718">
        <f>Siam_Chart[[#This Row],[Chg%]]</f>
        <v>0.51</v>
      </c>
      <c r="F718">
        <f>Siam_Chart[[#This Row],[Volume]]</f>
        <v>15713907</v>
      </c>
      <c r="G718">
        <f>Siam_Chart[[#This Row],[Value (k)]]</f>
        <v>156307714.5</v>
      </c>
      <c r="H718" cm="1">
        <f t="array" ref="H718:W718">Siam_Chart[[#This Row],[MCap (M)]:[CG]]</f>
        <v>59071013426.550003</v>
      </c>
      <c r="I718">
        <v>9.27</v>
      </c>
      <c r="J718">
        <v>2.67</v>
      </c>
      <c r="K718">
        <v>1.3408420000000001</v>
      </c>
      <c r="L718">
        <v>0.22500000000000001</v>
      </c>
      <c r="M718">
        <v>0.6</v>
      </c>
      <c r="N718">
        <v>16.707478999999999</v>
      </c>
      <c r="O718">
        <v>30.912557</v>
      </c>
      <c r="P718">
        <v>9.7220049999999993</v>
      </c>
      <c r="Q718">
        <v>6.9</v>
      </c>
      <c r="R718" t="str">
        <v/>
      </c>
      <c r="S718" t="str">
        <v/>
      </c>
      <c r="T718">
        <v>235</v>
      </c>
      <c r="U718">
        <v>255</v>
      </c>
      <c r="V718">
        <v>0.13</v>
      </c>
      <c r="W718">
        <v>5</v>
      </c>
      <c r="X718" s="5">
        <f t="shared" si="25"/>
        <v>3.7265917602996255</v>
      </c>
      <c r="Y718" s="6">
        <f t="shared" si="26"/>
        <v>5936785269.000001</v>
      </c>
    </row>
    <row r="719" spans="2:25" x14ac:dyDescent="0.25">
      <c r="B719" t="str">
        <f>Siam_Chart[[#This Row],[Name]]</f>
        <v>TFI</v>
      </c>
      <c r="C719">
        <f>Siam_Chart[[#This Row],[No.]]</f>
        <v>718</v>
      </c>
      <c r="D719">
        <f>Siam_Chart[[#This Row],[Last]]</f>
        <v>0.03</v>
      </c>
      <c r="E719">
        <f>Siam_Chart[[#This Row],[Chg%]]</f>
        <v>-25</v>
      </c>
      <c r="F719">
        <f>Siam_Chart[[#This Row],[Volume]]</f>
        <v>202600</v>
      </c>
      <c r="G719">
        <f>Siam_Chart[[#This Row],[Value (k)]]</f>
        <v>8090</v>
      </c>
      <c r="H719" cm="1">
        <f t="array" ref="H719:W719">Siam_Chart[[#This Row],[MCap (M)]:[CG]]</f>
        <v>504787094.69999999</v>
      </c>
      <c r="I719">
        <v>841311824.5</v>
      </c>
      <c r="J719">
        <v>0.32</v>
      </c>
      <c r="K719">
        <v>0.531779</v>
      </c>
      <c r="L719">
        <v>-0.01</v>
      </c>
      <c r="M719">
        <v>-0.01</v>
      </c>
      <c r="N719">
        <v>-14.147147</v>
      </c>
      <c r="O719">
        <v>-17.902010000000001</v>
      </c>
      <c r="P719">
        <v>-59.582763999999997</v>
      </c>
      <c r="Q719">
        <v>0.54</v>
      </c>
      <c r="R719" t="str">
        <v/>
      </c>
      <c r="S719" t="str">
        <v/>
      </c>
      <c r="T719">
        <v>0</v>
      </c>
      <c r="U719">
        <v>0</v>
      </c>
      <c r="V719">
        <v>0</v>
      </c>
      <c r="W719">
        <v>3</v>
      </c>
      <c r="X719" s="5">
        <f t="shared" si="25"/>
        <v>9.375E-2</v>
      </c>
      <c r="Y719" s="6">
        <f t="shared" si="26"/>
        <v>16826236490</v>
      </c>
    </row>
    <row r="720" spans="2:25" x14ac:dyDescent="0.25">
      <c r="B720" t="str">
        <f>Siam_Chart[[#This Row],[Name]]</f>
        <v>TFM</v>
      </c>
      <c r="C720">
        <f>Siam_Chart[[#This Row],[No.]]</f>
        <v>719</v>
      </c>
      <c r="D720">
        <f>Siam_Chart[[#This Row],[Last]]</f>
        <v>6.35</v>
      </c>
      <c r="E720">
        <f>Siam_Chart[[#This Row],[Chg%]]</f>
        <v>0</v>
      </c>
      <c r="F720">
        <f>Siam_Chart[[#This Row],[Volume]]</f>
        <v>213410</v>
      </c>
      <c r="G720">
        <f>Siam_Chart[[#This Row],[Value (k)]]</f>
        <v>1358314</v>
      </c>
      <c r="H720" cm="1">
        <f t="array" ref="H720:W720">Siam_Chart[[#This Row],[MCap (M)]:[CG]]</f>
        <v>6350000000</v>
      </c>
      <c r="I720">
        <v>8.8699999999999992</v>
      </c>
      <c r="J720">
        <v>2.5</v>
      </c>
      <c r="K720">
        <v>0.36096699999999998</v>
      </c>
      <c r="L720">
        <v>0.18</v>
      </c>
      <c r="M720">
        <v>0.31</v>
      </c>
      <c r="N720">
        <v>20.293405</v>
      </c>
      <c r="O720">
        <v>28.716277000000002</v>
      </c>
      <c r="P720">
        <v>10.581251</v>
      </c>
      <c r="Q720">
        <v>9.4499999999999993</v>
      </c>
      <c r="R720" t="str">
        <v/>
      </c>
      <c r="S720" t="str">
        <v/>
      </c>
      <c r="T720">
        <v>236</v>
      </c>
      <c r="U720">
        <v>223</v>
      </c>
      <c r="V720">
        <v>0.08</v>
      </c>
      <c r="W720">
        <v>4</v>
      </c>
      <c r="X720" s="5">
        <f t="shared" si="25"/>
        <v>2.54</v>
      </c>
      <c r="Y720" s="6">
        <f t="shared" si="26"/>
        <v>1000000000</v>
      </c>
    </row>
    <row r="721" spans="2:25" x14ac:dyDescent="0.25">
      <c r="B721" t="str">
        <f>Siam_Chart[[#This Row],[Name]]</f>
        <v>TFMAMA</v>
      </c>
      <c r="C721">
        <f>Siam_Chart[[#This Row],[No.]]</f>
        <v>720</v>
      </c>
      <c r="D721">
        <f>Siam_Chart[[#This Row],[Last]]</f>
        <v>185.5</v>
      </c>
      <c r="E721">
        <f>Siam_Chart[[#This Row],[Chg%]]</f>
        <v>-0.27</v>
      </c>
      <c r="F721">
        <f>Siam_Chart[[#This Row],[Volume]]</f>
        <v>7900</v>
      </c>
      <c r="G721">
        <f>Siam_Chart[[#This Row],[Value (k)]]</f>
        <v>1469155</v>
      </c>
      <c r="H721" cm="1">
        <f t="array" ref="H721:W721">Siam_Chart[[#This Row],[MCap (M)]:[CG]]</f>
        <v>61160094597</v>
      </c>
      <c r="I721">
        <v>16.920000000000002</v>
      </c>
      <c r="J721">
        <v>1.62</v>
      </c>
      <c r="K721">
        <v>9.6240000000000006E-2</v>
      </c>
      <c r="L721">
        <v>2.02</v>
      </c>
      <c r="M721">
        <v>5.54</v>
      </c>
      <c r="N721">
        <v>10.437697</v>
      </c>
      <c r="O721">
        <v>9.9050930000000008</v>
      </c>
      <c r="P721">
        <v>16.670584999999999</v>
      </c>
      <c r="Q721">
        <v>2.46</v>
      </c>
      <c r="R721" t="str">
        <v/>
      </c>
      <c r="S721" t="str">
        <v/>
      </c>
      <c r="T721">
        <v>787</v>
      </c>
      <c r="U721">
        <v>658</v>
      </c>
      <c r="V721">
        <v>4.57</v>
      </c>
      <c r="W721">
        <v>5</v>
      </c>
      <c r="X721" s="5">
        <f t="shared" si="25"/>
        <v>114.50617283950616</v>
      </c>
      <c r="Y721" s="6">
        <f t="shared" si="26"/>
        <v>329704014</v>
      </c>
    </row>
    <row r="722" spans="2:25" x14ac:dyDescent="0.25">
      <c r="B722" t="str">
        <f>Siam_Chart[[#This Row],[Name]]</f>
        <v>TGE</v>
      </c>
      <c r="C722">
        <f>Siam_Chart[[#This Row],[No.]]</f>
        <v>721</v>
      </c>
      <c r="D722">
        <f>Siam_Chart[[#This Row],[Last]]</f>
        <v>1.1399999999999999</v>
      </c>
      <c r="E722">
        <f>Siam_Chart[[#This Row],[Chg%]]</f>
        <v>-0.87</v>
      </c>
      <c r="F722">
        <f>Siam_Chart[[#This Row],[Volume]]</f>
        <v>586335</v>
      </c>
      <c r="G722">
        <f>Siam_Chart[[#This Row],[Value (k)]]</f>
        <v>666611.75</v>
      </c>
      <c r="H722" cm="1">
        <f t="array" ref="H722:W722">Siam_Chart[[#This Row],[MCap (M)]:[CG]]</f>
        <v>2863327917.8400002</v>
      </c>
      <c r="I722">
        <v>13.64</v>
      </c>
      <c r="J722">
        <v>0.9</v>
      </c>
      <c r="K722">
        <v>0.31269000000000002</v>
      </c>
      <c r="L722">
        <v>3.1900000000000001E-3</v>
      </c>
      <c r="M722">
        <v>0.04</v>
      </c>
      <c r="N722">
        <v>5.958196</v>
      </c>
      <c r="O722">
        <v>6.7743989999999998</v>
      </c>
      <c r="P722">
        <v>18.166463</v>
      </c>
      <c r="Q722">
        <v>0.28000000000000003</v>
      </c>
      <c r="R722" t="str">
        <v/>
      </c>
      <c r="S722" t="str">
        <v/>
      </c>
      <c r="T722">
        <v>753</v>
      </c>
      <c r="U722">
        <v>693</v>
      </c>
      <c r="V722">
        <v>3.43</v>
      </c>
      <c r="W722">
        <v>5</v>
      </c>
      <c r="X722" s="5">
        <f t="shared" si="25"/>
        <v>1.2666666666666666</v>
      </c>
      <c r="Y722" s="6">
        <f t="shared" si="26"/>
        <v>2511691156.0000005</v>
      </c>
    </row>
    <row r="723" spans="2:25" x14ac:dyDescent="0.25">
      <c r="B723" t="str">
        <f>Siam_Chart[[#This Row],[Name]]</f>
        <v>TGH</v>
      </c>
      <c r="C723">
        <f>Siam_Chart[[#This Row],[No.]]</f>
        <v>722</v>
      </c>
      <c r="D723">
        <f>Siam_Chart[[#This Row],[Last]]</f>
        <v>10.9</v>
      </c>
      <c r="E723">
        <f>Siam_Chart[[#This Row],[Chg%]]</f>
        <v>-1.8</v>
      </c>
      <c r="F723">
        <f>Siam_Chart[[#This Row],[Volume]]</f>
        <v>3003</v>
      </c>
      <c r="G723">
        <f>Siam_Chart[[#This Row],[Value (k)]]</f>
        <v>33234.5</v>
      </c>
      <c r="H723" cm="1">
        <f t="array" ref="H723:W723">Siam_Chart[[#This Row],[MCap (M)]:[CG]]</f>
        <v>8197866368.8000002</v>
      </c>
      <c r="I723">
        <v>7.68</v>
      </c>
      <c r="J723">
        <v>0.74</v>
      </c>
      <c r="K723">
        <v>7.2004000000000001</v>
      </c>
      <c r="L723">
        <v>0.1</v>
      </c>
      <c r="M723">
        <v>0.68</v>
      </c>
      <c r="N723">
        <v>2.145931</v>
      </c>
      <c r="O723">
        <v>10.399737</v>
      </c>
      <c r="P723">
        <v>5.6740320000000004</v>
      </c>
      <c r="Q723">
        <v>0.92</v>
      </c>
      <c r="R723" t="str">
        <v/>
      </c>
      <c r="S723" t="str">
        <v/>
      </c>
      <c r="T723">
        <v>291</v>
      </c>
      <c r="U723">
        <v>758</v>
      </c>
      <c r="V723">
        <v>0.05</v>
      </c>
      <c r="W723">
        <v>5</v>
      </c>
      <c r="X723" s="5">
        <f t="shared" si="25"/>
        <v>14.72972972972973</v>
      </c>
      <c r="Y723" s="6">
        <f t="shared" si="26"/>
        <v>752097832</v>
      </c>
    </row>
    <row r="724" spans="2:25" x14ac:dyDescent="0.25">
      <c r="B724" t="str">
        <f>Siam_Chart[[#This Row],[Name]]</f>
        <v>TGPRO</v>
      </c>
      <c r="C724">
        <f>Siam_Chart[[#This Row],[No.]]</f>
        <v>723</v>
      </c>
      <c r="D724">
        <f>Siam_Chart[[#This Row],[Last]]</f>
        <v>0.03</v>
      </c>
      <c r="E724">
        <f>Siam_Chart[[#This Row],[Chg%]]</f>
        <v>-25</v>
      </c>
      <c r="F724">
        <f>Siam_Chart[[#This Row],[Volume]]</f>
        <v>1527200</v>
      </c>
      <c r="G724">
        <f>Siam_Chart[[#This Row],[Value (k)]]</f>
        <v>45830</v>
      </c>
      <c r="H724" cm="1">
        <f t="array" ref="H724:W724">Siam_Chart[[#This Row],[MCap (M)]:[CG]]</f>
        <v>141583796.81999999</v>
      </c>
      <c r="I724">
        <v>188778395.75999999</v>
      </c>
      <c r="J724">
        <v>0.09</v>
      </c>
      <c r="K724">
        <v>0.66802700000000004</v>
      </c>
      <c r="L724">
        <v>-0.01</v>
      </c>
      <c r="M724">
        <v>-0.01</v>
      </c>
      <c r="N724">
        <v>-3.7520579999999999</v>
      </c>
      <c r="O724">
        <v>-8.7327189999999995</v>
      </c>
      <c r="P724">
        <v>-5.5350109999999999</v>
      </c>
      <c r="Q724">
        <v>0.12</v>
      </c>
      <c r="R724" t="str">
        <v/>
      </c>
      <c r="S724" t="str">
        <v/>
      </c>
      <c r="T724">
        <v>0</v>
      </c>
      <c r="U724">
        <v>0</v>
      </c>
      <c r="V724">
        <v>0</v>
      </c>
      <c r="W724">
        <v>0</v>
      </c>
      <c r="X724" s="5">
        <f t="shared" si="25"/>
        <v>0.33333333333333331</v>
      </c>
      <c r="Y724" s="6">
        <f t="shared" si="26"/>
        <v>4719459894</v>
      </c>
    </row>
    <row r="725" spans="2:25" x14ac:dyDescent="0.25">
      <c r="B725" t="str">
        <f>Siam_Chart[[#This Row],[Name]]</f>
        <v>TH</v>
      </c>
      <c r="C725">
        <f>Siam_Chart[[#This Row],[No.]]</f>
        <v>724</v>
      </c>
      <c r="D725">
        <f>Siam_Chart[[#This Row],[Last]]</f>
        <v>0.46</v>
      </c>
      <c r="E725">
        <f>Siam_Chart[[#This Row],[Chg%]]</f>
        <v>-4.17</v>
      </c>
      <c r="F725">
        <f>Siam_Chart[[#This Row],[Volume]]</f>
        <v>463900</v>
      </c>
      <c r="G725">
        <f>Siam_Chart[[#This Row],[Value (k)]]</f>
        <v>217615</v>
      </c>
      <c r="H725" cm="1">
        <f t="array" ref="H725:W725">Siam_Chart[[#This Row],[MCap (M)]:[CG]]</f>
        <v>459239083.63999999</v>
      </c>
      <c r="I725">
        <v>7.15</v>
      </c>
      <c r="J725">
        <v>0.27</v>
      </c>
      <c r="K725">
        <v>2.4001999999999999E-2</v>
      </c>
      <c r="L725">
        <v>0.02</v>
      </c>
      <c r="M725">
        <v>0.02</v>
      </c>
      <c r="N725">
        <v>4.7753399999999999</v>
      </c>
      <c r="O725">
        <v>3.8854380000000002</v>
      </c>
      <c r="P725">
        <v>13.851742</v>
      </c>
      <c r="Q725">
        <v>0.27</v>
      </c>
      <c r="R725" t="str">
        <v/>
      </c>
      <c r="S725" t="str">
        <v/>
      </c>
      <c r="T725">
        <v>1204</v>
      </c>
      <c r="U725">
        <v>1208</v>
      </c>
      <c r="V725">
        <v>2.93</v>
      </c>
      <c r="W725">
        <v>0</v>
      </c>
      <c r="X725" s="5">
        <f t="shared" si="25"/>
        <v>1.7037037037037037</v>
      </c>
      <c r="Y725" s="6">
        <f t="shared" si="26"/>
        <v>998345833.99999988</v>
      </c>
    </row>
    <row r="726" spans="2:25" x14ac:dyDescent="0.25">
      <c r="B726" t="str">
        <f>Siam_Chart[[#This Row],[Name]]</f>
        <v>THAI</v>
      </c>
      <c r="C726">
        <f>Siam_Chart[[#This Row],[No.]]</f>
        <v>725</v>
      </c>
      <c r="D726">
        <f>Siam_Chart[[#This Row],[Last]]</f>
        <v>5.95</v>
      </c>
      <c r="E726">
        <f>Siam_Chart[[#This Row],[Chg%]]</f>
        <v>0.85</v>
      </c>
      <c r="F726">
        <f>Siam_Chart[[#This Row],[Volume]]</f>
        <v>105207139</v>
      </c>
      <c r="G726">
        <f>Siam_Chart[[#This Row],[Value (k)]]</f>
        <v>622256951.29999995</v>
      </c>
      <c r="H726" cm="1">
        <f t="array" ref="H726:W726">Siam_Chart[[#This Row],[MCap (M)]:[CG]]</f>
        <v>168404584823.64999</v>
      </c>
      <c r="I726">
        <v>8.18</v>
      </c>
      <c r="J726">
        <v>2.06</v>
      </c>
      <c r="K726">
        <v>2.9358949999999999</v>
      </c>
      <c r="L726">
        <v>0.21</v>
      </c>
      <c r="M726">
        <v>0.41</v>
      </c>
      <c r="N726">
        <v>10.208079</v>
      </c>
      <c r="O726">
        <v>27.571539000000001</v>
      </c>
      <c r="P726">
        <v>11.294900999999999</v>
      </c>
      <c r="Q726">
        <v>3.53</v>
      </c>
      <c r="R726" t="str">
        <v/>
      </c>
      <c r="S726" t="str">
        <v/>
      </c>
      <c r="T726">
        <v>69</v>
      </c>
      <c r="U726">
        <v>137</v>
      </c>
      <c r="V726">
        <v>0</v>
      </c>
      <c r="W726">
        <v>0</v>
      </c>
      <c r="X726" s="5">
        <f t="shared" si="25"/>
        <v>2.8883495145631066</v>
      </c>
      <c r="Y726" s="6">
        <f t="shared" si="26"/>
        <v>28303291567</v>
      </c>
    </row>
    <row r="727" spans="2:25" x14ac:dyDescent="0.25">
      <c r="B727" t="str">
        <f>Siam_Chart[[#This Row],[Name]]</f>
        <v>THANA</v>
      </c>
      <c r="C727">
        <f>Siam_Chart[[#This Row],[No.]]</f>
        <v>726</v>
      </c>
      <c r="D727">
        <f>Siam_Chart[[#This Row],[Last]]</f>
        <v>1.59</v>
      </c>
      <c r="E727">
        <f>Siam_Chart[[#This Row],[Chg%]]</f>
        <v>0</v>
      </c>
      <c r="F727">
        <f>Siam_Chart[[#This Row],[Volume]]</f>
        <v>51000</v>
      </c>
      <c r="G727">
        <f>Siam_Chart[[#This Row],[Value (k)]]</f>
        <v>81090</v>
      </c>
      <c r="H727" cm="1">
        <f t="array" ref="H727:W727">Siam_Chart[[#This Row],[MCap (M)]:[CG]]</f>
        <v>441026924.16000003</v>
      </c>
      <c r="I727">
        <v>432705661.44</v>
      </c>
      <c r="J727">
        <v>0.82</v>
      </c>
      <c r="K727">
        <v>1.516867</v>
      </c>
      <c r="L727">
        <v>1.6E-2</v>
      </c>
      <c r="M727">
        <v>-0.09</v>
      </c>
      <c r="N727">
        <v>-1.407446</v>
      </c>
      <c r="O727">
        <v>-4.2887529999999998</v>
      </c>
      <c r="P727">
        <v>-16.261137999999999</v>
      </c>
      <c r="Q727">
        <v>0.8</v>
      </c>
      <c r="R727" t="str">
        <v/>
      </c>
      <c r="S727" t="str">
        <v/>
      </c>
      <c r="T727">
        <v>0</v>
      </c>
      <c r="U727">
        <v>0</v>
      </c>
      <c r="V727">
        <v>0</v>
      </c>
      <c r="W727">
        <v>5</v>
      </c>
      <c r="X727" s="5">
        <f t="shared" si="25"/>
        <v>1.9390243902439026</v>
      </c>
      <c r="Y727" s="6">
        <f t="shared" si="26"/>
        <v>277375424</v>
      </c>
    </row>
    <row r="728" spans="2:25" x14ac:dyDescent="0.25">
      <c r="B728" t="str">
        <f>Siam_Chart[[#This Row],[Name]]</f>
        <v>THANI</v>
      </c>
      <c r="C728">
        <f>Siam_Chart[[#This Row],[No.]]</f>
        <v>727</v>
      </c>
      <c r="D728">
        <f>Siam_Chart[[#This Row],[Last]]</f>
        <v>2.16</v>
      </c>
      <c r="E728">
        <f>Siam_Chart[[#This Row],[Chg%]]</f>
        <v>0</v>
      </c>
      <c r="F728">
        <f>Siam_Chart[[#This Row],[Volume]]</f>
        <v>11099312</v>
      </c>
      <c r="G728">
        <f>Siam_Chart[[#This Row],[Value (k)]]</f>
        <v>23813961.899999999</v>
      </c>
      <c r="H728" cm="1">
        <f t="array" ref="H728:W728">Siam_Chart[[#This Row],[MCap (M)]:[CG]]</f>
        <v>13455349970.4</v>
      </c>
      <c r="I728">
        <v>10.23</v>
      </c>
      <c r="J728">
        <v>0.96</v>
      </c>
      <c r="K728">
        <v>1.756481</v>
      </c>
      <c r="L728">
        <v>0.11</v>
      </c>
      <c r="M728">
        <v>0.11</v>
      </c>
      <c r="N728">
        <v>6.0857999999999999</v>
      </c>
      <c r="O728">
        <v>9.549614</v>
      </c>
      <c r="P728">
        <v>40.528104999999996</v>
      </c>
      <c r="Q728">
        <v>5.09</v>
      </c>
      <c r="R728" t="str">
        <v/>
      </c>
      <c r="S728" t="str">
        <v/>
      </c>
      <c r="T728">
        <v>580</v>
      </c>
      <c r="U728">
        <v>842</v>
      </c>
      <c r="V728">
        <v>-2.37</v>
      </c>
      <c r="W728">
        <v>5</v>
      </c>
      <c r="X728" s="5">
        <f t="shared" si="25"/>
        <v>2.2500000000000004</v>
      </c>
      <c r="Y728" s="6">
        <f t="shared" si="26"/>
        <v>6229328689.999999</v>
      </c>
    </row>
    <row r="729" spans="2:25" x14ac:dyDescent="0.25">
      <c r="B729" t="str">
        <f>Siam_Chart[[#This Row],[Name]]</f>
        <v>THCOM</v>
      </c>
      <c r="C729">
        <f>Siam_Chart[[#This Row],[No.]]</f>
        <v>728</v>
      </c>
      <c r="D729">
        <f>Siam_Chart[[#This Row],[Last]]</f>
        <v>11.1</v>
      </c>
      <c r="E729">
        <f>Siam_Chart[[#This Row],[Chg%]]</f>
        <v>-1.77</v>
      </c>
      <c r="F729">
        <f>Siam_Chart[[#This Row],[Volume]]</f>
        <v>2182422</v>
      </c>
      <c r="G729">
        <f>Siam_Chart[[#This Row],[Value (k)]]</f>
        <v>24403471.800000001</v>
      </c>
      <c r="H729" cm="1">
        <f t="array" ref="H729:W729">Siam_Chart[[#This Row],[MCap (M)]:[CG]]</f>
        <v>12166731689.4</v>
      </c>
      <c r="I729">
        <v>19.37</v>
      </c>
      <c r="J729">
        <v>1.1599999999999999</v>
      </c>
      <c r="K729">
        <v>0.62659500000000001</v>
      </c>
      <c r="L729">
        <v>0.13</v>
      </c>
      <c r="M729">
        <v>0.46</v>
      </c>
      <c r="N729">
        <v>4.8947279999999997</v>
      </c>
      <c r="O729">
        <v>6.1306000000000003</v>
      </c>
      <c r="P729">
        <v>32.563335000000002</v>
      </c>
      <c r="Q729">
        <v>1.1399999999999999</v>
      </c>
      <c r="R729" t="str">
        <v/>
      </c>
      <c r="S729" t="str">
        <v/>
      </c>
      <c r="T729">
        <v>982</v>
      </c>
      <c r="U729">
        <v>968</v>
      </c>
      <c r="V729">
        <v>0.26</v>
      </c>
      <c r="W729">
        <v>5</v>
      </c>
      <c r="X729" s="5">
        <f t="shared" si="25"/>
        <v>9.568965517241379</v>
      </c>
      <c r="Y729" s="6">
        <f t="shared" si="26"/>
        <v>1096101954</v>
      </c>
    </row>
    <row r="730" spans="2:25" x14ac:dyDescent="0.25">
      <c r="B730" t="str">
        <f>Siam_Chart[[#This Row],[Name]]</f>
        <v>THE</v>
      </c>
      <c r="C730">
        <f>Siam_Chart[[#This Row],[No.]]</f>
        <v>729</v>
      </c>
      <c r="D730">
        <f>Siam_Chart[[#This Row],[Last]]</f>
        <v>0.88</v>
      </c>
      <c r="E730">
        <f>Siam_Chart[[#This Row],[Chg%]]</f>
        <v>2.33</v>
      </c>
      <c r="F730">
        <f>Siam_Chart[[#This Row],[Volume]]</f>
        <v>57751302</v>
      </c>
      <c r="G730">
        <f>Siam_Chart[[#This Row],[Value (k)]]</f>
        <v>58348948.219999999</v>
      </c>
      <c r="H730" cm="1">
        <f t="array" ref="H730:W730">Siam_Chart[[#This Row],[MCap (M)]:[CG]]</f>
        <v>969814018.79999995</v>
      </c>
      <c r="I730">
        <v>10.64</v>
      </c>
      <c r="J730">
        <v>0.48</v>
      </c>
      <c r="K730">
        <v>0.53312599999999999</v>
      </c>
      <c r="L730">
        <v>0.1</v>
      </c>
      <c r="M730">
        <v>0.13</v>
      </c>
      <c r="N730">
        <v>4.1244310000000004</v>
      </c>
      <c r="O730">
        <v>4.6242359999999998</v>
      </c>
      <c r="P730">
        <v>4.7929979999999999</v>
      </c>
      <c r="Q730">
        <v>0.44</v>
      </c>
      <c r="R730" t="str">
        <v/>
      </c>
      <c r="S730" t="str">
        <v/>
      </c>
      <c r="T730">
        <v>1368</v>
      </c>
      <c r="U730">
        <v>1326</v>
      </c>
      <c r="V730">
        <v>-5.88</v>
      </c>
      <c r="W730">
        <v>0</v>
      </c>
      <c r="X730" s="5">
        <f t="shared" si="25"/>
        <v>1.8333333333333335</v>
      </c>
      <c r="Y730" s="6">
        <f t="shared" si="26"/>
        <v>1102061385</v>
      </c>
    </row>
    <row r="731" spans="2:25" x14ac:dyDescent="0.25">
      <c r="B731" t="str">
        <f>Siam_Chart[[#This Row],[Name]]</f>
        <v>THG</v>
      </c>
      <c r="C731">
        <f>Siam_Chart[[#This Row],[No.]]</f>
        <v>730</v>
      </c>
      <c r="D731">
        <f>Siam_Chart[[#This Row],[Last]]</f>
        <v>7.55</v>
      </c>
      <c r="E731">
        <f>Siam_Chart[[#This Row],[Chg%]]</f>
        <v>-0.66</v>
      </c>
      <c r="F731">
        <f>Siam_Chart[[#This Row],[Volume]]</f>
        <v>579837</v>
      </c>
      <c r="G731">
        <f>Siam_Chart[[#This Row],[Value (k)]]</f>
        <v>4403072.25</v>
      </c>
      <c r="H731" cm="1">
        <f t="array" ref="H731:W731">Siam_Chart[[#This Row],[MCap (M)]:[CG]]</f>
        <v>13508115418</v>
      </c>
      <c r="I731">
        <v>79.47</v>
      </c>
      <c r="J731">
        <v>1.01</v>
      </c>
      <c r="K731">
        <v>0.389741</v>
      </c>
      <c r="L731">
        <v>0.14000000000000001</v>
      </c>
      <c r="M731">
        <v>0.05</v>
      </c>
      <c r="N731">
        <v>3.1987030000000001</v>
      </c>
      <c r="O731">
        <v>1.6629719999999999</v>
      </c>
      <c r="P731">
        <v>2.4304790000000001</v>
      </c>
      <c r="Q731">
        <v>1.85</v>
      </c>
      <c r="R731" t="str">
        <v/>
      </c>
      <c r="S731" t="str">
        <v/>
      </c>
      <c r="T731">
        <v>1300</v>
      </c>
      <c r="U731">
        <v>1219</v>
      </c>
      <c r="V731">
        <v>-0.37</v>
      </c>
      <c r="W731">
        <v>3</v>
      </c>
      <c r="X731" s="5">
        <f t="shared" si="25"/>
        <v>7.4752475247524748</v>
      </c>
      <c r="Y731" s="6">
        <f t="shared" si="26"/>
        <v>1789154360</v>
      </c>
    </row>
    <row r="732" spans="2:25" x14ac:dyDescent="0.25">
      <c r="B732" t="str">
        <f>Siam_Chart[[#This Row],[Name]]</f>
        <v>THIP</v>
      </c>
      <c r="C732">
        <f>Siam_Chart[[#This Row],[No.]]</f>
        <v>731</v>
      </c>
      <c r="D732">
        <f>Siam_Chart[[#This Row],[Last]]</f>
        <v>23</v>
      </c>
      <c r="E732">
        <f>Siam_Chart[[#This Row],[Chg%]]</f>
        <v>-0.86</v>
      </c>
      <c r="F732">
        <f>Siam_Chart[[#This Row],[Volume]]</f>
        <v>10159</v>
      </c>
      <c r="G732">
        <f>Siam_Chart[[#This Row],[Value (k)]]</f>
        <v>233859.6</v>
      </c>
      <c r="H732" cm="1">
        <f t="array" ref="H732:W732">Siam_Chart[[#This Row],[MCap (M)]:[CG]]</f>
        <v>2069992778</v>
      </c>
      <c r="I732">
        <v>12.68</v>
      </c>
      <c r="J732">
        <v>0.73</v>
      </c>
      <c r="K732">
        <v>0.449822</v>
      </c>
      <c r="L732">
        <v>0.55000000000000004</v>
      </c>
      <c r="M732">
        <v>1.1599999999999999</v>
      </c>
      <c r="N732">
        <v>6.4116410000000004</v>
      </c>
      <c r="O732">
        <v>5.7844059999999997</v>
      </c>
      <c r="P732">
        <v>4.6073139999999997</v>
      </c>
      <c r="Q732">
        <v>6.96</v>
      </c>
      <c r="R732" t="str">
        <v/>
      </c>
      <c r="S732" t="str">
        <v/>
      </c>
      <c r="T732">
        <v>841</v>
      </c>
      <c r="U732">
        <v>700</v>
      </c>
      <c r="V732">
        <v>-1.02</v>
      </c>
      <c r="W732">
        <v>5</v>
      </c>
      <c r="X732" s="5">
        <f t="shared" si="25"/>
        <v>31.506849315068493</v>
      </c>
      <c r="Y732" s="6">
        <f t="shared" si="26"/>
        <v>89999686</v>
      </c>
    </row>
    <row r="733" spans="2:25" x14ac:dyDescent="0.25">
      <c r="B733" t="str">
        <f>Siam_Chart[[#This Row],[Name]]</f>
        <v>THMUI</v>
      </c>
      <c r="C733">
        <f>Siam_Chart[[#This Row],[No.]]</f>
        <v>732</v>
      </c>
      <c r="D733">
        <f>Siam_Chart[[#This Row],[Last]]</f>
        <v>0.32</v>
      </c>
      <c r="E733">
        <f>Siam_Chart[[#This Row],[Chg%]]</f>
        <v>0</v>
      </c>
      <c r="F733">
        <f>Siam_Chart[[#This Row],[Volume]]</f>
        <v>574710</v>
      </c>
      <c r="G733">
        <f>Siam_Chart[[#This Row],[Value (k)]]</f>
        <v>186127.6</v>
      </c>
      <c r="H733" cm="1">
        <f t="array" ref="H733:W733">Siam_Chart[[#This Row],[MCap (M)]:[CG]]</f>
        <v>136000000</v>
      </c>
      <c r="I733">
        <v>9.5399999999999991</v>
      </c>
      <c r="J733">
        <v>0.37</v>
      </c>
      <c r="K733">
        <v>0.802651</v>
      </c>
      <c r="L733">
        <v>0</v>
      </c>
      <c r="M733">
        <v>4.5760147411430108</v>
      </c>
      <c r="N733">
        <v>4.5760149999999999</v>
      </c>
      <c r="O733">
        <v>4.2629460000000003</v>
      </c>
      <c r="P733">
        <v>6.5129999999999993E-2</v>
      </c>
      <c r="Q733">
        <v>0.35</v>
      </c>
      <c r="R733" t="str">
        <v/>
      </c>
      <c r="S733" t="str">
        <v/>
      </c>
      <c r="T733">
        <v>729</v>
      </c>
      <c r="U733">
        <v>651</v>
      </c>
      <c r="V733">
        <v>-0.01</v>
      </c>
      <c r="W733">
        <v>0</v>
      </c>
      <c r="X733" s="5">
        <f t="shared" si="25"/>
        <v>0.86486486486486491</v>
      </c>
      <c r="Y733" s="6">
        <f t="shared" si="26"/>
        <v>425000000</v>
      </c>
    </row>
    <row r="734" spans="2:25" x14ac:dyDescent="0.25">
      <c r="B734" t="str">
        <f>Siam_Chart[[#This Row],[Name]]</f>
        <v>THRE</v>
      </c>
      <c r="C734">
        <f>Siam_Chart[[#This Row],[No.]]</f>
        <v>733</v>
      </c>
      <c r="D734">
        <f>Siam_Chart[[#This Row],[Last]]</f>
        <v>0.56999999999999995</v>
      </c>
      <c r="E734">
        <f>Siam_Chart[[#This Row],[Chg%]]</f>
        <v>-3.39</v>
      </c>
      <c r="F734">
        <f>Siam_Chart[[#This Row],[Volume]]</f>
        <v>48381438</v>
      </c>
      <c r="G734">
        <f>Siam_Chart[[#This Row],[Value (k)]]</f>
        <v>28741911.949999999</v>
      </c>
      <c r="H734" cm="1">
        <f t="array" ref="H734:W734">Siam_Chart[[#This Row],[MCap (M)]:[CG]]</f>
        <v>2402546484.2399998</v>
      </c>
      <c r="I734">
        <v>15.18</v>
      </c>
      <c r="J734">
        <v>0.61</v>
      </c>
      <c r="K734">
        <v>0.55016799999999999</v>
      </c>
      <c r="L734">
        <v>0.04</v>
      </c>
      <c r="M734">
        <v>0.05</v>
      </c>
      <c r="N734">
        <v>3.2165870000000001</v>
      </c>
      <c r="O734">
        <v>4.1482720000000004</v>
      </c>
      <c r="P734">
        <v>12.521243999999999</v>
      </c>
      <c r="Q734">
        <v>0.48</v>
      </c>
      <c r="R734" t="str">
        <v/>
      </c>
      <c r="S734" t="str">
        <v/>
      </c>
      <c r="T734">
        <v>908</v>
      </c>
      <c r="U734">
        <v>948</v>
      </c>
      <c r="V734">
        <v>-0.15</v>
      </c>
      <c r="W734">
        <v>5</v>
      </c>
      <c r="X734" s="5">
        <f t="shared" si="25"/>
        <v>0.93442622950819665</v>
      </c>
      <c r="Y734" s="6">
        <f t="shared" si="26"/>
        <v>4214993832</v>
      </c>
    </row>
    <row r="735" spans="2:25" x14ac:dyDescent="0.25">
      <c r="B735" t="str">
        <f>Siam_Chart[[#This Row],[Name]]</f>
        <v>THREL</v>
      </c>
      <c r="C735">
        <f>Siam_Chart[[#This Row],[No.]]</f>
        <v>734</v>
      </c>
      <c r="D735">
        <f>Siam_Chart[[#This Row],[Last]]</f>
        <v>1.37</v>
      </c>
      <c r="E735">
        <f>Siam_Chart[[#This Row],[Chg%]]</f>
        <v>-8.67</v>
      </c>
      <c r="F735">
        <f>Siam_Chart[[#This Row],[Volume]]</f>
        <v>11343474</v>
      </c>
      <c r="G735">
        <f>Siam_Chart[[#This Row],[Value (k)]]</f>
        <v>16038248.82</v>
      </c>
      <c r="H735" cm="1">
        <f t="array" ref="H735:W735">Siam_Chart[[#This Row],[MCap (M)]:[CG]]</f>
        <v>849400000</v>
      </c>
      <c r="I735">
        <v>632400000</v>
      </c>
      <c r="J735">
        <v>1.7</v>
      </c>
      <c r="K735">
        <v>3.9731510000000001</v>
      </c>
      <c r="L735">
        <v>7.0000000000000007E-2</v>
      </c>
      <c r="M735">
        <v>-0.09</v>
      </c>
      <c r="N735">
        <v>-2.2792680000000001</v>
      </c>
      <c r="O735">
        <v>-8.8984450000000006</v>
      </c>
      <c r="P735">
        <v>-5.0726969999999998</v>
      </c>
      <c r="Q735">
        <v>1.27</v>
      </c>
      <c r="R735" t="str">
        <v/>
      </c>
      <c r="S735" t="str">
        <v/>
      </c>
      <c r="T735">
        <v>0</v>
      </c>
      <c r="U735">
        <v>0</v>
      </c>
      <c r="V735">
        <v>0</v>
      </c>
      <c r="W735">
        <v>5</v>
      </c>
      <c r="X735" s="5">
        <f t="shared" si="25"/>
        <v>0.80588235294117661</v>
      </c>
      <c r="Y735" s="6">
        <f t="shared" si="26"/>
        <v>620000000</v>
      </c>
    </row>
    <row r="736" spans="2:25" x14ac:dyDescent="0.25">
      <c r="B736" t="str">
        <f>Siam_Chart[[#This Row],[Name]]</f>
        <v>TIDLOR</v>
      </c>
      <c r="C736">
        <f>Siam_Chart[[#This Row],[No.]]</f>
        <v>735</v>
      </c>
      <c r="D736">
        <f>Siam_Chart[[#This Row],[Last]]</f>
        <v>19.8</v>
      </c>
      <c r="E736">
        <f>Siam_Chart[[#This Row],[Chg%]]</f>
        <v>-1.98</v>
      </c>
      <c r="F736">
        <f>Siam_Chart[[#This Row],[Volume]]</f>
        <v>11963634</v>
      </c>
      <c r="G736">
        <f>Siam_Chart[[#This Row],[Value (k)]]</f>
        <v>238526509.5</v>
      </c>
      <c r="H736" cm="1">
        <f t="array" ref="H736:W736">Siam_Chart[[#This Row],[MCap (M)]:[CG]]</f>
        <v>57339405486</v>
      </c>
      <c r="I736">
        <v>10.199999999999999</v>
      </c>
      <c r="J736">
        <v>1.62</v>
      </c>
      <c r="K736">
        <v>2.2524440000000001</v>
      </c>
      <c r="L736">
        <v>0.69</v>
      </c>
      <c r="M736">
        <v>1.0900000000000001</v>
      </c>
      <c r="N736">
        <v>8.2633510000000001</v>
      </c>
      <c r="O736">
        <v>16.461077</v>
      </c>
      <c r="P736">
        <v>25.924598</v>
      </c>
      <c r="Q736">
        <v>1.73</v>
      </c>
      <c r="R736" t="str">
        <v/>
      </c>
      <c r="S736" t="str">
        <v/>
      </c>
      <c r="T736">
        <v>311</v>
      </c>
      <c r="U736">
        <v>462</v>
      </c>
      <c r="V736">
        <v>0.88</v>
      </c>
      <c r="W736">
        <v>4</v>
      </c>
      <c r="X736" s="5">
        <f t="shared" si="25"/>
        <v>12.222222222222221</v>
      </c>
      <c r="Y736" s="6">
        <f t="shared" si="26"/>
        <v>2895929570</v>
      </c>
    </row>
    <row r="737" spans="2:25" x14ac:dyDescent="0.25">
      <c r="B737" t="str">
        <f>Siam_Chart[[#This Row],[Name]]</f>
        <v>TIGER</v>
      </c>
      <c r="C737">
        <f>Siam_Chart[[#This Row],[No.]]</f>
        <v>736</v>
      </c>
      <c r="D737">
        <f>Siam_Chart[[#This Row],[Last]]</f>
        <v>0.48</v>
      </c>
      <c r="E737">
        <f>Siam_Chart[[#This Row],[Chg%]]</f>
        <v>2.13</v>
      </c>
      <c r="F737">
        <f>Siam_Chart[[#This Row],[Volume]]</f>
        <v>446900</v>
      </c>
      <c r="G737">
        <f>Siam_Chart[[#This Row],[Value (k)]]</f>
        <v>208289</v>
      </c>
      <c r="H737" cm="1">
        <f t="array" ref="H737:W737">Siam_Chart[[#This Row],[MCap (M)]:[CG]]</f>
        <v>220800000</v>
      </c>
      <c r="I737">
        <v>193200000</v>
      </c>
      <c r="J737">
        <v>0.47</v>
      </c>
      <c r="K737">
        <v>0.78110500000000005</v>
      </c>
      <c r="L737">
        <v>5.5E-2</v>
      </c>
      <c r="M737">
        <v>-0.01</v>
      </c>
      <c r="N737">
        <v>-7.7053520000000004</v>
      </c>
      <c r="O737">
        <v>-14.050789999999999</v>
      </c>
      <c r="P737">
        <v>-0.97087900000000005</v>
      </c>
      <c r="Q737">
        <v>0.41</v>
      </c>
      <c r="R737" t="str">
        <v/>
      </c>
      <c r="S737" t="str">
        <v/>
      </c>
      <c r="T737">
        <v>0</v>
      </c>
      <c r="U737">
        <v>0</v>
      </c>
      <c r="V737">
        <v>0</v>
      </c>
      <c r="W737">
        <v>0</v>
      </c>
      <c r="X737" s="5">
        <f t="shared" si="25"/>
        <v>1.0212765957446808</v>
      </c>
      <c r="Y737" s="6">
        <f t="shared" si="26"/>
        <v>460000000</v>
      </c>
    </row>
    <row r="738" spans="2:25" x14ac:dyDescent="0.25">
      <c r="B738" t="str">
        <f>Siam_Chart[[#This Row],[Name]]</f>
        <v>TIPCO</v>
      </c>
      <c r="C738">
        <f>Siam_Chart[[#This Row],[No.]]</f>
        <v>737</v>
      </c>
      <c r="D738">
        <f>Siam_Chart[[#This Row],[Last]]</f>
        <v>6.95</v>
      </c>
      <c r="E738">
        <f>Siam_Chart[[#This Row],[Chg%]]</f>
        <v>-0.71</v>
      </c>
      <c r="F738">
        <f>Siam_Chart[[#This Row],[Volume]]</f>
        <v>129010</v>
      </c>
      <c r="G738">
        <f>Siam_Chart[[#This Row],[Value (k)]]</f>
        <v>892304</v>
      </c>
      <c r="H738" cm="1">
        <f t="array" ref="H738:W738">Siam_Chart[[#This Row],[MCap (M)]:[CG]]</f>
        <v>3353928498</v>
      </c>
      <c r="I738">
        <v>12.79</v>
      </c>
      <c r="J738">
        <v>0.85</v>
      </c>
      <c r="K738">
        <v>0.37742100000000001</v>
      </c>
      <c r="L738">
        <v>0.1</v>
      </c>
      <c r="M738">
        <v>0.47</v>
      </c>
      <c r="N738">
        <v>6.7662940000000003</v>
      </c>
      <c r="O738">
        <v>6.8286689999999997</v>
      </c>
      <c r="P738">
        <v>24.239542</v>
      </c>
      <c r="Q738">
        <v>1.44</v>
      </c>
      <c r="R738" t="str">
        <v/>
      </c>
      <c r="S738" t="str">
        <v/>
      </c>
      <c r="T738">
        <v>823</v>
      </c>
      <c r="U738">
        <v>717</v>
      </c>
      <c r="V738">
        <v>-0.1</v>
      </c>
      <c r="W738">
        <v>4</v>
      </c>
      <c r="X738" s="5">
        <f t="shared" si="25"/>
        <v>8.1764705882352953</v>
      </c>
      <c r="Y738" s="6">
        <f t="shared" si="26"/>
        <v>482579640</v>
      </c>
    </row>
    <row r="739" spans="2:25" x14ac:dyDescent="0.25">
      <c r="B739" t="str">
        <f>Siam_Chart[[#This Row],[Name]]</f>
        <v>TIPH</v>
      </c>
      <c r="C739">
        <f>Siam_Chart[[#This Row],[No.]]</f>
        <v>738</v>
      </c>
      <c r="D739">
        <f>Siam_Chart[[#This Row],[Last]]</f>
        <v>25.25</v>
      </c>
      <c r="E739">
        <f>Siam_Chart[[#This Row],[Chg%]]</f>
        <v>-0.98</v>
      </c>
      <c r="F739">
        <f>Siam_Chart[[#This Row],[Volume]]</f>
        <v>914336</v>
      </c>
      <c r="G739">
        <f>Siam_Chart[[#This Row],[Value (k)]]</f>
        <v>23300903.649999999</v>
      </c>
      <c r="H739" cm="1">
        <f t="array" ref="H739:W739">Siam_Chart[[#This Row],[MCap (M)]:[CG]]</f>
        <v>15005881484</v>
      </c>
      <c r="I739">
        <v>13.58</v>
      </c>
      <c r="J739">
        <v>1.48</v>
      </c>
      <c r="K739">
        <v>2.7147869999999998</v>
      </c>
      <c r="L739">
        <v>1</v>
      </c>
      <c r="M739">
        <v>1.0900000000000001</v>
      </c>
      <c r="N739">
        <v>3.8310919999999999</v>
      </c>
      <c r="O739">
        <v>12.693338000000001</v>
      </c>
      <c r="P739">
        <v>4.0190219999999997</v>
      </c>
      <c r="Q739">
        <v>5.94</v>
      </c>
      <c r="R739" t="str">
        <v/>
      </c>
      <c r="S739" t="str">
        <v/>
      </c>
      <c r="T739">
        <v>595</v>
      </c>
      <c r="U739">
        <v>951</v>
      </c>
      <c r="V739">
        <v>-1.58</v>
      </c>
      <c r="W739">
        <v>5</v>
      </c>
      <c r="X739" s="5">
        <f t="shared" si="25"/>
        <v>17.060810810810811</v>
      </c>
      <c r="Y739" s="6">
        <f t="shared" si="26"/>
        <v>594292336</v>
      </c>
    </row>
    <row r="740" spans="2:25" x14ac:dyDescent="0.25">
      <c r="B740" t="str">
        <f>Siam_Chart[[#This Row],[Name]]</f>
        <v>TISCO</v>
      </c>
      <c r="C740">
        <f>Siam_Chart[[#This Row],[No.]]</f>
        <v>739</v>
      </c>
      <c r="D740">
        <f>Siam_Chart[[#This Row],[Last]]</f>
        <v>127</v>
      </c>
      <c r="E740">
        <f>Siam_Chart[[#This Row],[Chg%]]</f>
        <v>0</v>
      </c>
      <c r="F740">
        <f>Siam_Chart[[#This Row],[Volume]]</f>
        <v>3323335</v>
      </c>
      <c r="G740">
        <f>Siam_Chart[[#This Row],[Value (k)]]</f>
        <v>420786146.5</v>
      </c>
      <c r="H740" cm="1">
        <f t="array" ref="H740:W740">Siam_Chart[[#This Row],[MCap (M)]:[CG]]</f>
        <v>101681994248</v>
      </c>
      <c r="I740">
        <v>14.8</v>
      </c>
      <c r="J740">
        <v>2.39</v>
      </c>
      <c r="K740">
        <v>5.8284649999999996</v>
      </c>
      <c r="L740">
        <v>5.75</v>
      </c>
      <c r="M740">
        <v>4.37</v>
      </c>
      <c r="N740">
        <v>4.4349270000000001</v>
      </c>
      <c r="O740">
        <v>16.336659000000001</v>
      </c>
      <c r="P740">
        <v>28.400133</v>
      </c>
      <c r="Q740">
        <v>6.1</v>
      </c>
      <c r="R740" t="str">
        <v/>
      </c>
      <c r="S740" t="str">
        <v/>
      </c>
      <c r="T740">
        <v>605</v>
      </c>
      <c r="U740">
        <v>1059</v>
      </c>
      <c r="V740">
        <v>-42.5</v>
      </c>
      <c r="W740">
        <v>5</v>
      </c>
      <c r="X740" s="5">
        <f t="shared" si="25"/>
        <v>53.138075313807526</v>
      </c>
      <c r="Y740" s="6">
        <f t="shared" si="26"/>
        <v>800645624</v>
      </c>
    </row>
    <row r="741" spans="2:25" x14ac:dyDescent="0.25">
      <c r="B741" t="str">
        <f>Siam_Chart[[#This Row],[Name]]</f>
        <v>TITLE</v>
      </c>
      <c r="C741">
        <f>Siam_Chart[[#This Row],[No.]]</f>
        <v>740</v>
      </c>
      <c r="D741">
        <f>Siam_Chart[[#This Row],[Last]]</f>
        <v>9.1999999999999993</v>
      </c>
      <c r="E741">
        <f>Siam_Chart[[#This Row],[Chg%]]</f>
        <v>2.2200000000000002</v>
      </c>
      <c r="F741">
        <f>Siam_Chart[[#This Row],[Volume]]</f>
        <v>542301</v>
      </c>
      <c r="G741">
        <f>Siam_Chart[[#This Row],[Value (k)]]</f>
        <v>4971034.2</v>
      </c>
      <c r="H741" cm="1">
        <f t="array" ref="H741:W741">Siam_Chart[[#This Row],[MCap (M)]:[CG]]</f>
        <v>7194911676.3999996</v>
      </c>
      <c r="I741">
        <v>7.93</v>
      </c>
      <c r="J741">
        <v>3.85</v>
      </c>
      <c r="K741">
        <v>9.6219929999999998</v>
      </c>
      <c r="L741">
        <v>0.4</v>
      </c>
      <c r="M741">
        <v>0.37</v>
      </c>
      <c r="N741">
        <v>6.9786489999999999</v>
      </c>
      <c r="O741">
        <v>61.609247000000003</v>
      </c>
      <c r="P741">
        <v>14.521153999999999</v>
      </c>
      <c r="Q741">
        <v>4.3499999999999996</v>
      </c>
      <c r="R741" t="str">
        <v/>
      </c>
      <c r="S741" t="str">
        <v/>
      </c>
      <c r="T741">
        <v>145</v>
      </c>
      <c r="U741">
        <v>437</v>
      </c>
      <c r="V741">
        <v>0.05</v>
      </c>
      <c r="W741">
        <v>4</v>
      </c>
      <c r="X741" s="5">
        <f t="shared" si="25"/>
        <v>2.3896103896103895</v>
      </c>
      <c r="Y741" s="6">
        <f t="shared" si="26"/>
        <v>782055617</v>
      </c>
    </row>
    <row r="742" spans="2:25" x14ac:dyDescent="0.25">
      <c r="B742" t="str">
        <f>Siam_Chart[[#This Row],[Name]]</f>
        <v>TK</v>
      </c>
      <c r="C742">
        <f>Siam_Chart[[#This Row],[No.]]</f>
        <v>741</v>
      </c>
      <c r="D742">
        <f>Siam_Chart[[#This Row],[Last]]</f>
        <v>4.5</v>
      </c>
      <c r="E742">
        <f>Siam_Chart[[#This Row],[Chg%]]</f>
        <v>0</v>
      </c>
      <c r="F742">
        <f>Siam_Chart[[#This Row],[Volume]]</f>
        <v>36000</v>
      </c>
      <c r="G742">
        <f>Siam_Chart[[#This Row],[Value (k)]]</f>
        <v>161450</v>
      </c>
      <c r="H742" cm="1">
        <f t="array" ref="H742:W742">Siam_Chart[[#This Row],[MCap (M)]:[CG]]</f>
        <v>2250000000</v>
      </c>
      <c r="I742">
        <v>36.04</v>
      </c>
      <c r="J742">
        <v>0.42</v>
      </c>
      <c r="K742">
        <v>6.5223000000000003E-2</v>
      </c>
      <c r="L742">
        <v>0.2</v>
      </c>
      <c r="M742">
        <v>0.13</v>
      </c>
      <c r="N742">
        <v>1.675953</v>
      </c>
      <c r="O742">
        <v>1.164787</v>
      </c>
      <c r="P742">
        <v>14.158466000000001</v>
      </c>
      <c r="Q742">
        <v>4.4400000000000004</v>
      </c>
      <c r="R742" t="str">
        <v/>
      </c>
      <c r="S742" t="str">
        <v/>
      </c>
      <c r="T742">
        <v>1287</v>
      </c>
      <c r="U742">
        <v>1312</v>
      </c>
      <c r="V742">
        <v>-0.17</v>
      </c>
      <c r="W742">
        <v>4</v>
      </c>
      <c r="X742" s="5">
        <f t="shared" si="25"/>
        <v>10.714285714285715</v>
      </c>
      <c r="Y742" s="6">
        <f t="shared" si="26"/>
        <v>500000000</v>
      </c>
    </row>
    <row r="743" spans="2:25" x14ac:dyDescent="0.25">
      <c r="B743" t="str">
        <f>Siam_Chart[[#This Row],[Name]]</f>
        <v>TKC</v>
      </c>
      <c r="C743">
        <f>Siam_Chart[[#This Row],[No.]]</f>
        <v>742</v>
      </c>
      <c r="D743">
        <f>Siam_Chart[[#This Row],[Last]]</f>
        <v>9</v>
      </c>
      <c r="E743">
        <f>Siam_Chart[[#This Row],[Chg%]]</f>
        <v>0.56000000000000005</v>
      </c>
      <c r="F743">
        <f>Siam_Chart[[#This Row],[Volume]]</f>
        <v>77704</v>
      </c>
      <c r="G743">
        <f>Siam_Chart[[#This Row],[Value (k)]]</f>
        <v>698801</v>
      </c>
      <c r="H743" cm="1">
        <f t="array" ref="H743:W743">Siam_Chart[[#This Row],[MCap (M)]:[CG]]</f>
        <v>3600000000</v>
      </c>
      <c r="I743">
        <v>14.58</v>
      </c>
      <c r="J743">
        <v>0.85</v>
      </c>
      <c r="K743">
        <v>0.63598500000000002</v>
      </c>
      <c r="L743">
        <v>0.2</v>
      </c>
      <c r="M743">
        <v>0.37</v>
      </c>
      <c r="N743">
        <v>5.3624660000000004</v>
      </c>
      <c r="O743">
        <v>5.9702080000000004</v>
      </c>
      <c r="P743">
        <v>9.2172789999999996</v>
      </c>
      <c r="Q743">
        <v>2.2200000000000002</v>
      </c>
      <c r="R743" t="str">
        <v/>
      </c>
      <c r="S743" t="str">
        <v/>
      </c>
      <c r="T743">
        <v>1084</v>
      </c>
      <c r="U743">
        <v>1033</v>
      </c>
      <c r="V743">
        <v>-7.23</v>
      </c>
      <c r="W743">
        <v>0</v>
      </c>
      <c r="X743" s="5">
        <f t="shared" si="25"/>
        <v>10.588235294117647</v>
      </c>
      <c r="Y743" s="6">
        <f t="shared" si="26"/>
        <v>400000000</v>
      </c>
    </row>
    <row r="744" spans="2:25" x14ac:dyDescent="0.25">
      <c r="B744" t="str">
        <f>Siam_Chart[[#This Row],[Name]]</f>
        <v>TKN</v>
      </c>
      <c r="C744">
        <f>Siam_Chart[[#This Row],[No.]]</f>
        <v>743</v>
      </c>
      <c r="D744">
        <f>Siam_Chart[[#This Row],[Last]]</f>
        <v>4.2</v>
      </c>
      <c r="E744">
        <f>Siam_Chart[[#This Row],[Chg%]]</f>
        <v>-2.33</v>
      </c>
      <c r="F744">
        <f>Siam_Chart[[#This Row],[Volume]]</f>
        <v>623565</v>
      </c>
      <c r="G744">
        <f>Siam_Chart[[#This Row],[Value (k)]]</f>
        <v>2620572.36</v>
      </c>
      <c r="H744" cm="1">
        <f t="array" ref="H744:W744">Siam_Chart[[#This Row],[MCap (M)]:[CG]]</f>
        <v>5796000000</v>
      </c>
      <c r="I744">
        <v>12.9</v>
      </c>
      <c r="J744">
        <v>2.63</v>
      </c>
      <c r="K744">
        <v>1.0472520000000001</v>
      </c>
      <c r="L744">
        <v>0.14000000000000001</v>
      </c>
      <c r="M744">
        <v>0.16</v>
      </c>
      <c r="N744">
        <v>12.433216</v>
      </c>
      <c r="O744">
        <v>20.613827000000001</v>
      </c>
      <c r="P744">
        <v>8.5409489999999995</v>
      </c>
      <c r="Q744">
        <v>5.95</v>
      </c>
      <c r="R744" t="str">
        <v/>
      </c>
      <c r="S744" t="str">
        <v/>
      </c>
      <c r="T744">
        <v>533</v>
      </c>
      <c r="U744">
        <v>554</v>
      </c>
      <c r="V744">
        <v>0.33</v>
      </c>
      <c r="W744">
        <v>4</v>
      </c>
      <c r="X744" s="5">
        <f t="shared" si="25"/>
        <v>1.5969581749049431</v>
      </c>
      <c r="Y744" s="6">
        <f t="shared" si="26"/>
        <v>1380000000</v>
      </c>
    </row>
    <row r="745" spans="2:25" x14ac:dyDescent="0.25">
      <c r="B745" t="str">
        <f>Siam_Chart[[#This Row],[Name]]</f>
        <v>TKS</v>
      </c>
      <c r="C745">
        <f>Siam_Chart[[#This Row],[No.]]</f>
        <v>744</v>
      </c>
      <c r="D745">
        <f>Siam_Chart[[#This Row],[Last]]</f>
        <v>7.8</v>
      </c>
      <c r="E745">
        <f>Siam_Chart[[#This Row],[Chg%]]</f>
        <v>0</v>
      </c>
      <c r="F745">
        <f>Siam_Chart[[#This Row],[Volume]]</f>
        <v>119378</v>
      </c>
      <c r="G745">
        <f>Siam_Chart[[#This Row],[Value (k)]]</f>
        <v>930678.4</v>
      </c>
      <c r="H745" cm="1">
        <f t="array" ref="H745:W745">Siam_Chart[[#This Row],[MCap (M)]:[CG]]</f>
        <v>3965897824.1999998</v>
      </c>
      <c r="I745">
        <v>7.36</v>
      </c>
      <c r="J745">
        <v>1.1100000000000001</v>
      </c>
      <c r="K745">
        <v>0.32777899999999999</v>
      </c>
      <c r="L745">
        <v>0.12</v>
      </c>
      <c r="M745">
        <v>0.66</v>
      </c>
      <c r="N745">
        <v>13.233821000000001</v>
      </c>
      <c r="O745">
        <v>15.414021999999999</v>
      </c>
      <c r="P745">
        <v>38.285414000000003</v>
      </c>
      <c r="Q745">
        <v>5.95</v>
      </c>
      <c r="R745" t="str">
        <v/>
      </c>
      <c r="S745" t="str">
        <v/>
      </c>
      <c r="T745">
        <v>287</v>
      </c>
      <c r="U745">
        <v>243</v>
      </c>
      <c r="V745">
        <v>-0.04</v>
      </c>
      <c r="W745">
        <v>5</v>
      </c>
      <c r="X745" s="5">
        <f t="shared" si="25"/>
        <v>7.0270270270270263</v>
      </c>
      <c r="Y745" s="6">
        <f t="shared" si="26"/>
        <v>508448439</v>
      </c>
    </row>
    <row r="746" spans="2:25" x14ac:dyDescent="0.25">
      <c r="B746" t="str">
        <f>Siam_Chart[[#This Row],[Name]]</f>
        <v>TKT</v>
      </c>
      <c r="C746">
        <f>Siam_Chart[[#This Row],[No.]]</f>
        <v>745</v>
      </c>
      <c r="D746">
        <f>Siam_Chart[[#This Row],[Last]]</f>
        <v>0.72</v>
      </c>
      <c r="E746">
        <f>Siam_Chart[[#This Row],[Chg%]]</f>
        <v>0</v>
      </c>
      <c r="F746">
        <f>Siam_Chart[[#This Row],[Volume]]</f>
        <v>21201</v>
      </c>
      <c r="G746">
        <f>Siam_Chart[[#This Row],[Value (k)]]</f>
        <v>15064.74</v>
      </c>
      <c r="H746" cm="1">
        <f t="array" ref="H746:W746">Siam_Chart[[#This Row],[MCap (M)]:[CG]]</f>
        <v>252561600</v>
      </c>
      <c r="I746">
        <v>249053800</v>
      </c>
      <c r="J746">
        <v>0.39</v>
      </c>
      <c r="K746">
        <v>0.77561899999999995</v>
      </c>
      <c r="L746">
        <v>-0.01</v>
      </c>
      <c r="M746">
        <v>-0.01</v>
      </c>
      <c r="N746">
        <v>0.931477</v>
      </c>
      <c r="O746">
        <v>-0.741954</v>
      </c>
      <c r="P746">
        <v>-0.38747799999999999</v>
      </c>
      <c r="Q746">
        <v>0.39</v>
      </c>
      <c r="R746" t="str">
        <v/>
      </c>
      <c r="S746" t="str">
        <v/>
      </c>
      <c r="T746">
        <v>0</v>
      </c>
      <c r="U746">
        <v>0</v>
      </c>
      <c r="V746">
        <v>0</v>
      </c>
      <c r="W746">
        <v>5</v>
      </c>
      <c r="X746" s="5">
        <f t="shared" si="25"/>
        <v>1.846153846153846</v>
      </c>
      <c r="Y746" s="6">
        <f t="shared" si="26"/>
        <v>350780000</v>
      </c>
    </row>
    <row r="747" spans="2:25" x14ac:dyDescent="0.25">
      <c r="B747" t="str">
        <f>Siam_Chart[[#This Row],[Name]]</f>
        <v>TL</v>
      </c>
      <c r="C747">
        <f>Siam_Chart[[#This Row],[No.]]</f>
        <v>746</v>
      </c>
      <c r="D747">
        <f>Siam_Chart[[#This Row],[Last]]</f>
        <v>0.46</v>
      </c>
      <c r="E747">
        <f>Siam_Chart[[#This Row],[Chg%]]</f>
        <v>-2.13</v>
      </c>
      <c r="F747">
        <f>Siam_Chart[[#This Row],[Volume]]</f>
        <v>3973500</v>
      </c>
      <c r="G747">
        <f>Siam_Chart[[#This Row],[Value (k)]]</f>
        <v>1866039</v>
      </c>
      <c r="H747" cm="1">
        <f t="array" ref="H747:W747">Siam_Chart[[#This Row],[MCap (M)]:[CG]]</f>
        <v>2621655987.6199999</v>
      </c>
      <c r="I747">
        <v>14.98</v>
      </c>
      <c r="J747">
        <v>2.77</v>
      </c>
      <c r="K747">
        <v>0.23275100000000001</v>
      </c>
      <c r="L747">
        <v>0.02</v>
      </c>
      <c r="M747">
        <v>0.02</v>
      </c>
      <c r="N747">
        <v>27.134066000000001</v>
      </c>
      <c r="O747">
        <v>25.956188999999998</v>
      </c>
      <c r="P747">
        <v>36.600662999999997</v>
      </c>
      <c r="Q747">
        <v>2.65</v>
      </c>
      <c r="R747" t="str">
        <v/>
      </c>
      <c r="S747" t="str">
        <v/>
      </c>
      <c r="T747">
        <v>787</v>
      </c>
      <c r="U747">
        <v>665</v>
      </c>
      <c r="V747">
        <v>0.08</v>
      </c>
      <c r="W747">
        <v>0</v>
      </c>
      <c r="X747" s="5">
        <f t="shared" si="25"/>
        <v>0.16606498194945848</v>
      </c>
      <c r="Y747" s="6">
        <f t="shared" si="26"/>
        <v>5699252146.999999</v>
      </c>
    </row>
    <row r="748" spans="2:25" x14ac:dyDescent="0.25">
      <c r="B748" t="str">
        <f>Siam_Chart[[#This Row],[Name]]</f>
        <v>TLI</v>
      </c>
      <c r="C748">
        <f>Siam_Chart[[#This Row],[No.]]</f>
        <v>747</v>
      </c>
      <c r="D748">
        <f>Siam_Chart[[#This Row],[Last]]</f>
        <v>11.5</v>
      </c>
      <c r="E748">
        <f>Siam_Chart[[#This Row],[Chg%]]</f>
        <v>0</v>
      </c>
      <c r="F748">
        <f>Siam_Chart[[#This Row],[Volume]]</f>
        <v>14747016</v>
      </c>
      <c r="G748">
        <f>Siam_Chart[[#This Row],[Value (k)]]</f>
        <v>170138258.59999999</v>
      </c>
      <c r="H748" cm="1">
        <f t="array" ref="H748:W748">Siam_Chart[[#This Row],[MCap (M)]:[CG]]</f>
        <v>131675000000</v>
      </c>
      <c r="I748">
        <v>10.86</v>
      </c>
      <c r="J748">
        <v>0.95</v>
      </c>
      <c r="K748">
        <v>3.4222969999999999</v>
      </c>
      <c r="L748">
        <v>0.6</v>
      </c>
      <c r="M748">
        <v>0.56999999999999995</v>
      </c>
      <c r="N748">
        <v>2.3790800000000001</v>
      </c>
      <c r="O748">
        <v>8.5514200000000002</v>
      </c>
      <c r="P748">
        <v>23.578598</v>
      </c>
      <c r="Q748">
        <v>5.22</v>
      </c>
      <c r="R748" t="str">
        <v/>
      </c>
      <c r="S748" t="str">
        <v/>
      </c>
      <c r="T748">
        <v>569</v>
      </c>
      <c r="U748">
        <v>896</v>
      </c>
      <c r="V748">
        <v>1.1399999999999999</v>
      </c>
      <c r="W748">
        <v>5</v>
      </c>
      <c r="X748" s="5">
        <f t="shared" si="25"/>
        <v>12.105263157894738</v>
      </c>
      <c r="Y748" s="6">
        <f t="shared" si="26"/>
        <v>11450000000</v>
      </c>
    </row>
    <row r="749" spans="2:25" x14ac:dyDescent="0.25">
      <c r="B749" t="str">
        <f>Siam_Chart[[#This Row],[Name]]</f>
        <v>TM</v>
      </c>
      <c r="C749">
        <f>Siam_Chart[[#This Row],[No.]]</f>
        <v>748</v>
      </c>
      <c r="D749">
        <f>Siam_Chart[[#This Row],[Last]]</f>
        <v>1.39</v>
      </c>
      <c r="E749">
        <f>Siam_Chart[[#This Row],[Chg%]]</f>
        <v>0.72</v>
      </c>
      <c r="F749">
        <f>Siam_Chart[[#This Row],[Volume]]</f>
        <v>2036492</v>
      </c>
      <c r="G749">
        <f>Siam_Chart[[#This Row],[Value (k)]]</f>
        <v>2866688.8</v>
      </c>
      <c r="H749" cm="1">
        <f t="array" ref="H749:W749">Siam_Chart[[#This Row],[MCap (M)]:[CG]]</f>
        <v>428120247.42000002</v>
      </c>
      <c r="I749">
        <v>13.95</v>
      </c>
      <c r="J749">
        <v>0.99</v>
      </c>
      <c r="K749">
        <v>1.004389</v>
      </c>
      <c r="L749">
        <v>3.3000000000000002E-2</v>
      </c>
      <c r="M749">
        <v>0.05</v>
      </c>
      <c r="N749">
        <v>5.3530990000000003</v>
      </c>
      <c r="O749">
        <v>7.3893610000000001</v>
      </c>
      <c r="P749">
        <v>3.959012</v>
      </c>
      <c r="Q749">
        <v>0.8</v>
      </c>
      <c r="R749" t="str">
        <v/>
      </c>
      <c r="S749" t="str">
        <v/>
      </c>
      <c r="T749">
        <v>596</v>
      </c>
      <c r="U749">
        <v>613</v>
      </c>
      <c r="V749">
        <v>-1</v>
      </c>
      <c r="W749">
        <v>5</v>
      </c>
      <c r="X749" s="5">
        <f t="shared" si="25"/>
        <v>1.404040404040404</v>
      </c>
      <c r="Y749" s="6">
        <f t="shared" si="26"/>
        <v>308000178.00000006</v>
      </c>
    </row>
    <row r="750" spans="2:25" x14ac:dyDescent="0.25">
      <c r="B750" t="str">
        <f>Siam_Chart[[#This Row],[Name]]</f>
        <v>TMAN</v>
      </c>
      <c r="C750">
        <f>Siam_Chart[[#This Row],[No.]]</f>
        <v>749</v>
      </c>
      <c r="D750">
        <f>Siam_Chart[[#This Row],[Last]]</f>
        <v>10.5</v>
      </c>
      <c r="E750">
        <f>Siam_Chart[[#This Row],[Chg%]]</f>
        <v>-0.94</v>
      </c>
      <c r="F750">
        <f>Siam_Chart[[#This Row],[Volume]]</f>
        <v>342820</v>
      </c>
      <c r="G750">
        <f>Siam_Chart[[#This Row],[Value (k)]]</f>
        <v>3615542</v>
      </c>
      <c r="H750" cm="1">
        <f t="array" ref="H750:W750">Siam_Chart[[#This Row],[MCap (M)]:[CG]]</f>
        <v>4200037800</v>
      </c>
      <c r="I750">
        <v>8.2899999999999991</v>
      </c>
      <c r="J750">
        <v>1.91</v>
      </c>
      <c r="K750">
        <v>0.75824999999999998</v>
      </c>
      <c r="L750">
        <v>0.24</v>
      </c>
      <c r="M750">
        <v>0.53</v>
      </c>
      <c r="N750">
        <v>17.016829999999999</v>
      </c>
      <c r="O750">
        <v>24.592793</v>
      </c>
      <c r="P750">
        <v>17.280013</v>
      </c>
      <c r="Q750">
        <v>5.33</v>
      </c>
      <c r="R750" t="str">
        <v/>
      </c>
      <c r="S750" t="str">
        <v/>
      </c>
      <c r="T750">
        <v>206</v>
      </c>
      <c r="U750">
        <v>207</v>
      </c>
      <c r="V750">
        <v>0.81</v>
      </c>
      <c r="W750">
        <v>3</v>
      </c>
      <c r="X750" s="5">
        <f t="shared" si="25"/>
        <v>5.4973821989528799</v>
      </c>
      <c r="Y750" s="6">
        <f t="shared" si="26"/>
        <v>400003600</v>
      </c>
    </row>
    <row r="751" spans="2:25" x14ac:dyDescent="0.25">
      <c r="B751" t="str">
        <f>Siam_Chart[[#This Row],[Name]]</f>
        <v>TMC</v>
      </c>
      <c r="C751">
        <f>Siam_Chart[[#This Row],[No.]]</f>
        <v>750</v>
      </c>
      <c r="D751">
        <f>Siam_Chart[[#This Row],[Last]]</f>
        <v>0.69</v>
      </c>
      <c r="E751">
        <f>Siam_Chart[[#This Row],[Chg%]]</f>
        <v>1.47</v>
      </c>
      <c r="F751">
        <f>Siam_Chart[[#This Row],[Volume]]</f>
        <v>328549</v>
      </c>
      <c r="G751">
        <f>Siam_Chart[[#This Row],[Value (k)]]</f>
        <v>222130.52</v>
      </c>
      <c r="H751" cm="1">
        <f t="array" ref="H751:W751">Siam_Chart[[#This Row],[MCap (M)]:[CG]]</f>
        <v>316572000</v>
      </c>
      <c r="I751">
        <v>307396000</v>
      </c>
      <c r="J751">
        <v>0.56000000000000005</v>
      </c>
      <c r="K751">
        <v>0.214617</v>
      </c>
      <c r="L751">
        <v>-0.02</v>
      </c>
      <c r="M751">
        <v>-0.02</v>
      </c>
      <c r="N751">
        <v>3.8934999999999997E-2</v>
      </c>
      <c r="O751">
        <v>-8.9902999999999997E-2</v>
      </c>
      <c r="P751">
        <v>-8.9427210000000006</v>
      </c>
      <c r="Q751">
        <v>0.54</v>
      </c>
      <c r="R751" t="str">
        <v/>
      </c>
      <c r="S751" t="str">
        <v/>
      </c>
      <c r="T751">
        <v>0</v>
      </c>
      <c r="U751">
        <v>0</v>
      </c>
      <c r="V751">
        <v>0</v>
      </c>
      <c r="W751">
        <v>4</v>
      </c>
      <c r="X751" s="5">
        <f t="shared" si="25"/>
        <v>1.232142857142857</v>
      </c>
      <c r="Y751" s="6">
        <f t="shared" si="26"/>
        <v>458800000.00000006</v>
      </c>
    </row>
    <row r="752" spans="2:25" x14ac:dyDescent="0.25">
      <c r="B752" t="str">
        <f>Siam_Chart[[#This Row],[Name]]</f>
        <v>TMD</v>
      </c>
      <c r="C752">
        <f>Siam_Chart[[#This Row],[No.]]</f>
        <v>751</v>
      </c>
      <c r="D752">
        <f>Siam_Chart[[#This Row],[Last]]</f>
        <v>27.25</v>
      </c>
      <c r="E752">
        <f>Siam_Chart[[#This Row],[Chg%]]</f>
        <v>-0.91</v>
      </c>
      <c r="F752">
        <f>Siam_Chart[[#This Row],[Volume]]</f>
        <v>2128</v>
      </c>
      <c r="G752">
        <f>Siam_Chart[[#This Row],[Value (k)]]</f>
        <v>58045</v>
      </c>
      <c r="H752" cm="1">
        <f t="array" ref="H752:W752">Siam_Chart[[#This Row],[MCap (M)]:[CG]]</f>
        <v>4087500000</v>
      </c>
      <c r="I752">
        <v>10.94</v>
      </c>
      <c r="J752">
        <v>1.23</v>
      </c>
      <c r="K752">
        <v>9.8132999999999998E-2</v>
      </c>
      <c r="L752">
        <v>1.7</v>
      </c>
      <c r="M752">
        <v>1.32</v>
      </c>
      <c r="N752">
        <v>12.606723000000001</v>
      </c>
      <c r="O752">
        <v>11.509384000000001</v>
      </c>
      <c r="P752">
        <v>21.203786999999998</v>
      </c>
      <c r="Q752">
        <v>6.24</v>
      </c>
      <c r="R752" t="str">
        <v/>
      </c>
      <c r="S752" t="str">
        <v/>
      </c>
      <c r="T752">
        <v>546</v>
      </c>
      <c r="U752">
        <v>418</v>
      </c>
      <c r="V752">
        <v>13.2</v>
      </c>
      <c r="W752">
        <v>5</v>
      </c>
      <c r="X752" s="5">
        <f t="shared" si="25"/>
        <v>22.154471544715449</v>
      </c>
      <c r="Y752" s="6">
        <f t="shared" si="26"/>
        <v>150000000</v>
      </c>
    </row>
    <row r="753" spans="2:25" x14ac:dyDescent="0.25">
      <c r="B753" t="str">
        <f>Siam_Chart[[#This Row],[Name]]</f>
        <v>TMI</v>
      </c>
      <c r="C753">
        <f>Siam_Chart[[#This Row],[No.]]</f>
        <v>752</v>
      </c>
      <c r="D753">
        <f>Siam_Chart[[#This Row],[Last]]</f>
        <v>0.54</v>
      </c>
      <c r="E753">
        <f>Siam_Chart[[#This Row],[Chg%]]</f>
        <v>3.85</v>
      </c>
      <c r="F753">
        <f>Siam_Chart[[#This Row],[Volume]]</f>
        <v>13450067</v>
      </c>
      <c r="G753">
        <f>Siam_Chart[[#This Row],[Value (k)]]</f>
        <v>7537974.5199999996</v>
      </c>
      <c r="H753" cm="1">
        <f t="array" ref="H753:W753">Siam_Chart[[#This Row],[MCap (M)]:[CG]]</f>
        <v>362579034.24000001</v>
      </c>
      <c r="I753">
        <v>12.3</v>
      </c>
      <c r="J753">
        <v>1.37</v>
      </c>
      <c r="K753">
        <v>1.7750729999999999</v>
      </c>
      <c r="L753">
        <v>0.01</v>
      </c>
      <c r="M753">
        <v>0.04</v>
      </c>
      <c r="N753">
        <v>7.5694939999999997</v>
      </c>
      <c r="O753">
        <v>11.644944000000001</v>
      </c>
      <c r="P753">
        <v>7.619955</v>
      </c>
      <c r="Q753">
        <v>1.85</v>
      </c>
      <c r="R753" t="str">
        <v/>
      </c>
      <c r="S753" t="str">
        <v/>
      </c>
      <c r="T753">
        <v>590</v>
      </c>
      <c r="U753">
        <v>615</v>
      </c>
      <c r="V753">
        <v>0.01</v>
      </c>
      <c r="W753">
        <v>4</v>
      </c>
      <c r="X753" s="5">
        <f t="shared" si="25"/>
        <v>0.39416058394160586</v>
      </c>
      <c r="Y753" s="6">
        <f t="shared" si="26"/>
        <v>671442656</v>
      </c>
    </row>
    <row r="754" spans="2:25" x14ac:dyDescent="0.25">
      <c r="B754" t="str">
        <f>Siam_Chart[[#This Row],[Name]]</f>
        <v>TMILL</v>
      </c>
      <c r="C754">
        <f>Siam_Chart[[#This Row],[No.]]</f>
        <v>753</v>
      </c>
      <c r="D754">
        <f>Siam_Chart[[#This Row],[Last]]</f>
        <v>2.58</v>
      </c>
      <c r="E754">
        <f>Siam_Chart[[#This Row],[Chg%]]</f>
        <v>-0.77</v>
      </c>
      <c r="F754">
        <f>Siam_Chart[[#This Row],[Volume]]</f>
        <v>18005</v>
      </c>
      <c r="G754">
        <f>Siam_Chart[[#This Row],[Value (k)]]</f>
        <v>46811</v>
      </c>
      <c r="H754" cm="1">
        <f t="array" ref="H754:W754">Siam_Chart[[#This Row],[MCap (M)]:[CG]]</f>
        <v>1028553277.38</v>
      </c>
      <c r="I754">
        <v>13.66</v>
      </c>
      <c r="J754">
        <v>0.95</v>
      </c>
      <c r="K754">
        <v>0.39252799999999999</v>
      </c>
      <c r="L754">
        <v>0.05</v>
      </c>
      <c r="M754">
        <v>0.12</v>
      </c>
      <c r="N754">
        <v>6.909116</v>
      </c>
      <c r="O754">
        <v>7.0506929999999999</v>
      </c>
      <c r="P754">
        <v>6.0221559999999998</v>
      </c>
      <c r="Q754">
        <v>3.49</v>
      </c>
      <c r="R754" t="str">
        <v/>
      </c>
      <c r="S754" t="str">
        <v/>
      </c>
      <c r="T754">
        <v>956</v>
      </c>
      <c r="U754">
        <v>857</v>
      </c>
      <c r="V754">
        <v>3.23</v>
      </c>
      <c r="W754">
        <v>5</v>
      </c>
      <c r="X754" s="5">
        <f t="shared" si="25"/>
        <v>2.7157894736842105</v>
      </c>
      <c r="Y754" s="6">
        <f t="shared" si="26"/>
        <v>398664061</v>
      </c>
    </row>
    <row r="755" spans="2:25" x14ac:dyDescent="0.25">
      <c r="B755" t="str">
        <f>Siam_Chart[[#This Row],[Name]]</f>
        <v>TMT</v>
      </c>
      <c r="C755">
        <f>Siam_Chart[[#This Row],[No.]]</f>
        <v>754</v>
      </c>
      <c r="D755">
        <f>Siam_Chart[[#This Row],[Last]]</f>
        <v>4.24</v>
      </c>
      <c r="E755">
        <f>Siam_Chart[[#This Row],[Chg%]]</f>
        <v>1.92</v>
      </c>
      <c r="F755">
        <f>Siam_Chart[[#This Row],[Volume]]</f>
        <v>141401</v>
      </c>
      <c r="G755">
        <f>Siam_Chart[[#This Row],[Value (k)]]</f>
        <v>598666.19999999995</v>
      </c>
      <c r="H755" cm="1">
        <f t="array" ref="H755:W755">Siam_Chart[[#This Row],[MCap (M)]:[CG]]</f>
        <v>3692014064.1599998</v>
      </c>
      <c r="I755">
        <v>8.9600000000000009</v>
      </c>
      <c r="J755">
        <v>1.05</v>
      </c>
      <c r="K755">
        <v>1.592965</v>
      </c>
      <c r="L755">
        <v>0.25</v>
      </c>
      <c r="M755">
        <v>0.46</v>
      </c>
      <c r="N755">
        <v>6.7768769999999998</v>
      </c>
      <c r="O755">
        <v>12.316953</v>
      </c>
      <c r="P755">
        <v>4.4100619999999999</v>
      </c>
      <c r="Q755">
        <v>2.36</v>
      </c>
      <c r="R755" t="str">
        <v/>
      </c>
      <c r="S755" t="str">
        <v/>
      </c>
      <c r="T755">
        <v>1116</v>
      </c>
      <c r="U755">
        <v>1123</v>
      </c>
      <c r="V755">
        <v>-0.2</v>
      </c>
      <c r="W755">
        <v>5</v>
      </c>
      <c r="X755" s="5">
        <f t="shared" si="25"/>
        <v>4.038095238095238</v>
      </c>
      <c r="Y755" s="6">
        <f t="shared" si="26"/>
        <v>870758033.99999988</v>
      </c>
    </row>
    <row r="756" spans="2:25" x14ac:dyDescent="0.25">
      <c r="B756" t="str">
        <f>Siam_Chart[[#This Row],[Name]]</f>
        <v>TMW</v>
      </c>
      <c r="C756">
        <f>Siam_Chart[[#This Row],[No.]]</f>
        <v>755</v>
      </c>
      <c r="D756">
        <f>Siam_Chart[[#This Row],[Last]]</f>
        <v>56.5</v>
      </c>
      <c r="E756">
        <f>Siam_Chart[[#This Row],[Chg%]]</f>
        <v>0.44</v>
      </c>
      <c r="F756">
        <f>Siam_Chart[[#This Row],[Volume]]</f>
        <v>14742</v>
      </c>
      <c r="G756">
        <f>Siam_Chart[[#This Row],[Value (k)]]</f>
        <v>832211</v>
      </c>
      <c r="H756" cm="1">
        <f t="array" ref="H756:W756">Siam_Chart[[#This Row],[MCap (M)]:[CG]]</f>
        <v>2254350000</v>
      </c>
      <c r="I756">
        <v>4.42</v>
      </c>
      <c r="J756">
        <v>0.56000000000000005</v>
      </c>
      <c r="K756">
        <v>0.22877</v>
      </c>
      <c r="L756">
        <v>4.07</v>
      </c>
      <c r="M756">
        <v>3.12</v>
      </c>
      <c r="N756">
        <v>13.177961</v>
      </c>
      <c r="O756">
        <v>13.1904</v>
      </c>
      <c r="P756">
        <v>11.606047</v>
      </c>
      <c r="Q756">
        <v>7.2</v>
      </c>
      <c r="R756" t="str">
        <v/>
      </c>
      <c r="S756" t="str">
        <v/>
      </c>
      <c r="T756">
        <v>181</v>
      </c>
      <c r="U756">
        <v>108</v>
      </c>
      <c r="V756">
        <v>0.05</v>
      </c>
      <c r="W756">
        <v>0</v>
      </c>
      <c r="X756" s="5">
        <f t="shared" si="25"/>
        <v>100.89285714285714</v>
      </c>
      <c r="Y756" s="6">
        <f t="shared" si="26"/>
        <v>39900000</v>
      </c>
    </row>
    <row r="757" spans="2:25" x14ac:dyDescent="0.25">
      <c r="B757" t="str">
        <f>Siam_Chart[[#This Row],[Name]]</f>
        <v>TNDT</v>
      </c>
      <c r="C757">
        <f>Siam_Chart[[#This Row],[No.]]</f>
        <v>756</v>
      </c>
      <c r="D757">
        <f>Siam_Chart[[#This Row],[Last]]</f>
        <v>0.2</v>
      </c>
      <c r="E757">
        <f>Siam_Chart[[#This Row],[Chg%]]</f>
        <v>5.26</v>
      </c>
      <c r="F757">
        <f>Siam_Chart[[#This Row],[Volume]]</f>
        <v>544400</v>
      </c>
      <c r="G757">
        <f>Siam_Chart[[#This Row],[Value (k)]]</f>
        <v>103187</v>
      </c>
      <c r="H757" cm="1">
        <f t="array" ref="H757:W757">Siam_Chart[[#This Row],[MCap (M)]:[CG]]</f>
        <v>346316541.39999998</v>
      </c>
      <c r="I757">
        <v>329000714.32999998</v>
      </c>
      <c r="J757">
        <v>4.18</v>
      </c>
      <c r="K757">
        <v>6.243601</v>
      </c>
      <c r="L757">
        <v>0.1</v>
      </c>
      <c r="M757">
        <v>-0.01</v>
      </c>
      <c r="N757">
        <v>4.3813310000000003</v>
      </c>
      <c r="O757">
        <v>-13.416918000000001</v>
      </c>
      <c r="P757">
        <v>-17.318857000000001</v>
      </c>
      <c r="Q757">
        <v>3.97</v>
      </c>
      <c r="R757" t="str">
        <v/>
      </c>
      <c r="S757" t="str">
        <v/>
      </c>
      <c r="T757">
        <v>0</v>
      </c>
      <c r="U757">
        <v>0</v>
      </c>
      <c r="V757">
        <v>0</v>
      </c>
      <c r="W757">
        <v>5</v>
      </c>
      <c r="X757" s="5">
        <f t="shared" si="25"/>
        <v>4.7846889952153117E-2</v>
      </c>
      <c r="Y757" s="6">
        <f t="shared" si="26"/>
        <v>1731582706.9999998</v>
      </c>
    </row>
    <row r="758" spans="2:25" x14ac:dyDescent="0.25">
      <c r="B758" t="str">
        <f>Siam_Chart[[#This Row],[Name]]</f>
        <v>TNH</v>
      </c>
      <c r="C758">
        <f>Siam_Chart[[#This Row],[No.]]</f>
        <v>757</v>
      </c>
      <c r="D758">
        <f>Siam_Chart[[#This Row],[Last]]</f>
        <v>28.5</v>
      </c>
      <c r="E758">
        <f>Siam_Chart[[#This Row],[Chg%]]</f>
        <v>-0.87</v>
      </c>
      <c r="F758">
        <f>Siam_Chart[[#This Row],[Volume]]</f>
        <v>8500</v>
      </c>
      <c r="G758">
        <f>Siam_Chart[[#This Row],[Value (k)]]</f>
        <v>241450</v>
      </c>
      <c r="H758" cm="1">
        <f t="array" ref="H758:W758">Siam_Chart[[#This Row],[MCap (M)]:[CG]]</f>
        <v>5130000000</v>
      </c>
      <c r="I758">
        <v>15.72</v>
      </c>
      <c r="J758">
        <v>1.48</v>
      </c>
      <c r="K758">
        <v>0.14771899999999999</v>
      </c>
      <c r="L758">
        <v>0.6</v>
      </c>
      <c r="M758">
        <v>1.3</v>
      </c>
      <c r="N758">
        <v>10.626654</v>
      </c>
      <c r="O758">
        <v>9.7021470000000001</v>
      </c>
      <c r="P758">
        <v>11.453867000000001</v>
      </c>
      <c r="Q758">
        <v>2.11</v>
      </c>
      <c r="R758" t="str">
        <v/>
      </c>
      <c r="S758" t="str">
        <v/>
      </c>
      <c r="T758">
        <v>758</v>
      </c>
      <c r="U758">
        <v>621</v>
      </c>
      <c r="V758">
        <v>1.5</v>
      </c>
      <c r="W758">
        <v>0</v>
      </c>
      <c r="X758" s="5">
        <f t="shared" si="25"/>
        <v>19.256756756756758</v>
      </c>
      <c r="Y758" s="6">
        <f t="shared" si="26"/>
        <v>180000000</v>
      </c>
    </row>
    <row r="759" spans="2:25" x14ac:dyDescent="0.25">
      <c r="B759" t="str">
        <f>Siam_Chart[[#This Row],[Name]]</f>
        <v>TNITY</v>
      </c>
      <c r="C759">
        <f>Siam_Chart[[#This Row],[No.]]</f>
        <v>758</v>
      </c>
      <c r="D759">
        <f>Siam_Chart[[#This Row],[Last]]</f>
        <v>2.48</v>
      </c>
      <c r="E759">
        <f>Siam_Chart[[#This Row],[Chg%]]</f>
        <v>1.64</v>
      </c>
      <c r="F759">
        <f>Siam_Chart[[#This Row],[Volume]]</f>
        <v>80400</v>
      </c>
      <c r="G759">
        <f>Siam_Chart[[#This Row],[Value (k)]]</f>
        <v>199926</v>
      </c>
      <c r="H759" cm="1">
        <f t="array" ref="H759:W759">Siam_Chart[[#This Row],[MCap (M)]:[CG]]</f>
        <v>531724018.07999998</v>
      </c>
      <c r="I759">
        <v>536012115</v>
      </c>
      <c r="J759">
        <v>0.41</v>
      </c>
      <c r="K759">
        <v>2.2121629999999999</v>
      </c>
      <c r="L759">
        <v>0.17499999999999999</v>
      </c>
      <c r="M759">
        <v>0.4536744993601543</v>
      </c>
      <c r="N759">
        <v>0.45367400000000002</v>
      </c>
      <c r="O759">
        <v>-4.7612439999999996</v>
      </c>
      <c r="P759">
        <v>0.22453899999999999</v>
      </c>
      <c r="Q759">
        <v>0.41</v>
      </c>
      <c r="R759" t="str">
        <v/>
      </c>
      <c r="S759" t="str">
        <v/>
      </c>
      <c r="T759">
        <v>0</v>
      </c>
      <c r="U759">
        <v>0</v>
      </c>
      <c r="V759">
        <v>0</v>
      </c>
      <c r="W759">
        <v>5</v>
      </c>
      <c r="X759" s="5">
        <f t="shared" si="25"/>
        <v>6.0487804878048781</v>
      </c>
      <c r="Y759" s="6">
        <f t="shared" si="26"/>
        <v>214404846</v>
      </c>
    </row>
    <row r="760" spans="2:25" x14ac:dyDescent="0.25">
      <c r="B760" t="str">
        <f>Siam_Chart[[#This Row],[Name]]</f>
        <v>TNL</v>
      </c>
      <c r="C760">
        <f>Siam_Chart[[#This Row],[No.]]</f>
        <v>759</v>
      </c>
      <c r="D760">
        <f>Siam_Chart[[#This Row],[Last]]</f>
        <v>19.2</v>
      </c>
      <c r="E760">
        <f>Siam_Chart[[#This Row],[Chg%]]</f>
        <v>0</v>
      </c>
      <c r="F760">
        <f>Siam_Chart[[#This Row],[Volume]]</f>
        <v>2300</v>
      </c>
      <c r="G760">
        <f>Siam_Chart[[#This Row],[Value (k)]]</f>
        <v>44110</v>
      </c>
      <c r="H760" cm="1">
        <f t="array" ref="H760:W760">Siam_Chart[[#This Row],[MCap (M)]:[CG]]</f>
        <v>5635519247</v>
      </c>
      <c r="I760">
        <v>12</v>
      </c>
      <c r="J760">
        <v>0.52</v>
      </c>
      <c r="K760">
        <v>0.35064600000000001</v>
      </c>
      <c r="L760">
        <v>0.6</v>
      </c>
      <c r="M760">
        <v>0.82</v>
      </c>
      <c r="N760">
        <v>5.6787780000000003</v>
      </c>
      <c r="O760">
        <v>4.3511480000000002</v>
      </c>
      <c r="P760">
        <v>45.847653999999999</v>
      </c>
      <c r="Q760">
        <v>3.24</v>
      </c>
      <c r="R760" t="str">
        <v/>
      </c>
      <c r="S760" t="str">
        <v/>
      </c>
      <c r="T760">
        <v>879</v>
      </c>
      <c r="U760">
        <v>732</v>
      </c>
      <c r="V760">
        <v>0.12</v>
      </c>
      <c r="W760">
        <v>5</v>
      </c>
      <c r="X760" s="5">
        <f t="shared" si="25"/>
        <v>36.92307692307692</v>
      </c>
      <c r="Y760" s="6">
        <f t="shared" si="26"/>
        <v>293516627.44791669</v>
      </c>
    </row>
    <row r="761" spans="2:25" x14ac:dyDescent="0.25">
      <c r="B761" t="str">
        <f>Siam_Chart[[#This Row],[Name]]</f>
        <v>TNP</v>
      </c>
      <c r="C761">
        <f>Siam_Chart[[#This Row],[No.]]</f>
        <v>760</v>
      </c>
      <c r="D761">
        <f>Siam_Chart[[#This Row],[Last]]</f>
        <v>2.9</v>
      </c>
      <c r="E761">
        <f>Siam_Chart[[#This Row],[Chg%]]</f>
        <v>0</v>
      </c>
      <c r="F761">
        <f>Siam_Chart[[#This Row],[Volume]]</f>
        <v>86250</v>
      </c>
      <c r="G761">
        <f>Siam_Chart[[#This Row],[Value (k)]]</f>
        <v>248598.2</v>
      </c>
      <c r="H761" cm="1">
        <f t="array" ref="H761:W761">Siam_Chart[[#This Row],[MCap (M)]:[CG]]</f>
        <v>2320000000</v>
      </c>
      <c r="I761">
        <v>10.78</v>
      </c>
      <c r="J761">
        <v>1.68</v>
      </c>
      <c r="K761">
        <v>0.28554800000000002</v>
      </c>
      <c r="L761">
        <v>5.2499999999999998E-2</v>
      </c>
      <c r="M761">
        <v>0.13</v>
      </c>
      <c r="N761">
        <v>15.885104</v>
      </c>
      <c r="O761">
        <v>16.323913999999998</v>
      </c>
      <c r="P761">
        <v>6.3492639999999998</v>
      </c>
      <c r="Q761">
        <v>3.62</v>
      </c>
      <c r="R761" t="str">
        <v/>
      </c>
      <c r="S761" t="str">
        <v/>
      </c>
      <c r="T761">
        <v>415</v>
      </c>
      <c r="U761">
        <v>345</v>
      </c>
      <c r="V761">
        <v>2.71</v>
      </c>
      <c r="W761">
        <v>4</v>
      </c>
      <c r="X761" s="5">
        <f t="shared" si="25"/>
        <v>1.7261904761904763</v>
      </c>
      <c r="Y761" s="6">
        <f t="shared" si="26"/>
        <v>800000000</v>
      </c>
    </row>
    <row r="762" spans="2:25" x14ac:dyDescent="0.25">
      <c r="B762" t="str">
        <f>Siam_Chart[[#This Row],[Name]]</f>
        <v>TNPC</v>
      </c>
      <c r="C762">
        <f>Siam_Chart[[#This Row],[No.]]</f>
        <v>761</v>
      </c>
      <c r="D762">
        <f>Siam_Chart[[#This Row],[Last]]</f>
        <v>0.96</v>
      </c>
      <c r="E762">
        <f>Siam_Chart[[#This Row],[Chg%]]</f>
        <v>-1.03</v>
      </c>
      <c r="F762">
        <f>Siam_Chart[[#This Row],[Volume]]</f>
        <v>14800</v>
      </c>
      <c r="G762">
        <f>Siam_Chart[[#This Row],[Value (k)]]</f>
        <v>14066</v>
      </c>
      <c r="H762" cm="1">
        <f t="array" ref="H762:W762">Siam_Chart[[#This Row],[MCap (M)]:[CG]]</f>
        <v>327181372.80000001</v>
      </c>
      <c r="I762">
        <v>320365094.19999999</v>
      </c>
      <c r="J762">
        <v>0.83</v>
      </c>
      <c r="K762">
        <v>2.0912419999999998</v>
      </c>
      <c r="L762">
        <v>1.7999999999999999E-2</v>
      </c>
      <c r="M762">
        <v>0.04</v>
      </c>
      <c r="N762">
        <v>0.62778800000000001</v>
      </c>
      <c r="O762">
        <v>-21.956420999999999</v>
      </c>
      <c r="P762">
        <v>1.7272069999999999</v>
      </c>
      <c r="Q762">
        <v>0.82</v>
      </c>
      <c r="R762" t="str">
        <v/>
      </c>
      <c r="S762" t="str">
        <v/>
      </c>
      <c r="T762">
        <v>0</v>
      </c>
      <c r="U762">
        <v>0</v>
      </c>
      <c r="V762">
        <v>0</v>
      </c>
      <c r="W762">
        <v>0</v>
      </c>
      <c r="X762" s="5">
        <f t="shared" si="25"/>
        <v>1.1566265060240963</v>
      </c>
      <c r="Y762" s="6">
        <f t="shared" si="26"/>
        <v>340813930</v>
      </c>
    </row>
    <row r="763" spans="2:25" x14ac:dyDescent="0.25">
      <c r="B763" t="str">
        <f>Siam_Chart[[#This Row],[Name]]</f>
        <v>TNR</v>
      </c>
      <c r="C763">
        <f>Siam_Chart[[#This Row],[No.]]</f>
        <v>762</v>
      </c>
      <c r="D763">
        <f>Siam_Chart[[#This Row],[Last]]</f>
        <v>6.2</v>
      </c>
      <c r="E763">
        <f>Siam_Chart[[#This Row],[Chg%]]</f>
        <v>1.64</v>
      </c>
      <c r="F763">
        <f>Siam_Chart[[#This Row],[Volume]]</f>
        <v>116300</v>
      </c>
      <c r="G763">
        <f>Siam_Chart[[#This Row],[Value (k)]]</f>
        <v>718970</v>
      </c>
      <c r="H763" cm="1">
        <f t="array" ref="H763:W763">Siam_Chart[[#This Row],[MCap (M)]:[CG]]</f>
        <v>1860000000</v>
      </c>
      <c r="I763">
        <v>10.01</v>
      </c>
      <c r="J763">
        <v>1.42</v>
      </c>
      <c r="K763">
        <v>0.95876899999999998</v>
      </c>
      <c r="L763">
        <v>0.2</v>
      </c>
      <c r="M763">
        <v>0.45</v>
      </c>
      <c r="N763">
        <v>9.0974190000000004</v>
      </c>
      <c r="O763">
        <v>14.452809</v>
      </c>
      <c r="P763">
        <v>14.225178</v>
      </c>
      <c r="Q763">
        <v>6.45</v>
      </c>
      <c r="R763" t="str">
        <v/>
      </c>
      <c r="S763" t="str">
        <v/>
      </c>
      <c r="T763">
        <v>367</v>
      </c>
      <c r="U763">
        <v>410</v>
      </c>
      <c r="V763">
        <v>-0.41</v>
      </c>
      <c r="W763">
        <v>4</v>
      </c>
      <c r="X763" s="5">
        <f t="shared" si="25"/>
        <v>4.3661971830985919</v>
      </c>
      <c r="Y763" s="6">
        <f t="shared" si="26"/>
        <v>300000000</v>
      </c>
    </row>
    <row r="764" spans="2:25" x14ac:dyDescent="0.25">
      <c r="B764" t="str">
        <f>Siam_Chart[[#This Row],[Name]]</f>
        <v>TOA</v>
      </c>
      <c r="C764">
        <f>Siam_Chart[[#This Row],[No.]]</f>
        <v>763</v>
      </c>
      <c r="D764">
        <f>Siam_Chart[[#This Row],[Last]]</f>
        <v>15.2</v>
      </c>
      <c r="E764">
        <f>Siam_Chart[[#This Row],[Chg%]]</f>
        <v>-1.94</v>
      </c>
      <c r="F764">
        <f>Siam_Chart[[#This Row],[Volume]]</f>
        <v>1272491</v>
      </c>
      <c r="G764">
        <f>Siam_Chart[[#This Row],[Value (k)]]</f>
        <v>19353308.800000001</v>
      </c>
      <c r="H764" cm="1">
        <f t="array" ref="H764:W764">Siam_Chart[[#This Row],[MCap (M)]:[CG]]</f>
        <v>30840800000</v>
      </c>
      <c r="I764">
        <v>9.1999999999999993</v>
      </c>
      <c r="J764">
        <v>1.9</v>
      </c>
      <c r="K764">
        <v>0.44663199999999997</v>
      </c>
      <c r="L764">
        <v>0.38</v>
      </c>
      <c r="M764">
        <v>0.86</v>
      </c>
      <c r="N764">
        <v>18.619378999999999</v>
      </c>
      <c r="O764">
        <v>21.923684999999999</v>
      </c>
      <c r="P764">
        <v>15.067942</v>
      </c>
      <c r="Q764">
        <v>4.93</v>
      </c>
      <c r="R764" t="str">
        <v/>
      </c>
      <c r="S764" t="str">
        <v/>
      </c>
      <c r="T764">
        <v>348</v>
      </c>
      <c r="U764">
        <v>316</v>
      </c>
      <c r="V764">
        <v>0.52</v>
      </c>
      <c r="W764">
        <v>5</v>
      </c>
      <c r="X764" s="5">
        <f t="shared" si="25"/>
        <v>8</v>
      </c>
      <c r="Y764" s="6">
        <f t="shared" si="26"/>
        <v>2029000000</v>
      </c>
    </row>
    <row r="765" spans="2:25" x14ac:dyDescent="0.25">
      <c r="B765" t="str">
        <f>Siam_Chart[[#This Row],[Name]]</f>
        <v>TOG</v>
      </c>
      <c r="C765">
        <f>Siam_Chart[[#This Row],[No.]]</f>
        <v>764</v>
      </c>
      <c r="D765">
        <f>Siam_Chart[[#This Row],[Last]]</f>
        <v>7.05</v>
      </c>
      <c r="E765">
        <f>Siam_Chart[[#This Row],[Chg%]]</f>
        <v>-0.7</v>
      </c>
      <c r="F765">
        <f>Siam_Chart[[#This Row],[Volume]]</f>
        <v>97440</v>
      </c>
      <c r="G765">
        <f>Siam_Chart[[#This Row],[Value (k)]]</f>
        <v>691315</v>
      </c>
      <c r="H765" cm="1">
        <f t="array" ref="H765:W765">Siam_Chart[[#This Row],[MCap (M)]:[CG]]</f>
        <v>3343941900</v>
      </c>
      <c r="I765">
        <v>12.58</v>
      </c>
      <c r="J765">
        <v>1.4</v>
      </c>
      <c r="K765">
        <v>0.89157900000000001</v>
      </c>
      <c r="L765">
        <v>0.15</v>
      </c>
      <c r="M765">
        <v>0.15</v>
      </c>
      <c r="N765">
        <v>6.5816520000000001</v>
      </c>
      <c r="O765">
        <v>11.201654</v>
      </c>
      <c r="P765">
        <v>3.7353869999999998</v>
      </c>
      <c r="Q765">
        <v>7.09</v>
      </c>
      <c r="R765" t="str">
        <v/>
      </c>
      <c r="S765" t="str">
        <v/>
      </c>
      <c r="T765">
        <v>628</v>
      </c>
      <c r="U765">
        <v>714</v>
      </c>
      <c r="V765">
        <v>3.84</v>
      </c>
      <c r="W765">
        <v>5</v>
      </c>
      <c r="X765" s="5">
        <f t="shared" si="25"/>
        <v>5.0357142857142856</v>
      </c>
      <c r="Y765" s="6">
        <f t="shared" si="26"/>
        <v>474318000</v>
      </c>
    </row>
    <row r="766" spans="2:25" x14ac:dyDescent="0.25">
      <c r="B766" t="str">
        <f>Siam_Chart[[#This Row],[Name]]</f>
        <v>TOP</v>
      </c>
      <c r="C766">
        <f>Siam_Chart[[#This Row],[No.]]</f>
        <v>765</v>
      </c>
      <c r="D766">
        <f>Siam_Chart[[#This Row],[Last]]</f>
        <v>62</v>
      </c>
      <c r="E766">
        <f>Siam_Chart[[#This Row],[Chg%]]</f>
        <v>-0.4</v>
      </c>
      <c r="F766">
        <f>Siam_Chart[[#This Row],[Volume]]</f>
        <v>16941576</v>
      </c>
      <c r="G766">
        <f>Siam_Chart[[#This Row],[Value (k)]]</f>
        <v>1047600742.25</v>
      </c>
      <c r="H766" cm="1">
        <f t="array" ref="H766:W766">Siam_Chart[[#This Row],[MCap (M)]:[CG]]</f>
        <v>138497805092</v>
      </c>
      <c r="I766">
        <v>4.28</v>
      </c>
      <c r="J766">
        <v>0.68</v>
      </c>
      <c r="K766">
        <v>0.85978200000000005</v>
      </c>
      <c r="L766">
        <v>1</v>
      </c>
      <c r="M766">
        <v>12.43</v>
      </c>
      <c r="N766">
        <v>10.439140999999999</v>
      </c>
      <c r="O766">
        <v>17.426742000000001</v>
      </c>
      <c r="P766">
        <v>11.131016000000001</v>
      </c>
      <c r="Q766">
        <v>2.9</v>
      </c>
      <c r="R766" t="str">
        <v/>
      </c>
      <c r="S766" t="str">
        <v/>
      </c>
      <c r="T766">
        <v>161</v>
      </c>
      <c r="U766">
        <v>243</v>
      </c>
      <c r="V766">
        <v>0.17</v>
      </c>
      <c r="W766">
        <v>5</v>
      </c>
      <c r="X766" s="5">
        <f t="shared" si="25"/>
        <v>91.17647058823529</v>
      </c>
      <c r="Y766" s="6">
        <f t="shared" si="26"/>
        <v>2233835566</v>
      </c>
    </row>
    <row r="767" spans="2:25" x14ac:dyDescent="0.25">
      <c r="B767" t="str">
        <f>Siam_Chart[[#This Row],[Name]]</f>
        <v>TOPP</v>
      </c>
      <c r="C767">
        <f>Siam_Chart[[#This Row],[No.]]</f>
        <v>766</v>
      </c>
      <c r="D767">
        <f>Siam_Chart[[#This Row],[Last]]</f>
        <v>133</v>
      </c>
      <c r="E767">
        <f>Siam_Chart[[#This Row],[Chg%]]</f>
        <v>0</v>
      </c>
      <c r="F767">
        <f>Siam_Chart[[#This Row],[Volume]]</f>
        <v>201</v>
      </c>
      <c r="G767">
        <f>Siam_Chart[[#This Row],[Value (k)]]</f>
        <v>26772.5</v>
      </c>
      <c r="H767" cm="1">
        <f t="array" ref="H767:W767">Siam_Chart[[#This Row],[MCap (M)]:[CG]]</f>
        <v>798000000</v>
      </c>
      <c r="I767">
        <v>5.24</v>
      </c>
      <c r="J767">
        <v>0.44</v>
      </c>
      <c r="K767">
        <v>0.18679599999999999</v>
      </c>
      <c r="L767">
        <v>4.42</v>
      </c>
      <c r="M767">
        <v>15.12</v>
      </c>
      <c r="N767">
        <v>8.860811</v>
      </c>
      <c r="O767">
        <v>8.6465759999999996</v>
      </c>
      <c r="P767">
        <v>10.025349</v>
      </c>
      <c r="Q767">
        <v>3.32</v>
      </c>
      <c r="R767" t="str">
        <v/>
      </c>
      <c r="S767" t="str">
        <v/>
      </c>
      <c r="T767">
        <v>589</v>
      </c>
      <c r="U767">
        <v>475</v>
      </c>
      <c r="V767">
        <v>1.06</v>
      </c>
      <c r="W767">
        <v>3</v>
      </c>
      <c r="X767" s="5">
        <f t="shared" si="25"/>
        <v>302.27272727272725</v>
      </c>
      <c r="Y767" s="6">
        <f t="shared" si="26"/>
        <v>6000000</v>
      </c>
    </row>
    <row r="768" spans="2:25" x14ac:dyDescent="0.25">
      <c r="B768" t="str">
        <f>Siam_Chart[[#This Row],[Name]]</f>
        <v>TPA</v>
      </c>
      <c r="C768">
        <f>Siam_Chart[[#This Row],[No.]]</f>
        <v>767</v>
      </c>
      <c r="D768">
        <f>Siam_Chart[[#This Row],[Last]]</f>
        <v>2.7</v>
      </c>
      <c r="E768">
        <f>Siam_Chart[[#This Row],[Chg%]]</f>
        <v>-1.46</v>
      </c>
      <c r="F768">
        <f>Siam_Chart[[#This Row],[Volume]]</f>
        <v>16702</v>
      </c>
      <c r="G768">
        <f>Siam_Chart[[#This Row],[Value (k)]]</f>
        <v>42721.4</v>
      </c>
      <c r="H768" cm="1">
        <f t="array" ref="H768:W768">Siam_Chart[[#This Row],[MCap (M)]:[CG]]</f>
        <v>328050000</v>
      </c>
      <c r="I768">
        <v>54.5</v>
      </c>
      <c r="J768">
        <v>0.91</v>
      </c>
      <c r="K768">
        <v>0.45956999999999998</v>
      </c>
      <c r="L768">
        <v>0.25</v>
      </c>
      <c r="M768">
        <v>0.04</v>
      </c>
      <c r="N768">
        <v>1.07613</v>
      </c>
      <c r="O768">
        <v>1.6922029999999999</v>
      </c>
      <c r="P768">
        <v>2.0452940000000002</v>
      </c>
      <c r="Q768">
        <v>0.86</v>
      </c>
      <c r="R768" t="str">
        <v/>
      </c>
      <c r="S768" t="str">
        <v/>
      </c>
      <c r="T768">
        <v>1286</v>
      </c>
      <c r="U768">
        <v>1335</v>
      </c>
      <c r="V768">
        <v>-0.3</v>
      </c>
      <c r="W768">
        <v>4</v>
      </c>
      <c r="X768" s="5">
        <f t="shared" si="25"/>
        <v>2.9670329670329672</v>
      </c>
      <c r="Y768" s="6">
        <f t="shared" si="26"/>
        <v>121499999.99999999</v>
      </c>
    </row>
    <row r="769" spans="2:25" x14ac:dyDescent="0.25">
      <c r="B769" t="str">
        <f>Siam_Chart[[#This Row],[Name]]</f>
        <v>TPAC</v>
      </c>
      <c r="C769">
        <f>Siam_Chart[[#This Row],[No.]]</f>
        <v>768</v>
      </c>
      <c r="D769">
        <f>Siam_Chart[[#This Row],[Last]]</f>
        <v>10.4</v>
      </c>
      <c r="E769">
        <f>Siam_Chart[[#This Row],[Chg%]]</f>
        <v>0.97</v>
      </c>
      <c r="F769">
        <f>Siam_Chart[[#This Row],[Volume]]</f>
        <v>35504</v>
      </c>
      <c r="G769">
        <f>Siam_Chart[[#This Row],[Value (k)]]</f>
        <v>365554</v>
      </c>
      <c r="H769" cm="1">
        <f t="array" ref="H769:W769">Siam_Chart[[#This Row],[MCap (M)]:[CG]]</f>
        <v>3396119989.5999999</v>
      </c>
      <c r="I769">
        <v>6.09</v>
      </c>
      <c r="J769">
        <v>1.0900000000000001</v>
      </c>
      <c r="K769">
        <v>1.5049650000000001</v>
      </c>
      <c r="L769">
        <v>0.438</v>
      </c>
      <c r="M769">
        <v>0.89</v>
      </c>
      <c r="N769">
        <v>11.060997</v>
      </c>
      <c r="O769">
        <v>18.770045</v>
      </c>
      <c r="P769">
        <v>7.7939550000000004</v>
      </c>
      <c r="Q769">
        <v>4.21</v>
      </c>
      <c r="R769" t="str">
        <v/>
      </c>
      <c r="S769" t="str">
        <v/>
      </c>
      <c r="T769">
        <v>160</v>
      </c>
      <c r="U769">
        <v>205</v>
      </c>
      <c r="V769">
        <v>0.14000000000000001</v>
      </c>
      <c r="W769">
        <v>5</v>
      </c>
      <c r="X769" s="5">
        <f t="shared" si="25"/>
        <v>9.5412844036697244</v>
      </c>
      <c r="Y769" s="6">
        <f t="shared" si="26"/>
        <v>326549999</v>
      </c>
    </row>
    <row r="770" spans="2:25" x14ac:dyDescent="0.25">
      <c r="B770" t="str">
        <f>Siam_Chart[[#This Row],[Name]]</f>
        <v>TPBI</v>
      </c>
      <c r="C770">
        <f>Siam_Chart[[#This Row],[No.]]</f>
        <v>769</v>
      </c>
      <c r="D770">
        <f>Siam_Chart[[#This Row],[Last]]</f>
        <v>3.7</v>
      </c>
      <c r="E770">
        <f>Siam_Chart[[#This Row],[Chg%]]</f>
        <v>2.78</v>
      </c>
      <c r="F770">
        <f>Siam_Chart[[#This Row],[Volume]]</f>
        <v>299100</v>
      </c>
      <c r="G770">
        <f>Siam_Chart[[#This Row],[Value (k)]]</f>
        <v>1096852</v>
      </c>
      <c r="H770" cm="1">
        <f t="array" ref="H770:W770">Siam_Chart[[#This Row],[MCap (M)]:[CG]]</f>
        <v>1542455630</v>
      </c>
      <c r="I770">
        <v>6.83</v>
      </c>
      <c r="J770">
        <v>0.52</v>
      </c>
      <c r="K770">
        <v>0.49817099999999997</v>
      </c>
      <c r="L770">
        <v>0.23</v>
      </c>
      <c r="M770">
        <v>0.36</v>
      </c>
      <c r="N770">
        <v>7.2198089999999997</v>
      </c>
      <c r="O770">
        <v>7.8197010000000002</v>
      </c>
      <c r="P770">
        <v>6.629912</v>
      </c>
      <c r="Q770">
        <v>6.22</v>
      </c>
      <c r="R770" t="str">
        <v/>
      </c>
      <c r="S770" t="str">
        <v/>
      </c>
      <c r="T770">
        <v>449</v>
      </c>
      <c r="U770">
        <v>364</v>
      </c>
      <c r="V770">
        <v>0.06</v>
      </c>
      <c r="W770">
        <v>5</v>
      </c>
      <c r="X770" s="5">
        <f t="shared" si="25"/>
        <v>7.1153846153846159</v>
      </c>
      <c r="Y770" s="6">
        <f t="shared" si="26"/>
        <v>416879900</v>
      </c>
    </row>
    <row r="771" spans="2:25" x14ac:dyDescent="0.25">
      <c r="B771" t="str">
        <f>Siam_Chart[[#This Row],[Name]]</f>
        <v>TPCH</v>
      </c>
      <c r="C771">
        <f>Siam_Chart[[#This Row],[No.]]</f>
        <v>770</v>
      </c>
      <c r="D771">
        <f>Siam_Chart[[#This Row],[Last]]</f>
        <v>0.94</v>
      </c>
      <c r="E771">
        <f>Siam_Chart[[#This Row],[Chg%]]</f>
        <v>-1.05</v>
      </c>
      <c r="F771">
        <f>Siam_Chart[[#This Row],[Volume]]</f>
        <v>4569077</v>
      </c>
      <c r="G771">
        <f>Siam_Chart[[#This Row],[Value (k)]]</f>
        <v>4412825.5199999996</v>
      </c>
      <c r="H771" cm="1">
        <f t="array" ref="H771:W771">Siam_Chart[[#This Row],[MCap (M)]:[CG]]</f>
        <v>377128000</v>
      </c>
      <c r="I771">
        <v>477428000</v>
      </c>
      <c r="J771">
        <v>0.16</v>
      </c>
      <c r="K771">
        <v>1.0510250000000001</v>
      </c>
      <c r="L771">
        <v>3.6999999999999998E-2</v>
      </c>
      <c r="M771">
        <v>-1.55</v>
      </c>
      <c r="N771">
        <v>-8.8877020000000009</v>
      </c>
      <c r="O771">
        <v>-31.934697</v>
      </c>
      <c r="P771">
        <v>-50.768687999999997</v>
      </c>
      <c r="Q771">
        <v>0.2</v>
      </c>
      <c r="R771" t="str">
        <v/>
      </c>
      <c r="S771" t="str">
        <v/>
      </c>
      <c r="T771">
        <v>0</v>
      </c>
      <c r="U771">
        <v>0</v>
      </c>
      <c r="V771">
        <v>0</v>
      </c>
      <c r="W771">
        <v>0</v>
      </c>
      <c r="X771" s="5">
        <f t="shared" si="25"/>
        <v>5.8749999999999991</v>
      </c>
      <c r="Y771" s="6">
        <f t="shared" si="26"/>
        <v>401200000</v>
      </c>
    </row>
    <row r="772" spans="2:25" x14ac:dyDescent="0.25">
      <c r="B772" t="str">
        <f>Siam_Chart[[#This Row],[Name]]</f>
        <v>TPCS</v>
      </c>
      <c r="C772">
        <f>Siam_Chart[[#This Row],[No.]]</f>
        <v>771</v>
      </c>
      <c r="D772">
        <f>Siam_Chart[[#This Row],[Last]]</f>
        <v>10.3</v>
      </c>
      <c r="E772">
        <f>Siam_Chart[[#This Row],[Chg%]]</f>
        <v>0.98</v>
      </c>
      <c r="F772">
        <f>Siam_Chart[[#This Row],[Volume]]</f>
        <v>1603</v>
      </c>
      <c r="G772">
        <f>Siam_Chart[[#This Row],[Value (k)]]</f>
        <v>16380.6</v>
      </c>
      <c r="H772" cm="1">
        <f t="array" ref="H772:W772">Siam_Chart[[#This Row],[MCap (M)]:[CG]]</f>
        <v>1101600000</v>
      </c>
      <c r="I772">
        <v>13.48</v>
      </c>
      <c r="J772">
        <v>0.4</v>
      </c>
      <c r="K772">
        <v>0.110985</v>
      </c>
      <c r="L772">
        <v>0.7</v>
      </c>
      <c r="M772">
        <v>0.51</v>
      </c>
      <c r="N772">
        <v>2.8340269999999999</v>
      </c>
      <c r="O772">
        <v>3.040216</v>
      </c>
      <c r="P772">
        <v>8.0487590000000004</v>
      </c>
      <c r="Q772">
        <v>6.86</v>
      </c>
      <c r="R772" t="str">
        <v/>
      </c>
      <c r="S772" t="str">
        <v/>
      </c>
      <c r="T772">
        <v>900</v>
      </c>
      <c r="U772">
        <v>872</v>
      </c>
      <c r="V772">
        <v>-0.03</v>
      </c>
      <c r="W772">
        <v>4</v>
      </c>
      <c r="X772" s="5">
        <f t="shared" ref="X772:X835" si="27">IFERROR(D772/J772,0)</f>
        <v>25.75</v>
      </c>
      <c r="Y772" s="6">
        <f t="shared" ref="Y772:Y835" si="28">IFERROR(H772/D772,0)</f>
        <v>106951456.3106796</v>
      </c>
    </row>
    <row r="773" spans="2:25" x14ac:dyDescent="0.25">
      <c r="B773" t="str">
        <f>Siam_Chart[[#This Row],[Name]]</f>
        <v>TPIPL</v>
      </c>
      <c r="C773">
        <f>Siam_Chart[[#This Row],[No.]]</f>
        <v>772</v>
      </c>
      <c r="D773">
        <f>Siam_Chart[[#This Row],[Last]]</f>
        <v>0.91</v>
      </c>
      <c r="E773">
        <f>Siam_Chart[[#This Row],[Chg%]]</f>
        <v>0</v>
      </c>
      <c r="F773">
        <f>Siam_Chart[[#This Row],[Volume]]</f>
        <v>5594255</v>
      </c>
      <c r="G773">
        <f>Siam_Chart[[#This Row],[Value (k)]]</f>
        <v>5096152.29</v>
      </c>
      <c r="H773" cm="1">
        <f t="array" ref="H773:W773">Siam_Chart[[#This Row],[MCap (M)]:[CG]]</f>
        <v>17231063850</v>
      </c>
      <c r="I773">
        <v>6.83</v>
      </c>
      <c r="J773">
        <v>0.3</v>
      </c>
      <c r="K773">
        <v>1.401195</v>
      </c>
      <c r="L773">
        <v>0.03</v>
      </c>
      <c r="M773">
        <v>0.1</v>
      </c>
      <c r="N773">
        <v>3.832036</v>
      </c>
      <c r="O773">
        <v>4.4897499999999999</v>
      </c>
      <c r="P773">
        <v>10.463775</v>
      </c>
      <c r="Q773">
        <v>3.3</v>
      </c>
      <c r="R773" t="str">
        <v/>
      </c>
      <c r="S773" t="str">
        <v/>
      </c>
      <c r="T773">
        <v>694</v>
      </c>
      <c r="U773">
        <v>667</v>
      </c>
      <c r="V773">
        <v>-0.67</v>
      </c>
      <c r="W773">
        <v>4</v>
      </c>
      <c r="X773" s="5">
        <f t="shared" si="27"/>
        <v>3.0333333333333337</v>
      </c>
      <c r="Y773" s="6">
        <f t="shared" si="28"/>
        <v>18935235000</v>
      </c>
    </row>
    <row r="774" spans="2:25" x14ac:dyDescent="0.25">
      <c r="B774" t="str">
        <f>Siam_Chart[[#This Row],[Name]]</f>
        <v>TPIPP</v>
      </c>
      <c r="C774">
        <f>Siam_Chart[[#This Row],[No.]]</f>
        <v>773</v>
      </c>
      <c r="D774">
        <f>Siam_Chart[[#This Row],[Last]]</f>
        <v>1.76</v>
      </c>
      <c r="E774">
        <f>Siam_Chart[[#This Row],[Chg%]]</f>
        <v>0.56999999999999995</v>
      </c>
      <c r="F774">
        <f>Siam_Chart[[#This Row],[Volume]]</f>
        <v>3681865</v>
      </c>
      <c r="G774">
        <f>Siam_Chart[[#This Row],[Value (k)]]</f>
        <v>6456025.0700000003</v>
      </c>
      <c r="H774" cm="1">
        <f t="array" ref="H774:W774">Siam_Chart[[#This Row],[MCap (M)]:[CG]]</f>
        <v>14784000000</v>
      </c>
      <c r="I774">
        <v>11.09</v>
      </c>
      <c r="J774">
        <v>0.41</v>
      </c>
      <c r="K774">
        <v>0.88279600000000003</v>
      </c>
      <c r="L774">
        <v>7.0000000000000007E-2</v>
      </c>
      <c r="M774">
        <v>0.06</v>
      </c>
      <c r="N774">
        <v>3.0881120000000002</v>
      </c>
      <c r="O774">
        <v>3.708256</v>
      </c>
      <c r="P774">
        <v>11.976452</v>
      </c>
      <c r="Q774">
        <v>3.98</v>
      </c>
      <c r="R774" t="str">
        <v/>
      </c>
      <c r="S774" t="str">
        <v/>
      </c>
      <c r="T774">
        <v>866</v>
      </c>
      <c r="U774">
        <v>866</v>
      </c>
      <c r="V774">
        <v>-1.02</v>
      </c>
      <c r="W774">
        <v>4</v>
      </c>
      <c r="X774" s="5">
        <f t="shared" si="27"/>
        <v>4.2926829268292686</v>
      </c>
      <c r="Y774" s="6">
        <f t="shared" si="28"/>
        <v>8400000000</v>
      </c>
    </row>
    <row r="775" spans="2:25" x14ac:dyDescent="0.25">
      <c r="B775" t="str">
        <f>Siam_Chart[[#This Row],[Name]]</f>
        <v>TPL</v>
      </c>
      <c r="C775">
        <f>Siam_Chart[[#This Row],[No.]]</f>
        <v>774</v>
      </c>
      <c r="D775">
        <f>Siam_Chart[[#This Row],[Last]]</f>
        <v>0.47</v>
      </c>
      <c r="E775">
        <f>Siam_Chart[[#This Row],[Chg%]]</f>
        <v>-2.08</v>
      </c>
      <c r="F775">
        <f>Siam_Chart[[#This Row],[Volume]]</f>
        <v>234201</v>
      </c>
      <c r="G775">
        <f>Siam_Chart[[#This Row],[Value (k)]]</f>
        <v>111240.49</v>
      </c>
      <c r="H775" cm="1">
        <f t="array" ref="H775:W775">Siam_Chart[[#This Row],[MCap (M)]:[CG]]</f>
        <v>926183730.07000005</v>
      </c>
      <c r="I775">
        <v>965595803.69000006</v>
      </c>
      <c r="J775">
        <v>0.55000000000000004</v>
      </c>
      <c r="K775">
        <v>0.70853600000000005</v>
      </c>
      <c r="L775">
        <v>-0.02</v>
      </c>
      <c r="M775">
        <v>-0.02</v>
      </c>
      <c r="N775">
        <v>-3.7103039999999998</v>
      </c>
      <c r="O775">
        <v>-9.2289720000000006</v>
      </c>
      <c r="P775">
        <v>-5.3811</v>
      </c>
      <c r="Q775">
        <v>0.56999999999999995</v>
      </c>
      <c r="R775" t="str">
        <v/>
      </c>
      <c r="S775" t="str">
        <v/>
      </c>
      <c r="T775">
        <v>0</v>
      </c>
      <c r="U775">
        <v>0</v>
      </c>
      <c r="V775">
        <v>0</v>
      </c>
      <c r="W775">
        <v>0</v>
      </c>
      <c r="X775" s="5">
        <f t="shared" si="27"/>
        <v>0.85454545454545439</v>
      </c>
      <c r="Y775" s="6">
        <f t="shared" si="28"/>
        <v>1970603681.0000002</v>
      </c>
    </row>
    <row r="776" spans="2:25" x14ac:dyDescent="0.25">
      <c r="B776" t="str">
        <f>Siam_Chart[[#This Row],[Name]]</f>
        <v>TPLAS</v>
      </c>
      <c r="C776">
        <f>Siam_Chart[[#This Row],[No.]]</f>
        <v>775</v>
      </c>
      <c r="D776">
        <f>Siam_Chart[[#This Row],[Last]]</f>
        <v>1.18</v>
      </c>
      <c r="E776">
        <f>Siam_Chart[[#This Row],[Chg%]]</f>
        <v>0</v>
      </c>
      <c r="F776">
        <f>Siam_Chart[[#This Row],[Volume]]</f>
        <v>65401</v>
      </c>
      <c r="G776">
        <f>Siam_Chart[[#This Row],[Value (k)]]</f>
        <v>76894.17</v>
      </c>
      <c r="H776" cm="1">
        <f t="array" ref="H776:W776">Siam_Chart[[#This Row],[MCap (M)]:[CG]]</f>
        <v>318600000</v>
      </c>
      <c r="I776">
        <v>16.940000000000001</v>
      </c>
      <c r="J776">
        <v>1.01</v>
      </c>
      <c r="K776">
        <v>0.183119</v>
      </c>
      <c r="L776">
        <v>0.04</v>
      </c>
      <c r="M776">
        <v>0.05</v>
      </c>
      <c r="N776">
        <v>6.5525630000000001</v>
      </c>
      <c r="O776">
        <v>6.0243349999999998</v>
      </c>
      <c r="P776">
        <v>5.4540569999999997</v>
      </c>
      <c r="Q776">
        <v>3.39</v>
      </c>
      <c r="R776" t="str">
        <v/>
      </c>
      <c r="S776" t="str">
        <v/>
      </c>
      <c r="T776">
        <v>975</v>
      </c>
      <c r="U776">
        <v>836</v>
      </c>
      <c r="V776">
        <v>-0.63</v>
      </c>
      <c r="W776">
        <v>3</v>
      </c>
      <c r="X776" s="5">
        <f t="shared" si="27"/>
        <v>1.1683168316831682</v>
      </c>
      <c r="Y776" s="6">
        <f t="shared" si="28"/>
        <v>270000000</v>
      </c>
    </row>
    <row r="777" spans="2:25" x14ac:dyDescent="0.25">
      <c r="B777" t="str">
        <f>Siam_Chart[[#This Row],[Name]]</f>
        <v>TPOLY</v>
      </c>
      <c r="C777">
        <f>Siam_Chart[[#This Row],[No.]]</f>
        <v>776</v>
      </c>
      <c r="D777">
        <f>Siam_Chart[[#This Row],[Last]]</f>
        <v>0.09</v>
      </c>
      <c r="E777">
        <f>Siam_Chart[[#This Row],[Chg%]]</f>
        <v>0</v>
      </c>
      <c r="F777">
        <f>Siam_Chart[[#This Row],[Volume]]</f>
        <v>8800</v>
      </c>
      <c r="G777">
        <f>Siam_Chart[[#This Row],[Value (k)]]</f>
        <v>878</v>
      </c>
      <c r="H777" cm="1">
        <f t="array" ref="H777:W777">Siam_Chart[[#This Row],[MCap (M)]:[CG]]</f>
        <v>51548353.560000002</v>
      </c>
      <c r="I777">
        <v>57275948.399999999</v>
      </c>
      <c r="J777">
        <v>2.8774035878503947</v>
      </c>
      <c r="K777">
        <v>2.8774039999999999</v>
      </c>
      <c r="L777">
        <v>1.065E-2</v>
      </c>
      <c r="M777">
        <v>-0.73</v>
      </c>
      <c r="N777">
        <v>-8.4260389999999994</v>
      </c>
      <c r="O777">
        <v>-405.42355400000002</v>
      </c>
      <c r="P777">
        <v>-49.396391000000001</v>
      </c>
      <c r="Q777">
        <v>0</v>
      </c>
      <c r="R777" t="str">
        <v/>
      </c>
      <c r="S777" t="str">
        <v/>
      </c>
      <c r="T777">
        <v>0</v>
      </c>
      <c r="U777">
        <v>0</v>
      </c>
      <c r="V777">
        <v>0</v>
      </c>
      <c r="W777">
        <v>3</v>
      </c>
      <c r="X777" s="5">
        <f t="shared" si="27"/>
        <v>3.1278198296553796E-2</v>
      </c>
      <c r="Y777" s="6">
        <f t="shared" si="28"/>
        <v>572759484</v>
      </c>
    </row>
    <row r="778" spans="2:25" x14ac:dyDescent="0.25">
      <c r="B778" t="str">
        <f>Siam_Chart[[#This Row],[Name]]</f>
        <v>TPP</v>
      </c>
      <c r="C778">
        <f>Siam_Chart[[#This Row],[No.]]</f>
        <v>777</v>
      </c>
      <c r="D778">
        <f>Siam_Chart[[#This Row],[Last]]</f>
        <v>12.7</v>
      </c>
      <c r="E778">
        <f>Siam_Chart[[#This Row],[Chg%]]</f>
        <v>-0.78</v>
      </c>
      <c r="F778">
        <f>Siam_Chart[[#This Row],[Volume]]</f>
        <v>7505</v>
      </c>
      <c r="G778">
        <f>Siam_Chart[[#This Row],[Value (k)]]</f>
        <v>95364</v>
      </c>
      <c r="H778" cm="1">
        <f t="array" ref="H778:W778">Siam_Chart[[#This Row],[MCap (M)]:[CG]]</f>
        <v>476250000</v>
      </c>
      <c r="I778">
        <v>6.6</v>
      </c>
      <c r="J778">
        <v>0.49</v>
      </c>
      <c r="K778">
        <v>0.16272200000000001</v>
      </c>
      <c r="L778">
        <v>1</v>
      </c>
      <c r="M778">
        <v>1</v>
      </c>
      <c r="N778">
        <v>7.5684779999999998</v>
      </c>
      <c r="O778">
        <v>7.6151809999999998</v>
      </c>
      <c r="P778">
        <v>24.458684000000002</v>
      </c>
      <c r="Q778">
        <v>7.87</v>
      </c>
      <c r="R778" t="str">
        <v/>
      </c>
      <c r="S778" t="str">
        <v/>
      </c>
      <c r="T778">
        <v>561</v>
      </c>
      <c r="U778">
        <v>475</v>
      </c>
      <c r="V778">
        <v>0.2</v>
      </c>
      <c r="W778">
        <v>0</v>
      </c>
      <c r="X778" s="5">
        <f t="shared" si="27"/>
        <v>25.918367346938773</v>
      </c>
      <c r="Y778" s="6">
        <f t="shared" si="28"/>
        <v>37500000</v>
      </c>
    </row>
    <row r="779" spans="2:25" x14ac:dyDescent="0.25">
      <c r="B779" t="str">
        <f>Siam_Chart[[#This Row],[Name]]</f>
        <v>TPS</v>
      </c>
      <c r="C779">
        <f>Siam_Chart[[#This Row],[No.]]</f>
        <v>778</v>
      </c>
      <c r="D779">
        <f>Siam_Chart[[#This Row],[Last]]</f>
        <v>3.04</v>
      </c>
      <c r="E779">
        <f>Siam_Chart[[#This Row],[Chg%]]</f>
        <v>-0.65</v>
      </c>
      <c r="F779">
        <f>Siam_Chart[[#This Row],[Volume]]</f>
        <v>77507</v>
      </c>
      <c r="G779">
        <f>Siam_Chart[[#This Row],[Value (k)]]</f>
        <v>235497.4</v>
      </c>
      <c r="H779" cm="1">
        <f t="array" ref="H779:W779">Siam_Chart[[#This Row],[MCap (M)]:[CG]]</f>
        <v>1275887194.4000001</v>
      </c>
      <c r="I779">
        <v>10.66</v>
      </c>
      <c r="J779">
        <v>1.82</v>
      </c>
      <c r="K779">
        <v>1.2147289999999999</v>
      </c>
      <c r="L779">
        <v>0.03</v>
      </c>
      <c r="M779">
        <v>0.1</v>
      </c>
      <c r="N779">
        <v>10.560354</v>
      </c>
      <c r="O779">
        <v>17.470493000000001</v>
      </c>
      <c r="P779">
        <v>4.7163349999999999</v>
      </c>
      <c r="Q779">
        <v>6.58</v>
      </c>
      <c r="R779" t="str">
        <v/>
      </c>
      <c r="S779" t="str">
        <v/>
      </c>
      <c r="T779">
        <v>341</v>
      </c>
      <c r="U779">
        <v>346</v>
      </c>
      <c r="V779">
        <v>0.24</v>
      </c>
      <c r="W779">
        <v>4</v>
      </c>
      <c r="X779" s="5">
        <f t="shared" si="27"/>
        <v>1.6703296703296704</v>
      </c>
      <c r="Y779" s="6">
        <f t="shared" si="28"/>
        <v>419699735</v>
      </c>
    </row>
    <row r="780" spans="2:25" x14ac:dyDescent="0.25">
      <c r="B780" t="str">
        <f>Siam_Chart[[#This Row],[Name]]</f>
        <v>TQM</v>
      </c>
      <c r="C780">
        <f>Siam_Chart[[#This Row],[No.]]</f>
        <v>779</v>
      </c>
      <c r="D780">
        <f>Siam_Chart[[#This Row],[Last]]</f>
        <v>16.399999999999999</v>
      </c>
      <c r="E780">
        <f>Siam_Chart[[#This Row],[Chg%]]</f>
        <v>-6.82</v>
      </c>
      <c r="F780">
        <f>Siam_Chart[[#This Row],[Volume]]</f>
        <v>2207288</v>
      </c>
      <c r="G780">
        <f>Siam_Chart[[#This Row],[Value (k)]]</f>
        <v>36270115.200000003</v>
      </c>
      <c r="H780" cm="1">
        <f t="array" ref="H780:W780">Siam_Chart[[#This Row],[MCap (M)]:[CG]]</f>
        <v>9840000000</v>
      </c>
      <c r="I780">
        <v>13.59</v>
      </c>
      <c r="J780">
        <v>3.42</v>
      </c>
      <c r="K780">
        <v>0.85204500000000005</v>
      </c>
      <c r="L780">
        <v>0.65</v>
      </c>
      <c r="M780">
        <v>0.6</v>
      </c>
      <c r="N780">
        <v>16.674441999999999</v>
      </c>
      <c r="O780">
        <v>24.868603</v>
      </c>
      <c r="P780">
        <v>19.519099000000001</v>
      </c>
      <c r="Q780">
        <v>6.85</v>
      </c>
      <c r="R780" t="str">
        <v/>
      </c>
      <c r="S780" t="str">
        <v/>
      </c>
      <c r="T780">
        <v>479</v>
      </c>
      <c r="U780">
        <v>477</v>
      </c>
      <c r="V780">
        <v>-3.07</v>
      </c>
      <c r="W780">
        <v>5</v>
      </c>
      <c r="X780" s="5">
        <f t="shared" si="27"/>
        <v>4.7953216374269001</v>
      </c>
      <c r="Y780" s="6">
        <f t="shared" si="28"/>
        <v>600000000</v>
      </c>
    </row>
    <row r="781" spans="2:25" x14ac:dyDescent="0.25">
      <c r="B781" t="str">
        <f>Siam_Chart[[#This Row],[Name]]</f>
        <v>TQR</v>
      </c>
      <c r="C781">
        <f>Siam_Chart[[#This Row],[No.]]</f>
        <v>780</v>
      </c>
      <c r="D781">
        <f>Siam_Chart[[#This Row],[Last]]</f>
        <v>6.1</v>
      </c>
      <c r="E781">
        <f>Siam_Chart[[#This Row],[Chg%]]</f>
        <v>1.67</v>
      </c>
      <c r="F781">
        <f>Siam_Chart[[#This Row],[Volume]]</f>
        <v>47400</v>
      </c>
      <c r="G781">
        <f>Siam_Chart[[#This Row],[Value (k)]]</f>
        <v>284900</v>
      </c>
      <c r="H781" cm="1">
        <f t="array" ref="H781:W781">Siam_Chart[[#This Row],[MCap (M)]:[CG]]</f>
        <v>1403000000</v>
      </c>
      <c r="I781">
        <v>12.32</v>
      </c>
      <c r="J781">
        <v>2.61</v>
      </c>
      <c r="K781">
        <v>0.21032899999999999</v>
      </c>
      <c r="L781">
        <v>0.20300000000000001</v>
      </c>
      <c r="M781">
        <v>0.28999999999999998</v>
      </c>
      <c r="N781">
        <v>22.171597999999999</v>
      </c>
      <c r="O781">
        <v>21.616375000000001</v>
      </c>
      <c r="P781">
        <v>41.158334000000004</v>
      </c>
      <c r="Q781">
        <v>6.56</v>
      </c>
      <c r="R781" t="str">
        <v/>
      </c>
      <c r="S781" t="str">
        <v/>
      </c>
      <c r="T781">
        <v>421</v>
      </c>
      <c r="U781">
        <v>373</v>
      </c>
      <c r="V781">
        <v>13.43</v>
      </c>
      <c r="W781">
        <v>4</v>
      </c>
      <c r="X781" s="5">
        <f t="shared" si="27"/>
        <v>2.3371647509578546</v>
      </c>
      <c r="Y781" s="6">
        <f t="shared" si="28"/>
        <v>230000000</v>
      </c>
    </row>
    <row r="782" spans="2:25" x14ac:dyDescent="0.25">
      <c r="B782" t="str">
        <f>Siam_Chart[[#This Row],[Name]]</f>
        <v>TR</v>
      </c>
      <c r="C782">
        <f>Siam_Chart[[#This Row],[No.]]</f>
        <v>781</v>
      </c>
      <c r="D782">
        <f>Siam_Chart[[#This Row],[Last]]</f>
        <v>2027</v>
      </c>
      <c r="E782">
        <f>Siam_Chart[[#This Row],[Chg%]]</f>
        <v>0</v>
      </c>
      <c r="F782">
        <f>Siam_Chart[[#This Row],[Volume]]</f>
        <v>0</v>
      </c>
      <c r="G782">
        <f>Siam_Chart[[#This Row],[Value (k)]]</f>
        <v>0</v>
      </c>
      <c r="H782" cm="1">
        <f t="array" ref="H782:W782">Siam_Chart[[#This Row],[MCap (M)]:[CG]]</f>
        <v>5292</v>
      </c>
      <c r="I782">
        <v>0</v>
      </c>
      <c r="J782">
        <v>0.25488378345146973</v>
      </c>
      <c r="K782">
        <v>0.254884</v>
      </c>
      <c r="L782">
        <v>0.05</v>
      </c>
      <c r="M782">
        <v>-0.05</v>
      </c>
      <c r="N782">
        <v>-2.3670770000000001</v>
      </c>
      <c r="O782">
        <v>-3.4646270000000001</v>
      </c>
      <c r="P782">
        <v>-0.50180899999999995</v>
      </c>
      <c r="Q782">
        <v>0</v>
      </c>
      <c r="R782" t="str">
        <v/>
      </c>
      <c r="S782" t="str">
        <v/>
      </c>
      <c r="T782">
        <v>0</v>
      </c>
      <c r="U782">
        <v>0</v>
      </c>
      <c r="V782">
        <v>0</v>
      </c>
      <c r="W782">
        <v>0</v>
      </c>
      <c r="X782" s="5">
        <f t="shared" si="27"/>
        <v>7952.6440346721547</v>
      </c>
      <c r="Y782" s="6">
        <f t="shared" si="28"/>
        <v>2.610754810064134</v>
      </c>
    </row>
    <row r="783" spans="2:25" x14ac:dyDescent="0.25">
      <c r="B783" t="str">
        <f>Siam_Chart[[#This Row],[Name]]</f>
        <v>TRC</v>
      </c>
      <c r="C783">
        <f>Siam_Chart[[#This Row],[No.]]</f>
        <v>782</v>
      </c>
      <c r="D783">
        <f>Siam_Chart[[#This Row],[Last]]</f>
        <v>0.64</v>
      </c>
      <c r="E783">
        <f>Siam_Chart[[#This Row],[Chg%]]</f>
        <v>1.59</v>
      </c>
      <c r="F783">
        <f>Siam_Chart[[#This Row],[Volume]]</f>
        <v>10686984</v>
      </c>
      <c r="G783">
        <f>Siam_Chart[[#This Row],[Value (k)]]</f>
        <v>6920251.9500000002</v>
      </c>
      <c r="H783" cm="1">
        <f t="array" ref="H783:W783">Siam_Chart[[#This Row],[MCap (M)]:[CG]]</f>
        <v>1009742817.92</v>
      </c>
      <c r="I783">
        <v>757307113.44000006</v>
      </c>
      <c r="J783">
        <v>0</v>
      </c>
      <c r="K783">
        <v>0</v>
      </c>
      <c r="L783">
        <v>-0.09</v>
      </c>
      <c r="M783">
        <v>-0.09</v>
      </c>
      <c r="N783">
        <v>-7.1896509999999996</v>
      </c>
      <c r="O783">
        <v>-2840.712188</v>
      </c>
      <c r="P783">
        <v>-44.747053999999999</v>
      </c>
      <c r="Q783">
        <v>0</v>
      </c>
      <c r="R783" t="str">
        <v/>
      </c>
      <c r="S783" t="str">
        <v/>
      </c>
      <c r="T783">
        <v>0</v>
      </c>
      <c r="U783">
        <v>0</v>
      </c>
      <c r="V783">
        <v>0</v>
      </c>
      <c r="W783">
        <v>3</v>
      </c>
      <c r="X783" s="5">
        <f t="shared" si="27"/>
        <v>0</v>
      </c>
      <c r="Y783" s="6">
        <f t="shared" si="28"/>
        <v>1577723153</v>
      </c>
    </row>
    <row r="784" spans="2:25" x14ac:dyDescent="0.25">
      <c r="B784" t="str">
        <f>Siam_Chart[[#This Row],[Name]]</f>
        <v>TRITN</v>
      </c>
      <c r="C784">
        <f>Siam_Chart[[#This Row],[No.]]</f>
        <v>783</v>
      </c>
      <c r="D784">
        <f>Siam_Chart[[#This Row],[Last]]</f>
        <v>0.02</v>
      </c>
      <c r="E784">
        <f>Siam_Chart[[#This Row],[Chg%]]</f>
        <v>0</v>
      </c>
      <c r="F784">
        <f>Siam_Chart[[#This Row],[Volume]]</f>
        <v>3213210</v>
      </c>
      <c r="G784">
        <f>Siam_Chart[[#This Row],[Value (k)]]</f>
        <v>64376.3</v>
      </c>
      <c r="H784" cm="1">
        <f t="array" ref="H784:W784">Siam_Chart[[#This Row],[MCap (M)]:[CG]]</f>
        <v>437935819.69999999</v>
      </c>
      <c r="I784">
        <v>17.03</v>
      </c>
      <c r="J784">
        <v>0.2</v>
      </c>
      <c r="K784">
        <v>0.32196200000000003</v>
      </c>
      <c r="L784">
        <v>0</v>
      </c>
      <c r="M784">
        <v>4.0484682342238907</v>
      </c>
      <c r="N784">
        <v>4.0484679999999997</v>
      </c>
      <c r="O784">
        <v>1.1658029999999999</v>
      </c>
      <c r="P784">
        <v>-210.33443600000001</v>
      </c>
      <c r="Q784">
        <v>0.2</v>
      </c>
      <c r="R784" t="str">
        <v/>
      </c>
      <c r="S784" t="str">
        <v/>
      </c>
      <c r="T784">
        <v>467</v>
      </c>
      <c r="U784">
        <v>281</v>
      </c>
      <c r="V784">
        <v>0.1</v>
      </c>
      <c r="W784">
        <v>0</v>
      </c>
      <c r="X784" s="5">
        <f t="shared" si="27"/>
        <v>9.9999999999999992E-2</v>
      </c>
      <c r="Y784" s="6">
        <f t="shared" si="28"/>
        <v>21896790985</v>
      </c>
    </row>
    <row r="785" spans="2:25" x14ac:dyDescent="0.25">
      <c r="B785" t="str">
        <f>Siam_Chart[[#This Row],[Name]]</f>
        <v>TRP</v>
      </c>
      <c r="C785">
        <f>Siam_Chart[[#This Row],[No.]]</f>
        <v>784</v>
      </c>
      <c r="D785">
        <f>Siam_Chart[[#This Row],[Last]]</f>
        <v>4.0599999999999996</v>
      </c>
      <c r="E785">
        <f>Siam_Chart[[#This Row],[Chg%]]</f>
        <v>0</v>
      </c>
      <c r="F785">
        <f>Siam_Chart[[#This Row],[Volume]]</f>
        <v>71000</v>
      </c>
      <c r="G785">
        <f>Siam_Chart[[#This Row],[Value (k)]]</f>
        <v>288164</v>
      </c>
      <c r="H785" cm="1">
        <f t="array" ref="H785:W785">Siam_Chart[[#This Row],[MCap (M)]:[CG]]</f>
        <v>1421000000</v>
      </c>
      <c r="I785">
        <v>14.63</v>
      </c>
      <c r="J785">
        <v>0.85</v>
      </c>
      <c r="K785">
        <v>5.9033000000000002E-2</v>
      </c>
      <c r="L785">
        <v>0.25</v>
      </c>
      <c r="M785">
        <v>0.12</v>
      </c>
      <c r="N785">
        <v>6.6444850000000004</v>
      </c>
      <c r="O785">
        <v>5.7205510000000004</v>
      </c>
      <c r="P785">
        <v>16.633376999999999</v>
      </c>
      <c r="Q785">
        <v>6.16</v>
      </c>
      <c r="R785" t="str">
        <v/>
      </c>
      <c r="S785" t="str">
        <v/>
      </c>
      <c r="T785">
        <v>996</v>
      </c>
      <c r="U785">
        <v>870</v>
      </c>
      <c r="V785">
        <v>-0.51</v>
      </c>
      <c r="W785">
        <v>4</v>
      </c>
      <c r="X785" s="5">
        <f t="shared" si="27"/>
        <v>4.776470588235294</v>
      </c>
      <c r="Y785" s="6">
        <f t="shared" si="28"/>
        <v>350000000.00000006</v>
      </c>
    </row>
    <row r="786" spans="2:25" x14ac:dyDescent="0.25">
      <c r="B786" t="str">
        <f>Siam_Chart[[#This Row],[Name]]</f>
        <v>TRT</v>
      </c>
      <c r="C786">
        <f>Siam_Chart[[#This Row],[No.]]</f>
        <v>785</v>
      </c>
      <c r="D786">
        <f>Siam_Chart[[#This Row],[Last]]</f>
        <v>14</v>
      </c>
      <c r="E786">
        <f>Siam_Chart[[#This Row],[Chg%]]</f>
        <v>6.06</v>
      </c>
      <c r="F786">
        <f>Siam_Chart[[#This Row],[Volume]]</f>
        <v>3747704</v>
      </c>
      <c r="G786">
        <f>Siam_Chart[[#This Row],[Value (k)]]</f>
        <v>51403178.299999997</v>
      </c>
      <c r="H786" cm="1">
        <f t="array" ref="H786:W786">Siam_Chart[[#This Row],[MCap (M)]:[CG]]</f>
        <v>4312115808</v>
      </c>
      <c r="I786">
        <v>13.31</v>
      </c>
      <c r="J786">
        <v>2.89</v>
      </c>
      <c r="K786">
        <v>1.830185</v>
      </c>
      <c r="L786">
        <v>0.17</v>
      </c>
      <c r="M786">
        <v>0.94</v>
      </c>
      <c r="N786">
        <v>13.091464</v>
      </c>
      <c r="O786">
        <v>23.405427</v>
      </c>
      <c r="P786">
        <v>20.072016999999999</v>
      </c>
      <c r="Q786">
        <v>1.43</v>
      </c>
      <c r="R786" t="str">
        <v/>
      </c>
      <c r="S786" t="str">
        <v/>
      </c>
      <c r="T786">
        <v>461</v>
      </c>
      <c r="U786">
        <v>504</v>
      </c>
      <c r="V786">
        <v>-0.12</v>
      </c>
      <c r="W786">
        <v>4</v>
      </c>
      <c r="X786" s="5">
        <f t="shared" si="27"/>
        <v>4.844290657439446</v>
      </c>
      <c r="Y786" s="6">
        <f t="shared" si="28"/>
        <v>308008272</v>
      </c>
    </row>
    <row r="787" spans="2:25" x14ac:dyDescent="0.25">
      <c r="B787" t="str">
        <f>Siam_Chart[[#This Row],[Name]]</f>
        <v>TRU</v>
      </c>
      <c r="C787">
        <f>Siam_Chart[[#This Row],[No.]]</f>
        <v>786</v>
      </c>
      <c r="D787">
        <f>Siam_Chart[[#This Row],[Last]]</f>
        <v>3.82</v>
      </c>
      <c r="E787">
        <f>Siam_Chart[[#This Row],[Chg%]]</f>
        <v>0</v>
      </c>
      <c r="F787">
        <f>Siam_Chart[[#This Row],[Volume]]</f>
        <v>10142</v>
      </c>
      <c r="G787">
        <f>Siam_Chart[[#This Row],[Value (k)]]</f>
        <v>38742.480000000003</v>
      </c>
      <c r="H787" cm="1">
        <f t="array" ref="H787:W787">Siam_Chart[[#This Row],[MCap (M)]:[CG]]</f>
        <v>2513817555.8600001</v>
      </c>
      <c r="I787">
        <v>10.48</v>
      </c>
      <c r="J787">
        <v>0.65</v>
      </c>
      <c r="K787">
        <v>0.14746300000000001</v>
      </c>
      <c r="L787">
        <v>0.25</v>
      </c>
      <c r="M787">
        <v>0.17</v>
      </c>
      <c r="N787">
        <v>6.0490259999999996</v>
      </c>
      <c r="O787">
        <v>6.1652760000000004</v>
      </c>
      <c r="P787">
        <v>11.096688</v>
      </c>
      <c r="Q787">
        <v>6.58</v>
      </c>
      <c r="R787" t="str">
        <v/>
      </c>
      <c r="S787" t="str">
        <v/>
      </c>
      <c r="T787">
        <v>729</v>
      </c>
      <c r="U787">
        <v>640</v>
      </c>
      <c r="V787">
        <v>0.1</v>
      </c>
      <c r="W787">
        <v>3</v>
      </c>
      <c r="X787" s="5">
        <f t="shared" si="27"/>
        <v>5.8769230769230765</v>
      </c>
      <c r="Y787" s="6">
        <f t="shared" si="28"/>
        <v>658067423.00000012</v>
      </c>
    </row>
    <row r="788" spans="2:25" x14ac:dyDescent="0.25">
      <c r="B788" t="str">
        <f>Siam_Chart[[#This Row],[Name]]</f>
        <v>TRUBB</v>
      </c>
      <c r="C788">
        <f>Siam_Chart[[#This Row],[No.]]</f>
        <v>787</v>
      </c>
      <c r="D788">
        <f>Siam_Chart[[#This Row],[Last]]</f>
        <v>1.03</v>
      </c>
      <c r="E788">
        <f>Siam_Chart[[#This Row],[Chg%]]</f>
        <v>6.19</v>
      </c>
      <c r="F788">
        <f>Siam_Chart[[#This Row],[Volume]]</f>
        <v>13416675</v>
      </c>
      <c r="G788">
        <f>Siam_Chart[[#This Row],[Value (k)]]</f>
        <v>13747869.07</v>
      </c>
      <c r="H788" cm="1">
        <f t="array" ref="H788:W788">Siam_Chart[[#This Row],[MCap (M)]:[CG]]</f>
        <v>865701991.10000002</v>
      </c>
      <c r="I788">
        <v>823677622.60000002</v>
      </c>
      <c r="J788">
        <v>0.31</v>
      </c>
      <c r="K788">
        <v>1.372187</v>
      </c>
      <c r="L788">
        <v>3.0999999999999999E-3</v>
      </c>
      <c r="M788">
        <v>-7.0000000000000007E-2</v>
      </c>
      <c r="N788">
        <v>0.50719700000000001</v>
      </c>
      <c r="O788">
        <v>-5.1088959999999997</v>
      </c>
      <c r="P788">
        <v>-2.0206</v>
      </c>
      <c r="Q788">
        <v>0.28999999999999998</v>
      </c>
      <c r="R788" t="str">
        <v/>
      </c>
      <c r="S788" t="str">
        <v/>
      </c>
      <c r="T788">
        <v>0</v>
      </c>
      <c r="U788">
        <v>0</v>
      </c>
      <c r="V788">
        <v>0</v>
      </c>
      <c r="W788">
        <v>5</v>
      </c>
      <c r="X788" s="5">
        <f t="shared" si="27"/>
        <v>3.3225806451612905</v>
      </c>
      <c r="Y788" s="6">
        <f t="shared" si="28"/>
        <v>840487370</v>
      </c>
    </row>
    <row r="789" spans="2:25" x14ac:dyDescent="0.25">
      <c r="B789" t="str">
        <f>Siam_Chart[[#This Row],[Name]]</f>
        <v>TRUE</v>
      </c>
      <c r="C789">
        <f>Siam_Chart[[#This Row],[No.]]</f>
        <v>788</v>
      </c>
      <c r="D789">
        <f>Siam_Chart[[#This Row],[Last]]</f>
        <v>13</v>
      </c>
      <c r="E789">
        <f>Siam_Chart[[#This Row],[Chg%]]</f>
        <v>-0.76</v>
      </c>
      <c r="F789">
        <f>Siam_Chart[[#This Row],[Volume]]</f>
        <v>40199682</v>
      </c>
      <c r="G789">
        <f>Siam_Chart[[#This Row],[Value (k)]]</f>
        <v>524032100.39999998</v>
      </c>
      <c r="H789" cm="1">
        <f t="array" ref="H789:W789">Siam_Chart[[#This Row],[MCap (M)]:[CG]]</f>
        <v>449177310413</v>
      </c>
      <c r="I789">
        <v>24</v>
      </c>
      <c r="J789">
        <v>5.66</v>
      </c>
      <c r="K789">
        <v>7.1299429999999999</v>
      </c>
      <c r="L789">
        <v>0.15</v>
      </c>
      <c r="M789">
        <v>0.38</v>
      </c>
      <c r="N789">
        <v>5.8054889999999997</v>
      </c>
      <c r="O789">
        <v>23.953831000000001</v>
      </c>
      <c r="P789">
        <v>14.136858999999999</v>
      </c>
      <c r="Q789">
        <v>2.38</v>
      </c>
      <c r="R789" t="str">
        <v/>
      </c>
      <c r="S789" t="str">
        <v/>
      </c>
      <c r="T789">
        <v>644</v>
      </c>
      <c r="U789">
        <v>968</v>
      </c>
      <c r="V789">
        <v>-1.19</v>
      </c>
      <c r="W789">
        <v>5</v>
      </c>
      <c r="X789" s="5">
        <f t="shared" si="27"/>
        <v>2.2968197879858656</v>
      </c>
      <c r="Y789" s="6">
        <f t="shared" si="28"/>
        <v>34552100801</v>
      </c>
    </row>
    <row r="790" spans="2:25" x14ac:dyDescent="0.25">
      <c r="B790" t="str">
        <f>Siam_Chart[[#This Row],[Name]]</f>
        <v>TRV</v>
      </c>
      <c r="C790">
        <f>Siam_Chart[[#This Row],[No.]]</f>
        <v>789</v>
      </c>
      <c r="D790">
        <f>Siam_Chart[[#This Row],[Last]]</f>
        <v>1.59</v>
      </c>
      <c r="E790">
        <f>Siam_Chart[[#This Row],[Chg%]]</f>
        <v>0</v>
      </c>
      <c r="F790">
        <f>Siam_Chart[[#This Row],[Volume]]</f>
        <v>500</v>
      </c>
      <c r="G790">
        <f>Siam_Chart[[#This Row],[Value (k)]]</f>
        <v>795</v>
      </c>
      <c r="H790" cm="1">
        <f t="array" ref="H790:W790">Siam_Chart[[#This Row],[MCap (M)]:[CG]]</f>
        <v>381600000</v>
      </c>
      <c r="I790">
        <v>50.5</v>
      </c>
      <c r="J790">
        <v>0.81</v>
      </c>
      <c r="K790">
        <v>0.11235199999999999</v>
      </c>
      <c r="L790">
        <v>0.17</v>
      </c>
      <c r="M790">
        <v>0.04</v>
      </c>
      <c r="N790">
        <v>2.1000480000000001</v>
      </c>
      <c r="O790">
        <v>1.625062</v>
      </c>
      <c r="P790">
        <v>5.6735179999999996</v>
      </c>
      <c r="Q790">
        <v>0.77</v>
      </c>
      <c r="R790" t="str">
        <v/>
      </c>
      <c r="S790" t="str">
        <v/>
      </c>
      <c r="T790">
        <v>0</v>
      </c>
      <c r="U790">
        <v>0</v>
      </c>
      <c r="V790">
        <v>0</v>
      </c>
      <c r="W790">
        <v>0</v>
      </c>
      <c r="X790" s="5">
        <f t="shared" si="27"/>
        <v>1.962962962962963</v>
      </c>
      <c r="Y790" s="6">
        <f t="shared" si="28"/>
        <v>240000000</v>
      </c>
    </row>
    <row r="791" spans="2:25" x14ac:dyDescent="0.25">
      <c r="B791" t="str">
        <f>Siam_Chart[[#This Row],[Name]]</f>
        <v>TSC</v>
      </c>
      <c r="C791">
        <f>Siam_Chart[[#This Row],[No.]]</f>
        <v>790</v>
      </c>
      <c r="D791">
        <f>Siam_Chart[[#This Row],[Last]]</f>
        <v>15.3</v>
      </c>
      <c r="E791">
        <f>Siam_Chart[[#This Row],[Chg%]]</f>
        <v>0</v>
      </c>
      <c r="F791">
        <f>Siam_Chart[[#This Row],[Volume]]</f>
        <v>9216</v>
      </c>
      <c r="G791">
        <f>Siam_Chart[[#This Row],[Value (k)]]</f>
        <v>141026.4</v>
      </c>
      <c r="H791" cm="1">
        <f t="array" ref="H791:W791">Siam_Chart[[#This Row],[MCap (M)]:[CG]]</f>
        <v>3974940000</v>
      </c>
      <c r="I791">
        <v>11.87</v>
      </c>
      <c r="J791">
        <v>2.62</v>
      </c>
      <c r="K791">
        <v>0.41146300000000002</v>
      </c>
      <c r="L791">
        <v>0.4</v>
      </c>
      <c r="M791">
        <v>0.98</v>
      </c>
      <c r="N791">
        <v>15.873728</v>
      </c>
      <c r="O791">
        <v>22.251781000000001</v>
      </c>
      <c r="P791">
        <v>13.437696000000001</v>
      </c>
      <c r="Q791">
        <v>7.84</v>
      </c>
      <c r="R791" t="str">
        <v/>
      </c>
      <c r="S791" t="str">
        <v/>
      </c>
      <c r="T791">
        <v>399</v>
      </c>
      <c r="U791">
        <v>397</v>
      </c>
      <c r="V791">
        <v>1.07</v>
      </c>
      <c r="W791">
        <v>5</v>
      </c>
      <c r="X791" s="5">
        <f t="shared" si="27"/>
        <v>5.8396946564885495</v>
      </c>
      <c r="Y791" s="6">
        <f t="shared" si="28"/>
        <v>259800000</v>
      </c>
    </row>
    <row r="792" spans="2:25" x14ac:dyDescent="0.25">
      <c r="B792" t="str">
        <f>Siam_Chart[[#This Row],[Name]]</f>
        <v>TSE</v>
      </c>
      <c r="C792">
        <f>Siam_Chart[[#This Row],[No.]]</f>
        <v>791</v>
      </c>
      <c r="D792">
        <f>Siam_Chart[[#This Row],[Last]]</f>
        <v>0.83</v>
      </c>
      <c r="E792">
        <f>Siam_Chart[[#This Row],[Chg%]]</f>
        <v>0</v>
      </c>
      <c r="F792">
        <f>Siam_Chart[[#This Row],[Volume]]</f>
        <v>4295182</v>
      </c>
      <c r="G792">
        <f>Siam_Chart[[#This Row],[Value (k)]]</f>
        <v>3582516.76</v>
      </c>
      <c r="H792" cm="1">
        <f t="array" ref="H792:W792">Siam_Chart[[#This Row],[MCap (M)]:[CG]]</f>
        <v>1757704513.23</v>
      </c>
      <c r="I792">
        <v>36</v>
      </c>
      <c r="J792">
        <v>0.56000000000000005</v>
      </c>
      <c r="K792">
        <v>1.25922</v>
      </c>
      <c r="L792">
        <v>0.05</v>
      </c>
      <c r="M792">
        <v>0.03</v>
      </c>
      <c r="N792">
        <v>2.984874</v>
      </c>
      <c r="O792">
        <v>1.579037</v>
      </c>
      <c r="P792">
        <v>11.093175</v>
      </c>
      <c r="Q792">
        <v>0.54</v>
      </c>
      <c r="R792" t="str">
        <v/>
      </c>
      <c r="S792" t="str">
        <v/>
      </c>
      <c r="T792">
        <v>1295</v>
      </c>
      <c r="U792">
        <v>1199</v>
      </c>
      <c r="V792">
        <v>-0.27</v>
      </c>
      <c r="W792">
        <v>3</v>
      </c>
      <c r="X792" s="5">
        <f t="shared" si="27"/>
        <v>1.482142857142857</v>
      </c>
      <c r="Y792" s="6">
        <f t="shared" si="28"/>
        <v>2117716281.0000002</v>
      </c>
    </row>
    <row r="793" spans="2:25" x14ac:dyDescent="0.25">
      <c r="B793" t="str">
        <f>Siam_Chart[[#This Row],[Name]]</f>
        <v>TSI</v>
      </c>
      <c r="C793">
        <f>Siam_Chart[[#This Row],[No.]]</f>
        <v>792</v>
      </c>
      <c r="D793">
        <f>Siam_Chart[[#This Row],[Last]]</f>
        <v>0.05</v>
      </c>
      <c r="E793">
        <f>Siam_Chart[[#This Row],[Chg%]]</f>
        <v>0</v>
      </c>
      <c r="F793">
        <f>Siam_Chart[[#This Row],[Volume]]</f>
        <v>2618000</v>
      </c>
      <c r="G793">
        <f>Siam_Chart[[#This Row],[Value (k)]]</f>
        <v>104723</v>
      </c>
      <c r="H793" cm="1">
        <f t="array" ref="H793:W793">Siam_Chart[[#This Row],[MCap (M)]:[CG]]</f>
        <v>95145688.299999997</v>
      </c>
      <c r="I793">
        <v>95145688.299999997</v>
      </c>
      <c r="J793">
        <v>0.55000000000000004</v>
      </c>
      <c r="K793">
        <v>4.2788190000000004</v>
      </c>
      <c r="L793">
        <v>-0.04</v>
      </c>
      <c r="M793">
        <v>-0.04</v>
      </c>
      <c r="N793">
        <v>-6.3574419999999998</v>
      </c>
      <c r="O793">
        <v>-33.252583999999999</v>
      </c>
      <c r="P793">
        <v>-13.553276</v>
      </c>
      <c r="Q793">
        <v>0.55000000000000004</v>
      </c>
      <c r="R793" t="str">
        <v/>
      </c>
      <c r="S793" t="str">
        <v/>
      </c>
      <c r="T793">
        <v>0</v>
      </c>
      <c r="U793">
        <v>0</v>
      </c>
      <c r="V793">
        <v>0</v>
      </c>
      <c r="W793">
        <v>0</v>
      </c>
      <c r="X793" s="5">
        <f t="shared" si="27"/>
        <v>9.0909090909090912E-2</v>
      </c>
      <c r="Y793" s="6">
        <f t="shared" si="28"/>
        <v>1902913765.9999998</v>
      </c>
    </row>
    <row r="794" spans="2:25" x14ac:dyDescent="0.25">
      <c r="B794" t="str">
        <f>Siam_Chart[[#This Row],[Name]]</f>
        <v>TSR</v>
      </c>
      <c r="C794">
        <f>Siam_Chart[[#This Row],[No.]]</f>
        <v>793</v>
      </c>
      <c r="D794">
        <f>Siam_Chart[[#This Row],[Last]]</f>
        <v>2026</v>
      </c>
      <c r="E794">
        <f>Siam_Chart[[#This Row],[Chg%]]</f>
        <v>-76.470588235294116</v>
      </c>
      <c r="F794">
        <f>Siam_Chart[[#This Row],[Volume]]</f>
        <v>150305295</v>
      </c>
      <c r="G794">
        <f>Siam_Chart[[#This Row],[Value (k)]]</f>
        <v>10805.01195</v>
      </c>
      <c r="H794" cm="1">
        <f t="array" ref="H794:W794">Siam_Chart[[#This Row],[MCap (M)]:[CG]]</f>
        <v>24</v>
      </c>
      <c r="I794">
        <v>0</v>
      </c>
      <c r="J794">
        <v>0</v>
      </c>
      <c r="K794">
        <v>0</v>
      </c>
      <c r="L794">
        <v>1.1110999999999999E-2</v>
      </c>
      <c r="M794">
        <v>-0.31</v>
      </c>
      <c r="N794">
        <v>-9.2730639999999998</v>
      </c>
      <c r="O794">
        <v>-48.191548328167812</v>
      </c>
      <c r="P794">
        <v>-48.191547999999997</v>
      </c>
      <c r="Q794">
        <v>0</v>
      </c>
      <c r="R794" t="str">
        <v/>
      </c>
      <c r="S794" t="str">
        <v/>
      </c>
      <c r="T794">
        <v>0</v>
      </c>
      <c r="U794">
        <v>0</v>
      </c>
      <c r="V794">
        <v>0</v>
      </c>
      <c r="W794">
        <v>3</v>
      </c>
      <c r="X794" s="5">
        <f t="shared" si="27"/>
        <v>0</v>
      </c>
      <c r="Y794" s="6">
        <f t="shared" si="28"/>
        <v>1.1846001974333662E-2</v>
      </c>
    </row>
    <row r="795" spans="2:25" x14ac:dyDescent="0.25">
      <c r="B795" t="str">
        <f>Siam_Chart[[#This Row],[Name]]</f>
        <v>TSTE</v>
      </c>
      <c r="C795">
        <f>Siam_Chart[[#This Row],[No.]]</f>
        <v>794</v>
      </c>
      <c r="D795">
        <f>Siam_Chart[[#This Row],[Last]]</f>
        <v>10.5</v>
      </c>
      <c r="E795">
        <f>Siam_Chart[[#This Row],[Chg%]]</f>
        <v>0.96</v>
      </c>
      <c r="F795">
        <f>Siam_Chart[[#This Row],[Volume]]</f>
        <v>120</v>
      </c>
      <c r="G795">
        <f>Siam_Chart[[#This Row],[Value (k)]]</f>
        <v>1260</v>
      </c>
      <c r="H795" cm="1">
        <f t="array" ref="H795:W795">Siam_Chart[[#This Row],[MCap (M)]:[CG]]</f>
        <v>4024935400.5</v>
      </c>
      <c r="I795">
        <v>22.96</v>
      </c>
      <c r="J795">
        <v>1.0900000000000001</v>
      </c>
      <c r="K795">
        <v>0.51896100000000001</v>
      </c>
      <c r="L795">
        <v>0.08</v>
      </c>
      <c r="M795">
        <v>0.28999999999999998</v>
      </c>
      <c r="N795">
        <v>4.5871680000000001</v>
      </c>
      <c r="O795">
        <v>4.83582</v>
      </c>
      <c r="P795">
        <v>9.3519550000000002</v>
      </c>
      <c r="Q795">
        <v>1.52</v>
      </c>
      <c r="R795" t="str">
        <v/>
      </c>
      <c r="S795" t="str">
        <v/>
      </c>
      <c r="T795">
        <v>1141</v>
      </c>
      <c r="U795">
        <v>1092</v>
      </c>
      <c r="V795">
        <v>22.1</v>
      </c>
      <c r="W795">
        <v>5</v>
      </c>
      <c r="X795" s="5">
        <f t="shared" si="27"/>
        <v>9.6330275229357785</v>
      </c>
      <c r="Y795" s="6">
        <f t="shared" si="28"/>
        <v>383327181</v>
      </c>
    </row>
    <row r="796" spans="2:25" x14ac:dyDescent="0.25">
      <c r="B796" t="str">
        <f>Siam_Chart[[#This Row],[Name]]</f>
        <v>TSTH</v>
      </c>
      <c r="C796">
        <f>Siam_Chart[[#This Row],[No.]]</f>
        <v>795</v>
      </c>
      <c r="D796">
        <f>Siam_Chart[[#This Row],[Last]]</f>
        <v>0.98</v>
      </c>
      <c r="E796">
        <f>Siam_Chart[[#This Row],[Chg%]]</f>
        <v>0</v>
      </c>
      <c r="F796">
        <f>Siam_Chart[[#This Row],[Volume]]</f>
        <v>2250128</v>
      </c>
      <c r="G796">
        <f>Siam_Chart[[#This Row],[Value (k)]]</f>
        <v>2210153.71</v>
      </c>
      <c r="H796" cm="1">
        <f t="array" ref="H796:W796">Siam_Chart[[#This Row],[MCap (M)]:[CG]]</f>
        <v>8253110031.04</v>
      </c>
      <c r="I796">
        <v>4.2699999999999996</v>
      </c>
      <c r="J796">
        <v>0.54</v>
      </c>
      <c r="K796">
        <v>0.17996599999999999</v>
      </c>
      <c r="L796">
        <v>0.03</v>
      </c>
      <c r="M796">
        <v>0.05</v>
      </c>
      <c r="N796">
        <v>14.320403000000001</v>
      </c>
      <c r="O796">
        <v>13.441844</v>
      </c>
      <c r="P796">
        <v>5.990354</v>
      </c>
      <c r="Q796">
        <v>3.06</v>
      </c>
      <c r="R796" t="str">
        <v/>
      </c>
      <c r="S796" t="str">
        <v/>
      </c>
      <c r="T796">
        <v>210</v>
      </c>
      <c r="U796">
        <v>110</v>
      </c>
      <c r="V796">
        <v>0.04</v>
      </c>
      <c r="W796">
        <v>5</v>
      </c>
      <c r="X796" s="5">
        <f t="shared" si="27"/>
        <v>1.8148148148148147</v>
      </c>
      <c r="Y796" s="6">
        <f t="shared" si="28"/>
        <v>8421540848</v>
      </c>
    </row>
    <row r="797" spans="2:25" x14ac:dyDescent="0.25">
      <c r="B797" t="str">
        <f>Siam_Chart[[#This Row],[Name]]</f>
        <v>TTA</v>
      </c>
      <c r="C797">
        <f>Siam_Chart[[#This Row],[No.]]</f>
        <v>796</v>
      </c>
      <c r="D797">
        <f>Siam_Chart[[#This Row],[Last]]</f>
        <v>5.75</v>
      </c>
      <c r="E797">
        <f>Siam_Chart[[#This Row],[Chg%]]</f>
        <v>0</v>
      </c>
      <c r="F797">
        <f>Siam_Chart[[#This Row],[Volume]]</f>
        <v>6486204</v>
      </c>
      <c r="G797">
        <f>Siam_Chart[[#This Row],[Value (k)]]</f>
        <v>37724683.350000001</v>
      </c>
      <c r="H797" cm="1">
        <f t="array" ref="H797:W797">Siam_Chart[[#This Row],[MCap (M)]:[CG]]</f>
        <v>10479171243</v>
      </c>
      <c r="I797">
        <v>17.920000000000002</v>
      </c>
      <c r="J797">
        <v>0.35</v>
      </c>
      <c r="K797">
        <v>0.55137000000000003</v>
      </c>
      <c r="L797">
        <v>0.25</v>
      </c>
      <c r="M797">
        <v>2.7452790662869968</v>
      </c>
      <c r="N797">
        <v>2.745279</v>
      </c>
      <c r="O797">
        <v>2.0079180000000001</v>
      </c>
      <c r="P797">
        <v>-0.74395299999999998</v>
      </c>
      <c r="Q797">
        <v>4.3499999999999996</v>
      </c>
      <c r="R797" t="str">
        <v/>
      </c>
      <c r="S797" t="str">
        <v/>
      </c>
      <c r="T797">
        <v>944</v>
      </c>
      <c r="U797">
        <v>899</v>
      </c>
      <c r="V797">
        <v>-0.89</v>
      </c>
      <c r="W797">
        <v>5</v>
      </c>
      <c r="X797" s="5">
        <f t="shared" si="27"/>
        <v>16.428571428571431</v>
      </c>
      <c r="Y797" s="6">
        <f t="shared" si="28"/>
        <v>1822464564</v>
      </c>
    </row>
    <row r="798" spans="2:25" x14ac:dyDescent="0.25">
      <c r="B798" t="str">
        <f>Siam_Chart[[#This Row],[Name]]</f>
        <v>TTB</v>
      </c>
      <c r="C798">
        <f>Siam_Chart[[#This Row],[No.]]</f>
        <v>797</v>
      </c>
      <c r="D798">
        <f>Siam_Chart[[#This Row],[Last]]</f>
        <v>2.9</v>
      </c>
      <c r="E798">
        <f>Siam_Chart[[#This Row],[Chg%]]</f>
        <v>-0.68</v>
      </c>
      <c r="F798">
        <f>Siam_Chart[[#This Row],[Volume]]</f>
        <v>883838642</v>
      </c>
      <c r="G798">
        <f>Siam_Chart[[#This Row],[Value (k)]]</f>
        <v>2579646621.8000002</v>
      </c>
      <c r="H798" cm="1">
        <f t="array" ref="H798:W798">Siam_Chart[[#This Row],[MCap (M)]:[CG]]</f>
        <v>282956887099.09998</v>
      </c>
      <c r="I798">
        <v>11.96</v>
      </c>
      <c r="J798">
        <v>1.0900000000000001</v>
      </c>
      <c r="K798">
        <v>6.2461130000000002</v>
      </c>
      <c r="L798">
        <v>6.8000000000000005E-2</v>
      </c>
      <c r="M798">
        <v>0.12</v>
      </c>
      <c r="N798">
        <v>2.3068140000000001</v>
      </c>
      <c r="O798">
        <v>9.0002910000000007</v>
      </c>
      <c r="P798">
        <v>25.118964999999999</v>
      </c>
      <c r="Q798">
        <v>4.93</v>
      </c>
      <c r="R798" t="str">
        <v/>
      </c>
      <c r="S798" t="str">
        <v/>
      </c>
      <c r="T798">
        <v>776</v>
      </c>
      <c r="U798">
        <v>1115</v>
      </c>
      <c r="V798">
        <v>0.75</v>
      </c>
      <c r="W798">
        <v>5</v>
      </c>
      <c r="X798" s="5">
        <f t="shared" si="27"/>
        <v>2.6605504587155959</v>
      </c>
      <c r="Y798" s="6">
        <f t="shared" si="28"/>
        <v>97571340379</v>
      </c>
    </row>
    <row r="799" spans="2:25" x14ac:dyDescent="0.25">
      <c r="B799" t="str">
        <f>Siam_Chart[[#This Row],[Name]]</f>
        <v>TTCL</v>
      </c>
      <c r="C799">
        <f>Siam_Chart[[#This Row],[No.]]</f>
        <v>798</v>
      </c>
      <c r="D799">
        <f>Siam_Chart[[#This Row],[Last]]</f>
        <v>2026</v>
      </c>
      <c r="E799">
        <f>Siam_Chart[[#This Row],[Chg%]]</f>
        <v>-46.666666666666664</v>
      </c>
      <c r="F799">
        <f>Siam_Chart[[#This Row],[Volume]]</f>
        <v>194501429</v>
      </c>
      <c r="G799">
        <f>Siam_Chart[[#This Row],[Value (k)]]</f>
        <v>16767.972280000002</v>
      </c>
      <c r="H799" cm="1">
        <f t="array" ref="H799:W799">Siam_Chart[[#This Row],[MCap (M)]:[CG]]</f>
        <v>49</v>
      </c>
      <c r="I799">
        <v>0</v>
      </c>
      <c r="J799">
        <v>0</v>
      </c>
      <c r="K799">
        <v>0</v>
      </c>
      <c r="L799">
        <v>0.1</v>
      </c>
      <c r="M799">
        <v>-0.28999999999999998</v>
      </c>
      <c r="N799">
        <v>-30.855125999999998</v>
      </c>
      <c r="O799">
        <v>-7.2713468220492805</v>
      </c>
      <c r="P799">
        <v>-7.2713469999999996</v>
      </c>
      <c r="Q799">
        <v>0</v>
      </c>
      <c r="R799" t="str">
        <v/>
      </c>
      <c r="S799" t="str">
        <v/>
      </c>
      <c r="T799">
        <v>0</v>
      </c>
      <c r="U799">
        <v>0</v>
      </c>
      <c r="V799">
        <v>0</v>
      </c>
      <c r="W799">
        <v>5</v>
      </c>
      <c r="X799" s="5">
        <f t="shared" si="27"/>
        <v>0</v>
      </c>
      <c r="Y799" s="6">
        <f t="shared" si="28"/>
        <v>2.4185587364264561E-2</v>
      </c>
    </row>
    <row r="800" spans="2:25" x14ac:dyDescent="0.25">
      <c r="B800" t="str">
        <f>Siam_Chart[[#This Row],[Name]]</f>
        <v>TTI</v>
      </c>
      <c r="C800">
        <f>Siam_Chart[[#This Row],[No.]]</f>
        <v>799</v>
      </c>
      <c r="D800">
        <f>Siam_Chart[[#This Row],[Last]]</f>
        <v>25.25</v>
      </c>
      <c r="E800">
        <f>Siam_Chart[[#This Row],[Chg%]]</f>
        <v>-3.81</v>
      </c>
      <c r="F800">
        <f>Siam_Chart[[#This Row],[Volume]]</f>
        <v>1400</v>
      </c>
      <c r="G800">
        <f>Siam_Chart[[#This Row],[Value (k)]]</f>
        <v>35700</v>
      </c>
      <c r="H800" cm="1">
        <f t="array" ref="H800:W800">Siam_Chart[[#This Row],[MCap (M)]:[CG]]</f>
        <v>1287500000</v>
      </c>
      <c r="I800">
        <v>1312500000</v>
      </c>
      <c r="J800">
        <v>0.62</v>
      </c>
      <c r="K800">
        <v>0.25701600000000002</v>
      </c>
      <c r="L800">
        <v>0.5</v>
      </c>
      <c r="M800">
        <v>-0.48</v>
      </c>
      <c r="N800">
        <v>-2.000035</v>
      </c>
      <c r="O800">
        <v>-3.087221</v>
      </c>
      <c r="P800">
        <v>-2.515717</v>
      </c>
      <c r="Q800">
        <v>1.94</v>
      </c>
      <c r="R800" t="str">
        <v/>
      </c>
      <c r="S800" t="str">
        <v/>
      </c>
      <c r="T800">
        <v>0</v>
      </c>
      <c r="U800">
        <v>0</v>
      </c>
      <c r="V800">
        <v>0</v>
      </c>
      <c r="W800">
        <v>0</v>
      </c>
      <c r="X800" s="5">
        <f t="shared" si="27"/>
        <v>40.725806451612904</v>
      </c>
      <c r="Y800" s="6">
        <f t="shared" si="28"/>
        <v>50990099.009900987</v>
      </c>
    </row>
    <row r="801" spans="2:25" x14ac:dyDescent="0.25">
      <c r="B801" t="str">
        <f>Siam_Chart[[#This Row],[Name]]</f>
        <v>TTT</v>
      </c>
      <c r="C801">
        <f>Siam_Chart[[#This Row],[No.]]</f>
        <v>800</v>
      </c>
      <c r="D801">
        <f>Siam_Chart[[#This Row],[Last]]</f>
        <v>46.5</v>
      </c>
      <c r="E801">
        <f>Siam_Chart[[#This Row],[Chg%]]</f>
        <v>-0.53</v>
      </c>
      <c r="F801">
        <f>Siam_Chart[[#This Row],[Volume]]</f>
        <v>301</v>
      </c>
      <c r="G801">
        <f>Siam_Chart[[#This Row],[Value (k)]]</f>
        <v>13921.25</v>
      </c>
      <c r="H801" cm="1">
        <f t="array" ref="H801:W801">Siam_Chart[[#This Row],[MCap (M)]:[CG]]</f>
        <v>2689560000</v>
      </c>
      <c r="I801">
        <v>12.15</v>
      </c>
      <c r="J801">
        <v>0.37</v>
      </c>
      <c r="K801">
        <v>0.16755300000000001</v>
      </c>
      <c r="L801">
        <v>1.7</v>
      </c>
      <c r="M801">
        <v>1.22</v>
      </c>
      <c r="N801">
        <v>3.5248330000000001</v>
      </c>
      <c r="O801">
        <v>3.0354359999999998</v>
      </c>
      <c r="P801">
        <v>3.8687119999999999</v>
      </c>
      <c r="Q801">
        <v>6.88</v>
      </c>
      <c r="R801" t="str">
        <v/>
      </c>
      <c r="S801" t="str">
        <v/>
      </c>
      <c r="T801">
        <v>1297</v>
      </c>
      <c r="U801">
        <v>1289</v>
      </c>
      <c r="V801">
        <v>0.1</v>
      </c>
      <c r="W801">
        <v>0</v>
      </c>
      <c r="X801" s="5">
        <f t="shared" si="27"/>
        <v>125.67567567567568</v>
      </c>
      <c r="Y801" s="6">
        <f t="shared" si="28"/>
        <v>57840000</v>
      </c>
    </row>
    <row r="802" spans="2:25" x14ac:dyDescent="0.25">
      <c r="B802" t="str">
        <f>Siam_Chart[[#This Row],[Name]]</f>
        <v>TTW</v>
      </c>
      <c r="C802">
        <f>Siam_Chart[[#This Row],[No.]]</f>
        <v>801</v>
      </c>
      <c r="D802">
        <f>Siam_Chart[[#This Row],[Last]]</f>
        <v>10.4</v>
      </c>
      <c r="E802">
        <f>Siam_Chart[[#This Row],[Chg%]]</f>
        <v>0</v>
      </c>
      <c r="F802">
        <f>Siam_Chart[[#This Row],[Volume]]</f>
        <v>3261282</v>
      </c>
      <c r="G802">
        <f>Siam_Chart[[#This Row],[Value (k)]]</f>
        <v>33904233.600000001</v>
      </c>
      <c r="H802" cm="1">
        <f t="array" ref="H802:W802">Siam_Chart[[#This Row],[MCap (M)]:[CG]]</f>
        <v>41496000000</v>
      </c>
      <c r="I802">
        <v>13.25</v>
      </c>
      <c r="J802">
        <v>2.48</v>
      </c>
      <c r="K802">
        <v>0.38055499999999998</v>
      </c>
      <c r="L802">
        <v>0.3</v>
      </c>
      <c r="M802">
        <v>0.33</v>
      </c>
      <c r="N802">
        <v>18.12294</v>
      </c>
      <c r="O802">
        <v>19.127921000000001</v>
      </c>
      <c r="P802">
        <v>50.669083000000001</v>
      </c>
      <c r="Q802">
        <v>5.77</v>
      </c>
      <c r="R802" t="str">
        <v/>
      </c>
      <c r="S802" t="str">
        <v/>
      </c>
      <c r="T802">
        <v>466</v>
      </c>
      <c r="U802">
        <v>409</v>
      </c>
      <c r="V802">
        <v>7.67</v>
      </c>
      <c r="W802">
        <v>5</v>
      </c>
      <c r="X802" s="5">
        <f t="shared" si="27"/>
        <v>4.193548387096774</v>
      </c>
      <c r="Y802" s="6">
        <f t="shared" si="28"/>
        <v>3990000000</v>
      </c>
    </row>
    <row r="803" spans="2:25" x14ac:dyDescent="0.25">
      <c r="B803" t="str">
        <f>Siam_Chart[[#This Row],[Name]]</f>
        <v>TU</v>
      </c>
      <c r="C803">
        <f>Siam_Chart[[#This Row],[No.]]</f>
        <v>802</v>
      </c>
      <c r="D803">
        <f>Siam_Chart[[#This Row],[Last]]</f>
        <v>13.1</v>
      </c>
      <c r="E803">
        <f>Siam_Chart[[#This Row],[Chg%]]</f>
        <v>0.77</v>
      </c>
      <c r="F803">
        <f>Siam_Chart[[#This Row],[Volume]]</f>
        <v>7049894</v>
      </c>
      <c r="G803">
        <f>Siam_Chart[[#This Row],[Value (k)]]</f>
        <v>91794133.799999997</v>
      </c>
      <c r="H803" cm="1">
        <f t="array" ref="H803:W803">Siam_Chart[[#This Row],[MCap (M)]:[CG]]</f>
        <v>55742238317.599998</v>
      </c>
      <c r="I803">
        <v>10.76</v>
      </c>
      <c r="J803">
        <v>1.1000000000000001</v>
      </c>
      <c r="K803">
        <v>2.0220959999999999</v>
      </c>
      <c r="L803">
        <v>0.4</v>
      </c>
      <c r="M803">
        <v>0.62</v>
      </c>
      <c r="N803">
        <v>5.152711</v>
      </c>
      <c r="O803">
        <v>10.306709</v>
      </c>
      <c r="P803">
        <v>4.4211039999999997</v>
      </c>
      <c r="Q803">
        <v>5.34</v>
      </c>
      <c r="R803" t="str">
        <v/>
      </c>
      <c r="S803" t="str">
        <v/>
      </c>
      <c r="T803">
        <v>612</v>
      </c>
      <c r="U803">
        <v>767</v>
      </c>
      <c r="V803">
        <v>-0.11</v>
      </c>
      <c r="W803">
        <v>5</v>
      </c>
      <c r="X803" s="5">
        <f t="shared" si="27"/>
        <v>11.909090909090908</v>
      </c>
      <c r="Y803" s="6">
        <f t="shared" si="28"/>
        <v>4255132696</v>
      </c>
    </row>
    <row r="804" spans="2:25" x14ac:dyDescent="0.25">
      <c r="B804" t="str">
        <f>Siam_Chart[[#This Row],[Name]]</f>
        <v>TURBO</v>
      </c>
      <c r="C804">
        <f>Siam_Chart[[#This Row],[No.]]</f>
        <v>803</v>
      </c>
      <c r="D804">
        <f>Siam_Chart[[#This Row],[Last]]</f>
        <v>1.87</v>
      </c>
      <c r="E804">
        <f>Siam_Chart[[#This Row],[Chg%]]</f>
        <v>-0.53</v>
      </c>
      <c r="F804">
        <f>Siam_Chart[[#This Row],[Volume]]</f>
        <v>22536940</v>
      </c>
      <c r="G804">
        <f>Siam_Chart[[#This Row],[Value (k)]]</f>
        <v>42148150.090000004</v>
      </c>
      <c r="H804" cm="1">
        <f t="array" ref="H804:W804">Siam_Chart[[#This Row],[MCap (M)]:[CG]]</f>
        <v>4992900000</v>
      </c>
      <c r="I804">
        <v>8.3699999999999992</v>
      </c>
      <c r="J804">
        <v>1.21</v>
      </c>
      <c r="K804">
        <v>2.3481399999999999</v>
      </c>
      <c r="L804">
        <v>0.12</v>
      </c>
      <c r="M804">
        <v>0.12</v>
      </c>
      <c r="N804">
        <v>8.3579039999999996</v>
      </c>
      <c r="O804">
        <v>17.142782</v>
      </c>
      <c r="P804">
        <v>19.633512</v>
      </c>
      <c r="Q804">
        <v>1.1200000000000001</v>
      </c>
      <c r="R804" t="str">
        <v/>
      </c>
      <c r="S804" t="str">
        <v/>
      </c>
      <c r="T804">
        <v>0</v>
      </c>
      <c r="U804">
        <v>0</v>
      </c>
      <c r="V804">
        <v>0.03</v>
      </c>
      <c r="W804">
        <v>0</v>
      </c>
      <c r="X804" s="5">
        <f t="shared" si="27"/>
        <v>1.5454545454545456</v>
      </c>
      <c r="Y804" s="6">
        <f t="shared" si="28"/>
        <v>2670000000</v>
      </c>
    </row>
    <row r="805" spans="2:25" x14ac:dyDescent="0.25">
      <c r="B805" t="str">
        <f>Siam_Chart[[#This Row],[Name]]</f>
        <v>TURTLE</v>
      </c>
      <c r="C805">
        <f>Siam_Chart[[#This Row],[No.]]</f>
        <v>804</v>
      </c>
      <c r="D805">
        <f>Siam_Chart[[#This Row],[Last]]</f>
        <v>2027</v>
      </c>
      <c r="E805">
        <f>Siam_Chart[[#This Row],[Chg%]]</f>
        <v>3.3333333333333361</v>
      </c>
      <c r="F805">
        <f>Siam_Chart[[#This Row],[Volume]]</f>
        <v>13957972</v>
      </c>
      <c r="G805">
        <f>Siam_Chart[[#This Row],[Value (k)]]</f>
        <v>50423.100919999997</v>
      </c>
      <c r="H805" cm="1">
        <f t="array" ref="H805:W805">Siam_Chart[[#This Row],[MCap (M)]:[CG]]</f>
        <v>5849541372.4799995</v>
      </c>
      <c r="I805">
        <v>5913123343.9200001</v>
      </c>
      <c r="J805">
        <v>1.96</v>
      </c>
      <c r="K805">
        <v>0.147894</v>
      </c>
      <c r="L805">
        <v>-0.06</v>
      </c>
      <c r="M805">
        <v>-0.06</v>
      </c>
      <c r="N805">
        <v>-12.527305</v>
      </c>
      <c r="O805">
        <v>-15.053972</v>
      </c>
      <c r="P805">
        <v>-47.763834000000003</v>
      </c>
      <c r="Q805">
        <v>1.98</v>
      </c>
      <c r="R805" t="str">
        <v/>
      </c>
      <c r="S805" t="str">
        <v/>
      </c>
      <c r="T805">
        <v>0</v>
      </c>
      <c r="U805">
        <v>0</v>
      </c>
      <c r="V805">
        <v>0</v>
      </c>
      <c r="W805">
        <v>4</v>
      </c>
      <c r="X805" s="5">
        <f t="shared" si="27"/>
        <v>1034.1836734693877</v>
      </c>
      <c r="Y805" s="6">
        <f t="shared" si="28"/>
        <v>2885812.2212530831</v>
      </c>
    </row>
    <row r="806" spans="2:25" x14ac:dyDescent="0.25">
      <c r="B806" t="str">
        <f>Siam_Chart[[#This Row],[Name]]</f>
        <v>TVDH</v>
      </c>
      <c r="C806">
        <f>Siam_Chart[[#This Row],[No.]]</f>
        <v>805</v>
      </c>
      <c r="D806">
        <f>Siam_Chart[[#This Row],[Last]]</f>
        <v>0.04</v>
      </c>
      <c r="E806">
        <f>Siam_Chart[[#This Row],[Chg%]]</f>
        <v>0</v>
      </c>
      <c r="F806">
        <f>Siam_Chart[[#This Row],[Volume]]</f>
        <v>2924757</v>
      </c>
      <c r="G806">
        <f>Siam_Chart[[#This Row],[Value (k)]]</f>
        <v>116983.28</v>
      </c>
      <c r="H806" cm="1">
        <f t="array" ref="H806:W806">Siam_Chart[[#This Row],[MCap (M)]:[CG]]</f>
        <v>91122980.560000002</v>
      </c>
      <c r="I806">
        <v>1.26</v>
      </c>
      <c r="J806">
        <v>0.13</v>
      </c>
      <c r="K806">
        <v>0.49111700000000003</v>
      </c>
      <c r="L806">
        <v>0.01</v>
      </c>
      <c r="M806">
        <v>0.01</v>
      </c>
      <c r="N806">
        <v>7.6977409999999997</v>
      </c>
      <c r="O806">
        <v>10.887775</v>
      </c>
      <c r="P806">
        <v>4.5082779999999998</v>
      </c>
      <c r="Q806">
        <v>0.16</v>
      </c>
      <c r="R806" t="str">
        <v/>
      </c>
      <c r="S806" t="str">
        <v/>
      </c>
      <c r="T806">
        <v>389</v>
      </c>
      <c r="U806">
        <v>350</v>
      </c>
      <c r="V806">
        <v>-0.13</v>
      </c>
      <c r="W806">
        <v>5</v>
      </c>
      <c r="X806" s="5">
        <f t="shared" si="27"/>
        <v>0.30769230769230771</v>
      </c>
      <c r="Y806" s="6">
        <f t="shared" si="28"/>
        <v>2278074514</v>
      </c>
    </row>
    <row r="807" spans="2:25" x14ac:dyDescent="0.25">
      <c r="B807" t="str">
        <f>Siam_Chart[[#This Row],[Name]]</f>
        <v>TVH</v>
      </c>
      <c r="C807">
        <f>Siam_Chart[[#This Row],[No.]]</f>
        <v>806</v>
      </c>
      <c r="D807">
        <f>Siam_Chart[[#This Row],[Last]]</f>
        <v>11.6</v>
      </c>
      <c r="E807">
        <f>Siam_Chart[[#This Row],[Chg%]]</f>
        <v>-1.69</v>
      </c>
      <c r="F807">
        <f>Siam_Chart[[#This Row],[Volume]]</f>
        <v>40001</v>
      </c>
      <c r="G807">
        <f>Siam_Chart[[#This Row],[Value (k)]]</f>
        <v>466421.8</v>
      </c>
      <c r="H807" cm="1">
        <f t="array" ref="H807:W807">Siam_Chart[[#This Row],[MCap (M)]:[CG]]</f>
        <v>3477535649.5999999</v>
      </c>
      <c r="I807">
        <v>5.44</v>
      </c>
      <c r="J807">
        <v>0.8</v>
      </c>
      <c r="K807">
        <v>1.139375</v>
      </c>
      <c r="L807">
        <v>0.44</v>
      </c>
      <c r="M807">
        <v>1.36</v>
      </c>
      <c r="N807">
        <v>9.5718230000000002</v>
      </c>
      <c r="O807">
        <v>15.399383</v>
      </c>
      <c r="P807">
        <v>12.682236</v>
      </c>
      <c r="Q807">
        <v>3.79</v>
      </c>
      <c r="R807" t="str">
        <v/>
      </c>
      <c r="S807" t="str">
        <v/>
      </c>
      <c r="T807">
        <v>262</v>
      </c>
      <c r="U807">
        <v>417</v>
      </c>
      <c r="V807">
        <v>0.26</v>
      </c>
      <c r="W807">
        <v>5</v>
      </c>
      <c r="X807" s="5">
        <f t="shared" si="27"/>
        <v>14.499999999999998</v>
      </c>
      <c r="Y807" s="6">
        <f t="shared" si="28"/>
        <v>299787556</v>
      </c>
    </row>
    <row r="808" spans="2:25" x14ac:dyDescent="0.25">
      <c r="B808" t="str">
        <f>Siam_Chart[[#This Row],[Name]]</f>
        <v>TVO</v>
      </c>
      <c r="C808">
        <f>Siam_Chart[[#This Row],[No.]]</f>
        <v>807</v>
      </c>
      <c r="D808">
        <f>Siam_Chart[[#This Row],[Last]]</f>
        <v>28.5</v>
      </c>
      <c r="E808">
        <f>Siam_Chart[[#This Row],[Chg%]]</f>
        <v>-3.39</v>
      </c>
      <c r="F808">
        <f>Siam_Chart[[#This Row],[Volume]]</f>
        <v>1811226</v>
      </c>
      <c r="G808">
        <f>Siam_Chart[[#This Row],[Value (k)]]</f>
        <v>51485695.75</v>
      </c>
      <c r="H808" cm="1">
        <f t="array" ref="H808:W808">Siam_Chart[[#This Row],[MCap (M)]:[CG]]</f>
        <v>25349930568</v>
      </c>
      <c r="I808">
        <v>9.77</v>
      </c>
      <c r="J808">
        <v>2.09</v>
      </c>
      <c r="K808">
        <v>0.30554799999999999</v>
      </c>
      <c r="L808">
        <v>0.9</v>
      </c>
      <c r="M808">
        <v>1.78</v>
      </c>
      <c r="N808">
        <v>19.726894999999999</v>
      </c>
      <c r="O808">
        <v>22.179981000000002</v>
      </c>
      <c r="P808">
        <v>10.017858</v>
      </c>
      <c r="Q808">
        <v>6.91</v>
      </c>
      <c r="R808" t="str">
        <v/>
      </c>
      <c r="S808" t="str">
        <v/>
      </c>
      <c r="T808">
        <v>346</v>
      </c>
      <c r="U808">
        <v>310</v>
      </c>
      <c r="V808">
        <v>0.35</v>
      </c>
      <c r="W808">
        <v>5</v>
      </c>
      <c r="X808" s="5">
        <f t="shared" si="27"/>
        <v>13.636363636363637</v>
      </c>
      <c r="Y808" s="6">
        <f t="shared" si="28"/>
        <v>889471248</v>
      </c>
    </row>
    <row r="809" spans="2:25" x14ac:dyDescent="0.25">
      <c r="B809" t="str">
        <f>Siam_Chart[[#This Row],[Name]]</f>
        <v>TVT</v>
      </c>
      <c r="C809">
        <f>Siam_Chart[[#This Row],[No.]]</f>
        <v>808</v>
      </c>
      <c r="D809">
        <f>Siam_Chart[[#This Row],[Last]]</f>
        <v>0.25</v>
      </c>
      <c r="E809">
        <f>Siam_Chart[[#This Row],[Chg%]]</f>
        <v>0</v>
      </c>
      <c r="F809">
        <f>Siam_Chart[[#This Row],[Volume]]</f>
        <v>40610</v>
      </c>
      <c r="G809">
        <f>Siam_Chart[[#This Row],[Value (k)]]</f>
        <v>9428.2000000000007</v>
      </c>
      <c r="H809" cm="1">
        <f t="array" ref="H809:W809">Siam_Chart[[#This Row],[MCap (M)]:[CG]]</f>
        <v>200007518.75</v>
      </c>
      <c r="I809">
        <v>200007518.75</v>
      </c>
      <c r="J809">
        <v>0.34</v>
      </c>
      <c r="K809">
        <v>5.2233000000000002E-2</v>
      </c>
      <c r="L809">
        <v>0.03</v>
      </c>
      <c r="M809">
        <v>-0.02</v>
      </c>
      <c r="N809">
        <v>-2.8630140000000002</v>
      </c>
      <c r="O809">
        <v>-3.4542980000000001</v>
      </c>
      <c r="P809">
        <v>-32.156253</v>
      </c>
      <c r="Q809">
        <v>0.34</v>
      </c>
      <c r="R809" t="str">
        <v/>
      </c>
      <c r="S809" t="str">
        <v/>
      </c>
      <c r="T809">
        <v>0</v>
      </c>
      <c r="U809">
        <v>0</v>
      </c>
      <c r="V809">
        <v>0</v>
      </c>
      <c r="W809">
        <v>4</v>
      </c>
      <c r="X809" s="5">
        <f t="shared" si="27"/>
        <v>0.73529411764705876</v>
      </c>
      <c r="Y809" s="6">
        <f t="shared" si="28"/>
        <v>800030075</v>
      </c>
    </row>
    <row r="810" spans="2:25" x14ac:dyDescent="0.25">
      <c r="B810" t="str">
        <f>Siam_Chart[[#This Row],[Name]]</f>
        <v>TWP</v>
      </c>
      <c r="C810">
        <f>Siam_Chart[[#This Row],[No.]]</f>
        <v>809</v>
      </c>
      <c r="D810">
        <f>Siam_Chart[[#This Row],[Last]]</f>
        <v>1.66</v>
      </c>
      <c r="E810">
        <f>Siam_Chart[[#This Row],[Chg%]]</f>
        <v>3.11</v>
      </c>
      <c r="F810">
        <f>Siam_Chart[[#This Row],[Volume]]</f>
        <v>4183943</v>
      </c>
      <c r="G810">
        <f>Siam_Chart[[#This Row],[Value (k)]]</f>
        <v>7307405.9900000002</v>
      </c>
      <c r="H810" cm="1">
        <f t="array" ref="H810:W810">Siam_Chart[[#This Row],[MCap (M)]:[CG]]</f>
        <v>443143150.30000001</v>
      </c>
      <c r="I810">
        <v>69.48</v>
      </c>
      <c r="J810">
        <v>0.33</v>
      </c>
      <c r="K810">
        <v>0.53752200000000006</v>
      </c>
      <c r="L810">
        <v>6.5399999999999998E-3</v>
      </c>
      <c r="M810">
        <v>0.09</v>
      </c>
      <c r="N810">
        <v>0.62550899999999998</v>
      </c>
      <c r="O810">
        <v>0.48502299999999998</v>
      </c>
      <c r="P810">
        <v>3.115202</v>
      </c>
      <c r="Q810">
        <v>0.32</v>
      </c>
      <c r="R810" t="str">
        <v/>
      </c>
      <c r="S810" t="str">
        <v/>
      </c>
      <c r="T810">
        <v>0</v>
      </c>
      <c r="U810">
        <v>0</v>
      </c>
      <c r="V810">
        <v>0</v>
      </c>
      <c r="W810">
        <v>0</v>
      </c>
      <c r="X810" s="5">
        <f t="shared" si="27"/>
        <v>5.0303030303030294</v>
      </c>
      <c r="Y810" s="6">
        <f t="shared" si="28"/>
        <v>266953705.00000003</v>
      </c>
    </row>
    <row r="811" spans="2:25" x14ac:dyDescent="0.25">
      <c r="B811" t="str">
        <f>Siam_Chart[[#This Row],[Name]]</f>
        <v>TWPC</v>
      </c>
      <c r="C811">
        <f>Siam_Chart[[#This Row],[No.]]</f>
        <v>810</v>
      </c>
      <c r="D811">
        <f>Siam_Chart[[#This Row],[Last]]</f>
        <v>2.72</v>
      </c>
      <c r="E811">
        <f>Siam_Chart[[#This Row],[Chg%]]</f>
        <v>3.03</v>
      </c>
      <c r="F811">
        <f>Siam_Chart[[#This Row],[Volume]]</f>
        <v>482425</v>
      </c>
      <c r="G811">
        <f>Siam_Chart[[#This Row],[Value (k)]]</f>
        <v>1306524</v>
      </c>
      <c r="H811" cm="1">
        <f t="array" ref="H811:W811">Siam_Chart[[#This Row],[MCap (M)]:[CG]]</f>
        <v>2394744929.5999999</v>
      </c>
      <c r="I811">
        <v>15.26</v>
      </c>
      <c r="J811">
        <v>0.49</v>
      </c>
      <c r="K811">
        <v>0.60598700000000005</v>
      </c>
      <c r="L811">
        <v>0.114</v>
      </c>
      <c r="M811">
        <v>0.16</v>
      </c>
      <c r="N811">
        <v>3.226559</v>
      </c>
      <c r="O811">
        <v>3.2140499999999999</v>
      </c>
      <c r="P811">
        <v>2.8908019999999999</v>
      </c>
      <c r="Q811">
        <v>4.1900000000000004</v>
      </c>
      <c r="R811" t="str">
        <v/>
      </c>
      <c r="S811" t="str">
        <v/>
      </c>
      <c r="T811">
        <v>1025</v>
      </c>
      <c r="U811">
        <v>992</v>
      </c>
      <c r="V811">
        <v>-0.09</v>
      </c>
      <c r="W811">
        <v>5</v>
      </c>
      <c r="X811" s="5">
        <f t="shared" si="27"/>
        <v>5.5510204081632661</v>
      </c>
      <c r="Y811" s="6">
        <f t="shared" si="28"/>
        <v>880420929.99999988</v>
      </c>
    </row>
    <row r="812" spans="2:25" x14ac:dyDescent="0.25">
      <c r="B812" t="str">
        <f>Siam_Chart[[#This Row],[Name]]</f>
        <v>TWZ</v>
      </c>
      <c r="C812">
        <f>Siam_Chart[[#This Row],[No.]]</f>
        <v>811</v>
      </c>
      <c r="D812">
        <f>Siam_Chart[[#This Row],[Last]]</f>
        <v>0.01</v>
      </c>
      <c r="E812">
        <f>Siam_Chart[[#This Row],[Chg%]]</f>
        <v>0</v>
      </c>
      <c r="F812">
        <f>Siam_Chart[[#This Row],[Volume]]</f>
        <v>1512100</v>
      </c>
      <c r="G812">
        <f>Siam_Chart[[#This Row],[Value (k)]]</f>
        <v>15121</v>
      </c>
      <c r="H812" cm="1">
        <f t="array" ref="H812:W812">Siam_Chart[[#This Row],[MCap (M)]:[CG]]</f>
        <v>198609115.12</v>
      </c>
      <c r="I812">
        <v>198609115.12</v>
      </c>
      <c r="J812">
        <v>0.13</v>
      </c>
      <c r="K812">
        <v>1.365218</v>
      </c>
      <c r="L812">
        <v>-0.01</v>
      </c>
      <c r="M812">
        <v>-0.01</v>
      </c>
      <c r="N812">
        <v>-49.423119</v>
      </c>
      <c r="O812">
        <v>-82.617508000000001</v>
      </c>
      <c r="P812">
        <v>-14.805733</v>
      </c>
      <c r="Q812">
        <v>0.13</v>
      </c>
      <c r="R812" t="str">
        <v/>
      </c>
      <c r="S812" t="str">
        <v/>
      </c>
      <c r="T812">
        <v>0</v>
      </c>
      <c r="U812">
        <v>0</v>
      </c>
      <c r="V812">
        <v>0</v>
      </c>
      <c r="W812">
        <v>0</v>
      </c>
      <c r="X812" s="5">
        <f t="shared" si="27"/>
        <v>7.6923076923076927E-2</v>
      </c>
      <c r="Y812" s="6">
        <f t="shared" si="28"/>
        <v>19860911512</v>
      </c>
    </row>
    <row r="813" spans="2:25" x14ac:dyDescent="0.25">
      <c r="B813" t="str">
        <f>Siam_Chart[[#This Row],[Name]]</f>
        <v>TYCN</v>
      </c>
      <c r="C813">
        <f>Siam_Chart[[#This Row],[No.]]</f>
        <v>812</v>
      </c>
      <c r="D813">
        <f>Siam_Chart[[#This Row],[Last]]</f>
        <v>1.69</v>
      </c>
      <c r="E813">
        <f>Siam_Chart[[#This Row],[Chg%]]</f>
        <v>-0.59</v>
      </c>
      <c r="F813">
        <f>Siam_Chart[[#This Row],[Volume]]</f>
        <v>5</v>
      </c>
      <c r="G813">
        <f>Siam_Chart[[#This Row],[Value (k)]]</f>
        <v>8.5</v>
      </c>
      <c r="H813" cm="1">
        <f t="array" ref="H813:W813">Siam_Chart[[#This Row],[MCap (M)]:[CG]]</f>
        <v>1014473130</v>
      </c>
      <c r="I813">
        <v>24.11</v>
      </c>
      <c r="J813">
        <v>0.26</v>
      </c>
      <c r="K813">
        <v>0.59928899999999996</v>
      </c>
      <c r="L813">
        <v>-0.05</v>
      </c>
      <c r="M813">
        <v>-0.05</v>
      </c>
      <c r="N813">
        <v>0.72999000000000003</v>
      </c>
      <c r="O813">
        <v>1.0633509999999999</v>
      </c>
      <c r="P813">
        <v>-0.68640699999999999</v>
      </c>
      <c r="Q813">
        <v>0.25</v>
      </c>
      <c r="R813" t="str">
        <v/>
      </c>
      <c r="S813" t="str">
        <v/>
      </c>
      <c r="T813">
        <v>1242</v>
      </c>
      <c r="U813">
        <v>1270</v>
      </c>
      <c r="V813">
        <v>-0.18</v>
      </c>
      <c r="W813">
        <v>0</v>
      </c>
      <c r="X813" s="5">
        <f t="shared" si="27"/>
        <v>6.5</v>
      </c>
      <c r="Y813" s="6">
        <f t="shared" si="28"/>
        <v>600279958.57988167</v>
      </c>
    </row>
    <row r="814" spans="2:25" x14ac:dyDescent="0.25">
      <c r="B814" t="str">
        <f>Siam_Chart[[#This Row],[Name]]</f>
        <v>UAC</v>
      </c>
      <c r="C814">
        <f>Siam_Chart[[#This Row],[No.]]</f>
        <v>813</v>
      </c>
      <c r="D814">
        <f>Siam_Chart[[#This Row],[Last]]</f>
        <v>2.56</v>
      </c>
      <c r="E814">
        <f>Siam_Chart[[#This Row],[Chg%]]</f>
        <v>0.79</v>
      </c>
      <c r="F814">
        <f>Siam_Chart[[#This Row],[Volume]]</f>
        <v>62205</v>
      </c>
      <c r="G814">
        <f>Siam_Chart[[#This Row],[Value (k)]]</f>
        <v>158242.79999999999</v>
      </c>
      <c r="H814" cm="1">
        <f t="array" ref="H814:W814">Siam_Chart[[#This Row],[MCap (M)]:[CG]]</f>
        <v>1709071869.4400001</v>
      </c>
      <c r="I814">
        <v>29.41</v>
      </c>
      <c r="J814">
        <v>1.21</v>
      </c>
      <c r="K814">
        <v>0.73829500000000003</v>
      </c>
      <c r="L814">
        <v>0.2</v>
      </c>
      <c r="M814">
        <v>0.09</v>
      </c>
      <c r="N814">
        <v>4.8441479999999997</v>
      </c>
      <c r="O814">
        <v>3.9088259999999999</v>
      </c>
      <c r="P814">
        <v>7.2045459999999997</v>
      </c>
      <c r="Q814">
        <v>7.81</v>
      </c>
      <c r="R814" t="str">
        <v/>
      </c>
      <c r="S814" t="str">
        <v/>
      </c>
      <c r="T814">
        <v>1217</v>
      </c>
      <c r="U814">
        <v>1170</v>
      </c>
      <c r="V814">
        <v>1.67</v>
      </c>
      <c r="W814">
        <v>5</v>
      </c>
      <c r="X814" s="5">
        <f t="shared" si="27"/>
        <v>2.115702479338843</v>
      </c>
      <c r="Y814" s="6">
        <f t="shared" si="28"/>
        <v>667606199</v>
      </c>
    </row>
    <row r="815" spans="2:25" x14ac:dyDescent="0.25">
      <c r="B815" t="str">
        <f>Siam_Chart[[#This Row],[Name]]</f>
        <v>UBA</v>
      </c>
      <c r="C815">
        <f>Siam_Chart[[#This Row],[No.]]</f>
        <v>814</v>
      </c>
      <c r="D815">
        <f>Siam_Chart[[#This Row],[Last]]</f>
        <v>1.27</v>
      </c>
      <c r="E815">
        <f>Siam_Chart[[#This Row],[Chg%]]</f>
        <v>-0.78</v>
      </c>
      <c r="F815">
        <f>Siam_Chart[[#This Row],[Volume]]</f>
        <v>107421</v>
      </c>
      <c r="G815">
        <f>Siam_Chart[[#This Row],[Value (k)]]</f>
        <v>135873.48000000001</v>
      </c>
      <c r="H815" cm="1">
        <f t="array" ref="H815:W815">Siam_Chart[[#This Row],[MCap (M)]:[CG]]</f>
        <v>762000000</v>
      </c>
      <c r="I815">
        <v>9.2799999999999994</v>
      </c>
      <c r="J815">
        <v>1.21</v>
      </c>
      <c r="K815">
        <v>0.139182</v>
      </c>
      <c r="L815">
        <v>9.7250000000000003E-2</v>
      </c>
      <c r="M815">
        <v>0.06</v>
      </c>
      <c r="N815">
        <v>14.733931999999999</v>
      </c>
      <c r="O815">
        <v>13.307083</v>
      </c>
      <c r="P815">
        <v>14.750323</v>
      </c>
      <c r="Q815">
        <v>7.66</v>
      </c>
      <c r="R815" t="str">
        <v/>
      </c>
      <c r="S815" t="str">
        <v/>
      </c>
      <c r="T815">
        <v>341</v>
      </c>
      <c r="U815">
        <v>233</v>
      </c>
      <c r="V815">
        <v>-3.94</v>
      </c>
      <c r="W815">
        <v>4</v>
      </c>
      <c r="X815" s="5">
        <f t="shared" si="27"/>
        <v>1.0495867768595042</v>
      </c>
      <c r="Y815" s="6">
        <f t="shared" si="28"/>
        <v>600000000</v>
      </c>
    </row>
    <row r="816" spans="2:25" x14ac:dyDescent="0.25">
      <c r="B816" t="str">
        <f>Siam_Chart[[#This Row],[Name]]</f>
        <v>UBE</v>
      </c>
      <c r="C816">
        <f>Siam_Chart[[#This Row],[No.]]</f>
        <v>815</v>
      </c>
      <c r="D816">
        <f>Siam_Chart[[#This Row],[Last]]</f>
        <v>0.53</v>
      </c>
      <c r="E816">
        <f>Siam_Chart[[#This Row],[Chg%]]</f>
        <v>0</v>
      </c>
      <c r="F816">
        <f>Siam_Chart[[#This Row],[Volume]]</f>
        <v>851900</v>
      </c>
      <c r="G816">
        <f>Siam_Chart[[#This Row],[Value (k)]]</f>
        <v>452017</v>
      </c>
      <c r="H816" cm="1">
        <f t="array" ref="H816:W816">Siam_Chart[[#This Row],[MCap (M)]:[CG]]</f>
        <v>2074571580</v>
      </c>
      <c r="I816">
        <v>2113714440</v>
      </c>
      <c r="J816">
        <v>0.37</v>
      </c>
      <c r="K816">
        <v>0.14318900000000001</v>
      </c>
      <c r="L816">
        <v>1.5299999999999999E-2</v>
      </c>
      <c r="M816">
        <v>-0.02</v>
      </c>
      <c r="N816">
        <v>-0.330683</v>
      </c>
      <c r="O816">
        <v>-1.745757</v>
      </c>
      <c r="P816">
        <v>-2.4732400000000001</v>
      </c>
      <c r="Q816">
        <v>2.89</v>
      </c>
      <c r="R816" t="str">
        <v/>
      </c>
      <c r="S816" t="str">
        <v/>
      </c>
      <c r="T816">
        <v>0</v>
      </c>
      <c r="U816">
        <v>0</v>
      </c>
      <c r="V816">
        <v>0</v>
      </c>
      <c r="W816">
        <v>5</v>
      </c>
      <c r="X816" s="5">
        <f t="shared" si="27"/>
        <v>1.4324324324324325</v>
      </c>
      <c r="Y816" s="6">
        <f t="shared" si="28"/>
        <v>3914286000</v>
      </c>
    </row>
    <row r="817" spans="2:25" x14ac:dyDescent="0.25">
      <c r="B817" t="str">
        <f>Siam_Chart[[#This Row],[Name]]</f>
        <v>UBIS</v>
      </c>
      <c r="C817">
        <f>Siam_Chart[[#This Row],[No.]]</f>
        <v>816</v>
      </c>
      <c r="D817">
        <f>Siam_Chart[[#This Row],[Last]]</f>
        <v>1.49</v>
      </c>
      <c r="E817">
        <f>Siam_Chart[[#This Row],[Chg%]]</f>
        <v>0</v>
      </c>
      <c r="F817">
        <f>Siam_Chart[[#This Row],[Volume]]</f>
        <v>328504</v>
      </c>
      <c r="G817">
        <f>Siam_Chart[[#This Row],[Value (k)]]</f>
        <v>493279.92</v>
      </c>
      <c r="H817" cm="1">
        <f t="array" ref="H817:W817">Siam_Chart[[#This Row],[MCap (M)]:[CG]]</f>
        <v>424650354.62</v>
      </c>
      <c r="I817">
        <v>8.0299999999999994</v>
      </c>
      <c r="J817">
        <v>0.62</v>
      </c>
      <c r="K817">
        <v>0.70474199999999998</v>
      </c>
      <c r="L817">
        <v>0.2</v>
      </c>
      <c r="M817">
        <v>0.12</v>
      </c>
      <c r="N817">
        <v>5.9271240000000001</v>
      </c>
      <c r="O817">
        <v>7.9561909999999996</v>
      </c>
      <c r="P817">
        <v>6.6208309999999999</v>
      </c>
      <c r="Q817">
        <v>0.56999999999999995</v>
      </c>
      <c r="R817" t="str">
        <v/>
      </c>
      <c r="S817" t="str">
        <v/>
      </c>
      <c r="T817">
        <v>958</v>
      </c>
      <c r="U817">
        <v>915</v>
      </c>
      <c r="V817">
        <v>-1.06</v>
      </c>
      <c r="W817">
        <v>5</v>
      </c>
      <c r="X817" s="5">
        <f t="shared" si="27"/>
        <v>2.403225806451613</v>
      </c>
      <c r="Y817" s="6">
        <f t="shared" si="28"/>
        <v>285000238</v>
      </c>
    </row>
    <row r="818" spans="2:25" x14ac:dyDescent="0.25">
      <c r="B818" t="str">
        <f>Siam_Chart[[#This Row],[Name]]</f>
        <v>UEC</v>
      </c>
      <c r="C818">
        <f>Siam_Chart[[#This Row],[No.]]</f>
        <v>817</v>
      </c>
      <c r="D818">
        <f>Siam_Chart[[#This Row],[Last]]</f>
        <v>0.75</v>
      </c>
      <c r="E818">
        <f>Siam_Chart[[#This Row],[Chg%]]</f>
        <v>1.35</v>
      </c>
      <c r="F818">
        <f>Siam_Chart[[#This Row],[Volume]]</f>
        <v>258920</v>
      </c>
      <c r="G818">
        <f>Siam_Chart[[#This Row],[Value (k)]]</f>
        <v>195274.88</v>
      </c>
      <c r="H818" cm="1">
        <f t="array" ref="H818:W818">Siam_Chart[[#This Row],[MCap (M)]:[CG]]</f>
        <v>427882950</v>
      </c>
      <c r="I818">
        <v>433588056</v>
      </c>
      <c r="J818">
        <v>0.42</v>
      </c>
      <c r="K818">
        <v>0.17464099999999999</v>
      </c>
      <c r="L818">
        <v>0.03</v>
      </c>
      <c r="M818">
        <v>-0.04</v>
      </c>
      <c r="N818">
        <v>-7.5780880000000002</v>
      </c>
      <c r="O818">
        <v>-7.2561070000000001</v>
      </c>
      <c r="P818">
        <v>-8.3398570000000003</v>
      </c>
      <c r="Q818">
        <v>8</v>
      </c>
      <c r="R818" t="str">
        <v/>
      </c>
      <c r="S818" t="str">
        <v/>
      </c>
      <c r="T818">
        <v>0</v>
      </c>
      <c r="U818">
        <v>0</v>
      </c>
      <c r="V818">
        <v>0</v>
      </c>
      <c r="W818">
        <v>0</v>
      </c>
      <c r="X818" s="5">
        <f t="shared" si="27"/>
        <v>1.7857142857142858</v>
      </c>
      <c r="Y818" s="6">
        <f t="shared" si="28"/>
        <v>570510600</v>
      </c>
    </row>
    <row r="819" spans="2:25" x14ac:dyDescent="0.25">
      <c r="B819" t="str">
        <f>Siam_Chart[[#This Row],[Name]]</f>
        <v>UKEM</v>
      </c>
      <c r="C819">
        <f>Siam_Chart[[#This Row],[No.]]</f>
        <v>818</v>
      </c>
      <c r="D819">
        <f>Siam_Chart[[#This Row],[Last]]</f>
        <v>1.55</v>
      </c>
      <c r="E819">
        <f>Siam_Chart[[#This Row],[Chg%]]</f>
        <v>-1.27</v>
      </c>
      <c r="F819">
        <f>Siam_Chart[[#This Row],[Volume]]</f>
        <v>22719920</v>
      </c>
      <c r="G819">
        <f>Siam_Chart[[#This Row],[Value (k)]]</f>
        <v>35875308.439999998</v>
      </c>
      <c r="H819" cm="1">
        <f t="array" ref="H819:W819">Siam_Chart[[#This Row],[MCap (M)]:[CG]]</f>
        <v>1680048489.05</v>
      </c>
      <c r="I819">
        <v>4.63</v>
      </c>
      <c r="J819">
        <v>1.51</v>
      </c>
      <c r="K819">
        <v>0.88816300000000004</v>
      </c>
      <c r="L819">
        <v>1.4999999999999999E-2</v>
      </c>
      <c r="M819">
        <v>0.31</v>
      </c>
      <c r="N819">
        <v>24.196449999999999</v>
      </c>
      <c r="O819">
        <v>38.560087000000003</v>
      </c>
      <c r="P819">
        <v>19.006938000000002</v>
      </c>
      <c r="Q819">
        <v>0.97</v>
      </c>
      <c r="R819" t="str">
        <v/>
      </c>
      <c r="S819" t="str">
        <v/>
      </c>
      <c r="T819">
        <v>315</v>
      </c>
      <c r="U819">
        <v>353</v>
      </c>
      <c r="V819">
        <v>7.0000000000000007E-2</v>
      </c>
      <c r="W819">
        <v>3</v>
      </c>
      <c r="X819" s="5">
        <f t="shared" si="27"/>
        <v>1.0264900662251655</v>
      </c>
      <c r="Y819" s="6">
        <f t="shared" si="28"/>
        <v>1083902251</v>
      </c>
    </row>
    <row r="820" spans="2:25" x14ac:dyDescent="0.25">
      <c r="B820" t="str">
        <f>Siam_Chart[[#This Row],[Name]]</f>
        <v>UMI</v>
      </c>
      <c r="C820">
        <f>Siam_Chart[[#This Row],[No.]]</f>
        <v>819</v>
      </c>
      <c r="D820">
        <f>Siam_Chart[[#This Row],[Last]]</f>
        <v>0.95</v>
      </c>
      <c r="E820">
        <f>Siam_Chart[[#This Row],[Chg%]]</f>
        <v>0</v>
      </c>
      <c r="F820">
        <f>Siam_Chart[[#This Row],[Volume]]</f>
        <v>248800</v>
      </c>
      <c r="G820">
        <f>Siam_Chart[[#This Row],[Value (k)]]</f>
        <v>234154</v>
      </c>
      <c r="H820" cm="1">
        <f t="array" ref="H820:W820">Siam_Chart[[#This Row],[MCap (M)]:[CG]]</f>
        <v>794679503.95000005</v>
      </c>
      <c r="I820">
        <v>2.11</v>
      </c>
      <c r="J820">
        <v>0.4</v>
      </c>
      <c r="K820">
        <v>0.49205100000000002</v>
      </c>
      <c r="L820">
        <v>0.04</v>
      </c>
      <c r="M820">
        <v>0.4</v>
      </c>
      <c r="N820">
        <v>19.087785</v>
      </c>
      <c r="O820">
        <v>21.686834999999999</v>
      </c>
      <c r="P820">
        <v>38.271407000000004</v>
      </c>
      <c r="Q820">
        <v>4.21</v>
      </c>
      <c r="R820" t="str">
        <v/>
      </c>
      <c r="S820" t="str">
        <v/>
      </c>
      <c r="T820">
        <v>69</v>
      </c>
      <c r="U820">
        <v>35</v>
      </c>
      <c r="V820">
        <v>-0.01</v>
      </c>
      <c r="W820">
        <v>0</v>
      </c>
      <c r="X820" s="5">
        <f t="shared" si="27"/>
        <v>2.3749999999999996</v>
      </c>
      <c r="Y820" s="6">
        <f t="shared" si="28"/>
        <v>836504741.00000012</v>
      </c>
    </row>
    <row r="821" spans="2:25" x14ac:dyDescent="0.25">
      <c r="B821" t="str">
        <f>Siam_Chart[[#This Row],[Name]]</f>
        <v>UMS</v>
      </c>
      <c r="C821">
        <f>Siam_Chart[[#This Row],[No.]]</f>
        <v>820</v>
      </c>
      <c r="D821">
        <f>Siam_Chart[[#This Row],[Last]]</f>
        <v>0.57999999999999996</v>
      </c>
      <c r="E821">
        <f>Siam_Chart[[#This Row],[Chg%]]</f>
        <v>-1.69</v>
      </c>
      <c r="F821">
        <f>Siam_Chart[[#This Row],[Volume]]</f>
        <v>469700</v>
      </c>
      <c r="G821">
        <f>Siam_Chart[[#This Row],[Value (k)]]</f>
        <v>276215</v>
      </c>
      <c r="H821" cm="1">
        <f t="array" ref="H821:W821">Siam_Chart[[#This Row],[MCap (M)]:[CG]]</f>
        <v>1385242734.9400001</v>
      </c>
      <c r="I821">
        <v>1433009725.8</v>
      </c>
      <c r="J821">
        <v>1.91</v>
      </c>
      <c r="K821">
        <v>0.75348800000000005</v>
      </c>
      <c r="L821">
        <v>-0.06</v>
      </c>
      <c r="M821">
        <v>-0.06</v>
      </c>
      <c r="N821">
        <v>-16.417068</v>
      </c>
      <c r="O821">
        <v>-29.330030000000001</v>
      </c>
      <c r="P821">
        <v>-132.41053199999999</v>
      </c>
      <c r="Q821">
        <v>1.98</v>
      </c>
      <c r="R821" t="str">
        <v/>
      </c>
      <c r="S821" t="str">
        <v/>
      </c>
      <c r="T821">
        <v>0</v>
      </c>
      <c r="U821">
        <v>0</v>
      </c>
      <c r="V821">
        <v>0</v>
      </c>
      <c r="W821">
        <v>0</v>
      </c>
      <c r="X821" s="5">
        <f t="shared" si="27"/>
        <v>0.30366492146596857</v>
      </c>
      <c r="Y821" s="6">
        <f t="shared" si="28"/>
        <v>2388349543.0000005</v>
      </c>
    </row>
    <row r="822" spans="2:25" x14ac:dyDescent="0.25">
      <c r="B822" t="str">
        <f>Siam_Chart[[#This Row],[Name]]</f>
        <v>UNIQ</v>
      </c>
      <c r="C822">
        <f>Siam_Chart[[#This Row],[No.]]</f>
        <v>821</v>
      </c>
      <c r="D822">
        <f>Siam_Chart[[#This Row],[Last]]</f>
        <v>2.7</v>
      </c>
      <c r="E822">
        <f>Siam_Chart[[#This Row],[Chg%]]</f>
        <v>0.75</v>
      </c>
      <c r="F822">
        <f>Siam_Chart[[#This Row],[Volume]]</f>
        <v>154301</v>
      </c>
      <c r="G822">
        <f>Siam_Chart[[#This Row],[Value (k)]]</f>
        <v>414692.68</v>
      </c>
      <c r="H822" cm="1">
        <f t="array" ref="H822:W822">Siam_Chart[[#This Row],[MCap (M)]:[CG]]</f>
        <v>2918743883.0999999</v>
      </c>
      <c r="I822">
        <v>16.57</v>
      </c>
      <c r="J822">
        <v>0.32</v>
      </c>
      <c r="K822">
        <v>3.971114</v>
      </c>
      <c r="L822">
        <v>0.08</v>
      </c>
      <c r="M822">
        <v>7.0000000000000007E-2</v>
      </c>
      <c r="N822">
        <v>3.7027489999999998</v>
      </c>
      <c r="O822">
        <v>1.914291</v>
      </c>
      <c r="P822">
        <v>1.3343860000000001</v>
      </c>
      <c r="Q822">
        <v>2.96</v>
      </c>
      <c r="R822" t="str">
        <v/>
      </c>
      <c r="S822" t="str">
        <v/>
      </c>
      <c r="T822">
        <v>254</v>
      </c>
      <c r="U822">
        <v>402</v>
      </c>
      <c r="V822">
        <v>0.02</v>
      </c>
      <c r="W822">
        <v>0</v>
      </c>
      <c r="X822" s="5">
        <f t="shared" si="27"/>
        <v>8.4375</v>
      </c>
      <c r="Y822" s="6">
        <f t="shared" si="28"/>
        <v>1081016253</v>
      </c>
    </row>
    <row r="823" spans="2:25" x14ac:dyDescent="0.25">
      <c r="B823" t="str">
        <f>Siam_Chart[[#This Row],[Name]]</f>
        <v>UNIX</v>
      </c>
      <c r="C823">
        <f>Siam_Chart[[#This Row],[No.]]</f>
        <v>822</v>
      </c>
      <c r="D823">
        <f>Siam_Chart[[#This Row],[Last]]</f>
        <v>2.48</v>
      </c>
      <c r="E823">
        <f>Siam_Chart[[#This Row],[Chg%]]</f>
        <v>-2.36</v>
      </c>
      <c r="F823">
        <f>Siam_Chart[[#This Row],[Volume]]</f>
        <v>8317191</v>
      </c>
      <c r="G823">
        <f>Siam_Chart[[#This Row],[Value (k)]]</f>
        <v>20839625.34</v>
      </c>
      <c r="H823" cm="1">
        <f t="array" ref="H823:W823">Siam_Chart[[#This Row],[MCap (M)]:[CG]]</f>
        <v>1636800000</v>
      </c>
      <c r="I823">
        <v>6.6</v>
      </c>
      <c r="J823">
        <v>1.78</v>
      </c>
      <c r="K823">
        <v>2.0630860000000002</v>
      </c>
      <c r="L823">
        <v>0.114</v>
      </c>
      <c r="M823">
        <v>0.31</v>
      </c>
      <c r="N823">
        <v>11.997016</v>
      </c>
      <c r="O823">
        <v>27.964744</v>
      </c>
      <c r="P823">
        <v>10.856176</v>
      </c>
      <c r="Q823">
        <v>4.5999999999999996</v>
      </c>
      <c r="R823" t="str">
        <v/>
      </c>
      <c r="S823" t="str">
        <v/>
      </c>
      <c r="T823">
        <v>0</v>
      </c>
      <c r="U823">
        <v>0</v>
      </c>
      <c r="V823">
        <v>0</v>
      </c>
      <c r="W823">
        <v>0</v>
      </c>
      <c r="X823" s="5">
        <f t="shared" si="27"/>
        <v>1.3932584269662922</v>
      </c>
      <c r="Y823" s="6">
        <f t="shared" si="28"/>
        <v>660000000</v>
      </c>
    </row>
    <row r="824" spans="2:25" x14ac:dyDescent="0.25">
      <c r="B824" t="str">
        <f>Siam_Chart[[#This Row],[Name]]</f>
        <v>UP</v>
      </c>
      <c r="C824">
        <f>Siam_Chart[[#This Row],[No.]]</f>
        <v>823</v>
      </c>
      <c r="D824">
        <f>Siam_Chart[[#This Row],[Last]]</f>
        <v>25.25</v>
      </c>
      <c r="E824">
        <f>Siam_Chart[[#This Row],[Chg%]]</f>
        <v>-0.98</v>
      </c>
      <c r="F824">
        <f>Siam_Chart[[#This Row],[Volume]]</f>
        <v>3400</v>
      </c>
      <c r="G824">
        <f>Siam_Chart[[#This Row],[Value (k)]]</f>
        <v>85875</v>
      </c>
      <c r="H824" cm="1">
        <f t="array" ref="H824:W824">Siam_Chart[[#This Row],[MCap (M)]:[CG]]</f>
        <v>631250000</v>
      </c>
      <c r="I824">
        <v>9.2100000000000009</v>
      </c>
      <c r="J824">
        <v>1.02</v>
      </c>
      <c r="K824">
        <v>0.25249700000000003</v>
      </c>
      <c r="L824">
        <v>2.5</v>
      </c>
      <c r="M824">
        <v>2.78</v>
      </c>
      <c r="N824">
        <v>8.8318709999999996</v>
      </c>
      <c r="O824">
        <v>11.035595000000001</v>
      </c>
      <c r="P824">
        <v>18.472760999999998</v>
      </c>
      <c r="Q824">
        <v>9.9</v>
      </c>
      <c r="R824" t="str">
        <v/>
      </c>
      <c r="S824" t="str">
        <v/>
      </c>
      <c r="T824">
        <v>446</v>
      </c>
      <c r="U824">
        <v>409</v>
      </c>
      <c r="V824">
        <v>0</v>
      </c>
      <c r="W824">
        <v>5</v>
      </c>
      <c r="X824" s="5">
        <f t="shared" si="27"/>
        <v>24.754901960784313</v>
      </c>
      <c r="Y824" s="6">
        <f t="shared" si="28"/>
        <v>25000000</v>
      </c>
    </row>
    <row r="825" spans="2:25" x14ac:dyDescent="0.25">
      <c r="B825" t="str">
        <f>Siam_Chart[[#This Row],[Name]]</f>
        <v>UPF</v>
      </c>
      <c r="C825">
        <f>Siam_Chart[[#This Row],[No.]]</f>
        <v>824</v>
      </c>
      <c r="D825">
        <f>Siam_Chart[[#This Row],[Last]]</f>
        <v>22.8</v>
      </c>
      <c r="E825">
        <f>Siam_Chart[[#This Row],[Chg%]]</f>
        <v>-0.44</v>
      </c>
      <c r="F825">
        <f>Siam_Chart[[#This Row],[Volume]]</f>
        <v>201</v>
      </c>
      <c r="G825">
        <f>Siam_Chart[[#This Row],[Value (k)]]</f>
        <v>4563</v>
      </c>
      <c r="H825" cm="1">
        <f t="array" ref="H825:W825">Siam_Chart[[#This Row],[MCap (M)]:[CG]]</f>
        <v>171000000</v>
      </c>
      <c r="I825">
        <v>35.4</v>
      </c>
      <c r="J825">
        <v>0.52</v>
      </c>
      <c r="K825">
        <v>0.44334000000000001</v>
      </c>
      <c r="L825">
        <v>1.2</v>
      </c>
      <c r="M825">
        <v>1.04</v>
      </c>
      <c r="N825">
        <v>0.85994899999999996</v>
      </c>
      <c r="O825">
        <v>1.460237</v>
      </c>
      <c r="P825">
        <v>2.9303710000000001</v>
      </c>
      <c r="Q825">
        <v>0.51</v>
      </c>
      <c r="R825" t="str">
        <v/>
      </c>
      <c r="S825" t="str">
        <v/>
      </c>
      <c r="T825">
        <v>1260</v>
      </c>
      <c r="U825">
        <v>1313</v>
      </c>
      <c r="V825">
        <v>-0.4</v>
      </c>
      <c r="W825">
        <v>5</v>
      </c>
      <c r="X825" s="5">
        <f t="shared" si="27"/>
        <v>43.846153846153847</v>
      </c>
      <c r="Y825" s="6">
        <f t="shared" si="28"/>
        <v>7500000</v>
      </c>
    </row>
    <row r="826" spans="2:25" x14ac:dyDescent="0.25">
      <c r="B826" t="str">
        <f>Siam_Chart[[#This Row],[Name]]</f>
        <v>UPOIC</v>
      </c>
      <c r="C826">
        <f>Siam_Chart[[#This Row],[No.]]</f>
        <v>825</v>
      </c>
      <c r="D826">
        <f>Siam_Chart[[#This Row],[Last]]</f>
        <v>6.75</v>
      </c>
      <c r="E826">
        <f>Siam_Chart[[#This Row],[Chg%]]</f>
        <v>0</v>
      </c>
      <c r="F826">
        <f>Siam_Chart[[#This Row],[Volume]]</f>
        <v>602</v>
      </c>
      <c r="G826">
        <f>Siam_Chart[[#This Row],[Value (k)]]</f>
        <v>4058.5</v>
      </c>
      <c r="H826" cm="1">
        <f t="array" ref="H826:W826">Siam_Chart[[#This Row],[MCap (M)]:[CG]]</f>
        <v>2187337500</v>
      </c>
      <c r="I826">
        <v>9.26</v>
      </c>
      <c r="J826">
        <v>1.27</v>
      </c>
      <c r="K826">
        <v>0.210842</v>
      </c>
      <c r="L826">
        <v>0.34</v>
      </c>
      <c r="M826">
        <v>0.25</v>
      </c>
      <c r="N826">
        <v>14.476984</v>
      </c>
      <c r="O826">
        <v>14.154299</v>
      </c>
      <c r="P826">
        <v>6.3242269999999996</v>
      </c>
      <c r="Q826">
        <v>5.04</v>
      </c>
      <c r="R826" t="str">
        <v/>
      </c>
      <c r="S826" t="str">
        <v/>
      </c>
      <c r="T826">
        <v>364</v>
      </c>
      <c r="U826">
        <v>277</v>
      </c>
      <c r="V826">
        <v>-2.04</v>
      </c>
      <c r="W826">
        <v>5</v>
      </c>
      <c r="X826" s="5">
        <f t="shared" si="27"/>
        <v>5.3149606299212602</v>
      </c>
      <c r="Y826" s="6">
        <f t="shared" si="28"/>
        <v>324050000</v>
      </c>
    </row>
    <row r="827" spans="2:25" x14ac:dyDescent="0.25">
      <c r="B827" t="str">
        <f>Siam_Chart[[#This Row],[Name]]</f>
        <v>UREKA</v>
      </c>
      <c r="C827">
        <f>Siam_Chart[[#This Row],[No.]]</f>
        <v>826</v>
      </c>
      <c r="D827">
        <f>Siam_Chart[[#This Row],[Last]]</f>
        <v>0.43</v>
      </c>
      <c r="E827">
        <f>Siam_Chart[[#This Row],[Chg%]]</f>
        <v>0</v>
      </c>
      <c r="F827">
        <f>Siam_Chart[[#This Row],[Volume]]</f>
        <v>4283600</v>
      </c>
      <c r="G827">
        <f>Siam_Chart[[#This Row],[Value (k)]]</f>
        <v>1845157</v>
      </c>
      <c r="H827" cm="1">
        <f t="array" ref="H827:W827">Siam_Chart[[#This Row],[MCap (M)]:[CG]]</f>
        <v>809354978.83000004</v>
      </c>
      <c r="I827">
        <v>41.8</v>
      </c>
      <c r="J827">
        <v>0.51</v>
      </c>
      <c r="K827">
        <v>0.18385000000000001</v>
      </c>
      <c r="L827">
        <v>0</v>
      </c>
      <c r="M827">
        <v>1.8911798356592568</v>
      </c>
      <c r="N827">
        <v>1.8911800000000001</v>
      </c>
      <c r="O827">
        <v>1.235147</v>
      </c>
      <c r="P827">
        <v>9.399756</v>
      </c>
      <c r="Q827">
        <v>0.52</v>
      </c>
      <c r="R827" t="str">
        <v/>
      </c>
      <c r="S827" t="str">
        <v/>
      </c>
      <c r="T827">
        <v>1282</v>
      </c>
      <c r="U827">
        <v>1271</v>
      </c>
      <c r="V827">
        <v>0.97</v>
      </c>
      <c r="W827">
        <v>4</v>
      </c>
      <c r="X827" s="5">
        <f t="shared" si="27"/>
        <v>0.84313725490196079</v>
      </c>
      <c r="Y827" s="6">
        <f t="shared" si="28"/>
        <v>1882220881.0000002</v>
      </c>
    </row>
    <row r="828" spans="2:25" x14ac:dyDescent="0.25">
      <c r="B828" t="str">
        <f>Siam_Chart[[#This Row],[Name]]</f>
        <v>UTP</v>
      </c>
      <c r="C828">
        <f>Siam_Chart[[#This Row],[No.]]</f>
        <v>827</v>
      </c>
      <c r="D828">
        <f>Siam_Chart[[#This Row],[Last]]</f>
        <v>9.0500000000000007</v>
      </c>
      <c r="E828">
        <f>Siam_Chart[[#This Row],[Chg%]]</f>
        <v>1.1200000000000001</v>
      </c>
      <c r="F828">
        <f>Siam_Chart[[#This Row],[Volume]]</f>
        <v>512414</v>
      </c>
      <c r="G828">
        <f>Siam_Chart[[#This Row],[Value (k)]]</f>
        <v>4614085.6500000004</v>
      </c>
      <c r="H828" cm="1">
        <f t="array" ref="H828:W828">Siam_Chart[[#This Row],[MCap (M)]:[CG]]</f>
        <v>5882500000</v>
      </c>
      <c r="I828">
        <v>9.32</v>
      </c>
      <c r="J828">
        <v>1.17</v>
      </c>
      <c r="K828">
        <v>0.11224099999999999</v>
      </c>
      <c r="L828">
        <v>0.4</v>
      </c>
      <c r="M828">
        <v>0.61</v>
      </c>
      <c r="N828">
        <v>14.615973</v>
      </c>
      <c r="O828">
        <v>12.90133</v>
      </c>
      <c r="P828">
        <v>18.71942</v>
      </c>
      <c r="Q828">
        <v>6.63</v>
      </c>
      <c r="R828" t="str">
        <v/>
      </c>
      <c r="S828" t="str">
        <v/>
      </c>
      <c r="T828">
        <v>480</v>
      </c>
      <c r="U828">
        <v>354</v>
      </c>
      <c r="V828">
        <v>-0.84</v>
      </c>
      <c r="W828">
        <v>0</v>
      </c>
      <c r="X828" s="5">
        <f t="shared" si="27"/>
        <v>7.735042735042736</v>
      </c>
      <c r="Y828" s="6">
        <f t="shared" si="28"/>
        <v>650000000</v>
      </c>
    </row>
    <row r="829" spans="2:25" x14ac:dyDescent="0.25">
      <c r="B829" t="str">
        <f>Siam_Chart[[#This Row],[Name]]</f>
        <v>UV</v>
      </c>
      <c r="C829">
        <f>Siam_Chart[[#This Row],[No.]]</f>
        <v>828</v>
      </c>
      <c r="D829">
        <f>Siam_Chart[[#This Row],[Last]]</f>
        <v>1.04</v>
      </c>
      <c r="E829">
        <f>Siam_Chart[[#This Row],[Chg%]]</f>
        <v>0</v>
      </c>
      <c r="F829">
        <f>Siam_Chart[[#This Row],[Volume]]</f>
        <v>519600</v>
      </c>
      <c r="G829">
        <f>Siam_Chart[[#This Row],[Value (k)]]</f>
        <v>535228</v>
      </c>
      <c r="H829" cm="1">
        <f t="array" ref="H829:W829">Siam_Chart[[#This Row],[MCap (M)]:[CG]]</f>
        <v>1988403598.48</v>
      </c>
      <c r="I829">
        <v>1911926537</v>
      </c>
      <c r="J829">
        <v>0.19</v>
      </c>
      <c r="K829">
        <v>1.4431069999999999</v>
      </c>
      <c r="L829">
        <v>0.09</v>
      </c>
      <c r="M829">
        <v>-0.03</v>
      </c>
      <c r="N829">
        <v>2.6742279999999998</v>
      </c>
      <c r="O829">
        <v>-0.82278300000000004</v>
      </c>
      <c r="P829">
        <v>1.176183</v>
      </c>
      <c r="Q829">
        <v>0.18</v>
      </c>
      <c r="R829" t="str">
        <v/>
      </c>
      <c r="S829" t="str">
        <v/>
      </c>
      <c r="T829">
        <v>0</v>
      </c>
      <c r="U829">
        <v>0</v>
      </c>
      <c r="V829">
        <v>0</v>
      </c>
      <c r="W829">
        <v>5</v>
      </c>
      <c r="X829" s="5">
        <f t="shared" si="27"/>
        <v>5.4736842105263159</v>
      </c>
      <c r="Y829" s="6">
        <f t="shared" si="28"/>
        <v>1911926537</v>
      </c>
    </row>
    <row r="830" spans="2:25" x14ac:dyDescent="0.25">
      <c r="B830" t="str">
        <f>Siam_Chart[[#This Row],[Name]]</f>
        <v>UVAN</v>
      </c>
      <c r="C830">
        <f>Siam_Chart[[#This Row],[No.]]</f>
        <v>829</v>
      </c>
      <c r="D830">
        <f>Siam_Chart[[#This Row],[Last]]</f>
        <v>14.2</v>
      </c>
      <c r="E830">
        <f>Siam_Chart[[#This Row],[Chg%]]</f>
        <v>-2.0699999999999998</v>
      </c>
      <c r="F830">
        <f>Siam_Chart[[#This Row],[Volume]]</f>
        <v>802575</v>
      </c>
      <c r="G830">
        <f>Siam_Chart[[#This Row],[Value (k)]]</f>
        <v>11400889.9</v>
      </c>
      <c r="H830" cm="1">
        <f t="array" ref="H830:W830">Siam_Chart[[#This Row],[MCap (M)]:[CG]]</f>
        <v>13348000000</v>
      </c>
      <c r="I830">
        <v>11.32</v>
      </c>
      <c r="J830">
        <v>2.5499999999999998</v>
      </c>
      <c r="K830">
        <v>0.10528</v>
      </c>
      <c r="L830">
        <v>0.25</v>
      </c>
      <c r="M830">
        <v>0.48</v>
      </c>
      <c r="N830">
        <v>24.70607</v>
      </c>
      <c r="O830">
        <v>22.445332000000001</v>
      </c>
      <c r="P830">
        <v>6.6016919999999999</v>
      </c>
      <c r="Q830">
        <v>8.8000000000000007</v>
      </c>
      <c r="R830" t="str">
        <v/>
      </c>
      <c r="S830" t="str">
        <v/>
      </c>
      <c r="T830">
        <v>165</v>
      </c>
      <c r="U830">
        <v>142</v>
      </c>
      <c r="V830">
        <v>0.28999999999999998</v>
      </c>
      <c r="W830">
        <v>0</v>
      </c>
      <c r="X830" s="5">
        <f t="shared" si="27"/>
        <v>5.5686274509803919</v>
      </c>
      <c r="Y830" s="6">
        <f t="shared" si="28"/>
        <v>940000000</v>
      </c>
    </row>
    <row r="831" spans="2:25" x14ac:dyDescent="0.25">
      <c r="B831" t="str">
        <f>Siam_Chart[[#This Row],[Name]]</f>
        <v>VARO</v>
      </c>
      <c r="C831">
        <f>Siam_Chart[[#This Row],[No.]]</f>
        <v>830</v>
      </c>
      <c r="D831">
        <f>Siam_Chart[[#This Row],[Last]]</f>
        <v>6.5</v>
      </c>
      <c r="E831">
        <f>Siam_Chart[[#This Row],[Chg%]]</f>
        <v>3.17</v>
      </c>
      <c r="F831">
        <f>Siam_Chart[[#This Row],[Volume]]</f>
        <v>3158611</v>
      </c>
      <c r="G831">
        <f>Siam_Chart[[#This Row],[Value (k)]]</f>
        <v>21971163.300000001</v>
      </c>
      <c r="H831" cm="1">
        <f t="array" ref="H831:W831">Siam_Chart[[#This Row],[MCap (M)]:[CG]]</f>
        <v>649363799.5</v>
      </c>
      <c r="I831">
        <v>4.2300000000000004</v>
      </c>
      <c r="J831">
        <v>0.56000000000000005</v>
      </c>
      <c r="K831">
        <v>1.0517289999999999</v>
      </c>
      <c r="L831">
        <v>1.49</v>
      </c>
      <c r="M831">
        <v>1.49</v>
      </c>
      <c r="N831">
        <v>8.0714020000000009</v>
      </c>
      <c r="O831">
        <v>14.493504</v>
      </c>
      <c r="P831">
        <v>9.6368130000000001</v>
      </c>
      <c r="Q831">
        <v>0.52</v>
      </c>
      <c r="R831" t="str">
        <v/>
      </c>
      <c r="S831" t="str">
        <v/>
      </c>
      <c r="T831">
        <v>511</v>
      </c>
      <c r="U831">
        <v>580</v>
      </c>
      <c r="V831">
        <v>-0.01</v>
      </c>
      <c r="W831">
        <v>3</v>
      </c>
      <c r="X831" s="5">
        <f t="shared" si="27"/>
        <v>11.607142857142856</v>
      </c>
      <c r="Y831" s="6">
        <f t="shared" si="28"/>
        <v>99902123</v>
      </c>
    </row>
    <row r="832" spans="2:25" x14ac:dyDescent="0.25">
      <c r="B832" t="str">
        <f>Siam_Chart[[#This Row],[Name]]</f>
        <v>VCOM</v>
      </c>
      <c r="C832">
        <f>Siam_Chart[[#This Row],[No.]]</f>
        <v>831</v>
      </c>
      <c r="D832">
        <f>Siam_Chart[[#This Row],[Last]]</f>
        <v>3.96</v>
      </c>
      <c r="E832">
        <f>Siam_Chart[[#This Row],[Chg%]]</f>
        <v>0</v>
      </c>
      <c r="F832">
        <f>Siam_Chart[[#This Row],[Volume]]</f>
        <v>178542</v>
      </c>
      <c r="G832">
        <f>Siam_Chart[[#This Row],[Value (k)]]</f>
        <v>707207.16</v>
      </c>
      <c r="H832" cm="1">
        <f t="array" ref="H832:W832">Siam_Chart[[#This Row],[MCap (M)]:[CG]]</f>
        <v>1215740592</v>
      </c>
      <c r="I832">
        <v>8.85</v>
      </c>
      <c r="J832">
        <v>2.0099999999999998</v>
      </c>
      <c r="K832">
        <v>1.914909</v>
      </c>
      <c r="L832">
        <v>0.15</v>
      </c>
      <c r="M832">
        <v>0.24</v>
      </c>
      <c r="N832">
        <v>13.936306</v>
      </c>
      <c r="O832">
        <v>23.228014999999999</v>
      </c>
      <c r="P832">
        <v>6.4024140000000003</v>
      </c>
      <c r="Q832">
        <v>9.34</v>
      </c>
      <c r="R832" t="str">
        <v/>
      </c>
      <c r="S832" t="str">
        <v/>
      </c>
      <c r="T832">
        <v>265</v>
      </c>
      <c r="U832">
        <v>281</v>
      </c>
      <c r="V832">
        <v>2.44</v>
      </c>
      <c r="W832">
        <v>4</v>
      </c>
      <c r="X832" s="5">
        <f t="shared" si="27"/>
        <v>1.9701492537313434</v>
      </c>
      <c r="Y832" s="6">
        <f t="shared" si="28"/>
        <v>307005200</v>
      </c>
    </row>
    <row r="833" spans="2:25" x14ac:dyDescent="0.25">
      <c r="B833" t="str">
        <f>Siam_Chart[[#This Row],[Name]]</f>
        <v>VGI</v>
      </c>
      <c r="C833">
        <f>Siam_Chart[[#This Row],[No.]]</f>
        <v>832</v>
      </c>
      <c r="D833">
        <f>Siam_Chart[[#This Row],[Last]]</f>
        <v>1.03</v>
      </c>
      <c r="E833">
        <f>Siam_Chart[[#This Row],[Chg%]]</f>
        <v>-0.96</v>
      </c>
      <c r="F833">
        <f>Siam_Chart[[#This Row],[Volume]]</f>
        <v>80165689</v>
      </c>
      <c r="G833">
        <f>Siam_Chart[[#This Row],[Value (k)]]</f>
        <v>83154786.799999997</v>
      </c>
      <c r="H833" cm="1">
        <f t="array" ref="H833:W833">Siam_Chart[[#This Row],[MCap (M)]:[CG]]</f>
        <v>21734323439.790001</v>
      </c>
      <c r="I833">
        <v>24055464778.02</v>
      </c>
      <c r="J833">
        <v>0.61</v>
      </c>
      <c r="K833">
        <v>8.9431999999999998E-2</v>
      </c>
      <c r="L833">
        <v>1.2999999999999999E-2</v>
      </c>
      <c r="M833">
        <v>0.01</v>
      </c>
      <c r="N833">
        <v>-2.4437410000000002</v>
      </c>
      <c r="O833">
        <v>-2.4270839999999998</v>
      </c>
      <c r="P833">
        <v>17.916882999999999</v>
      </c>
      <c r="Q833">
        <v>0.68</v>
      </c>
      <c r="R833" t="str">
        <v/>
      </c>
      <c r="S833" t="str">
        <v/>
      </c>
      <c r="T833">
        <v>0</v>
      </c>
      <c r="U833">
        <v>0</v>
      </c>
      <c r="V833">
        <v>0</v>
      </c>
      <c r="W833">
        <v>5</v>
      </c>
      <c r="X833" s="5">
        <f t="shared" si="27"/>
        <v>1.6885245901639345</v>
      </c>
      <c r="Y833" s="6">
        <f t="shared" si="28"/>
        <v>21101284893</v>
      </c>
    </row>
    <row r="834" spans="2:25" x14ac:dyDescent="0.25">
      <c r="B834" t="str">
        <f>Siam_Chart[[#This Row],[Name]]</f>
        <v>VIBE</v>
      </c>
      <c r="C834">
        <f>Siam_Chart[[#This Row],[No.]]</f>
        <v>833</v>
      </c>
      <c r="D834">
        <f>Siam_Chart[[#This Row],[Last]]</f>
        <v>0.24</v>
      </c>
      <c r="E834">
        <f>Siam_Chart[[#This Row],[Chg%]]</f>
        <v>0</v>
      </c>
      <c r="F834">
        <f>Siam_Chart[[#This Row],[Volume]]</f>
        <v>50450</v>
      </c>
      <c r="G834">
        <f>Siam_Chart[[#This Row],[Value (k)]]</f>
        <v>12346.5</v>
      </c>
      <c r="H834" cm="1">
        <f t="array" ref="H834:W834">Siam_Chart[[#This Row],[MCap (M)]:[CG]]</f>
        <v>131443325.28</v>
      </c>
      <c r="I834">
        <v>147873740.94</v>
      </c>
      <c r="J834">
        <v>0.39</v>
      </c>
      <c r="K834">
        <v>0.48877999999999999</v>
      </c>
      <c r="L834">
        <v>-0.01</v>
      </c>
      <c r="M834">
        <v>-0.01</v>
      </c>
      <c r="N834">
        <v>-5.289879</v>
      </c>
      <c r="O834">
        <v>-12.31232</v>
      </c>
      <c r="P834">
        <v>-0.49751499999999999</v>
      </c>
      <c r="Q834">
        <v>0.43</v>
      </c>
      <c r="R834" t="str">
        <v/>
      </c>
      <c r="S834" t="str">
        <v/>
      </c>
      <c r="T834">
        <v>0</v>
      </c>
      <c r="U834">
        <v>0</v>
      </c>
      <c r="V834">
        <v>0</v>
      </c>
      <c r="W834">
        <v>0</v>
      </c>
      <c r="X834" s="5">
        <f t="shared" si="27"/>
        <v>0.61538461538461531</v>
      </c>
      <c r="Y834" s="6">
        <f t="shared" si="28"/>
        <v>547680522</v>
      </c>
    </row>
    <row r="835" spans="2:25" x14ac:dyDescent="0.25">
      <c r="B835" t="str">
        <f>Siam_Chart[[#This Row],[Name]]</f>
        <v>VIBHA</v>
      </c>
      <c r="C835">
        <f>Siam_Chart[[#This Row],[No.]]</f>
        <v>834</v>
      </c>
      <c r="D835">
        <f>Siam_Chart[[#This Row],[Last]]</f>
        <v>1.35</v>
      </c>
      <c r="E835">
        <f>Siam_Chart[[#This Row],[Chg%]]</f>
        <v>0</v>
      </c>
      <c r="F835">
        <f>Siam_Chart[[#This Row],[Volume]]</f>
        <v>1183728</v>
      </c>
      <c r="G835">
        <f>Siam_Chart[[#This Row],[Value (k)]]</f>
        <v>1591982.75</v>
      </c>
      <c r="H835" cm="1">
        <f t="array" ref="H835:W835">Siam_Chart[[#This Row],[MCap (M)]:[CG]]</f>
        <v>18204487835.400002</v>
      </c>
      <c r="I835">
        <v>9.86</v>
      </c>
      <c r="J835">
        <v>1.6</v>
      </c>
      <c r="K835">
        <v>0.75565800000000005</v>
      </c>
      <c r="L835">
        <v>0.06</v>
      </c>
      <c r="M835">
        <v>0.03</v>
      </c>
      <c r="N835">
        <v>10.301762999999999</v>
      </c>
      <c r="O835">
        <v>17.602338</v>
      </c>
      <c r="P835">
        <v>13.643068</v>
      </c>
      <c r="Q835">
        <v>4.4400000000000004</v>
      </c>
      <c r="R835" t="str">
        <v/>
      </c>
      <c r="S835" t="str">
        <v/>
      </c>
      <c r="T835">
        <v>384</v>
      </c>
      <c r="U835">
        <v>420</v>
      </c>
      <c r="V835">
        <v>0.65</v>
      </c>
      <c r="W835">
        <v>5</v>
      </c>
      <c r="X835" s="5">
        <f t="shared" si="27"/>
        <v>0.84375</v>
      </c>
      <c r="Y835" s="6">
        <f t="shared" si="28"/>
        <v>13484805804</v>
      </c>
    </row>
    <row r="836" spans="2:25" x14ac:dyDescent="0.25">
      <c r="B836" t="str">
        <f>Siam_Chart[[#This Row],[Name]]</f>
        <v>VIH</v>
      </c>
      <c r="C836">
        <f>Siam_Chart[[#This Row],[No.]]</f>
        <v>835</v>
      </c>
      <c r="D836">
        <f>Siam_Chart[[#This Row],[Last]]</f>
        <v>8.75</v>
      </c>
      <c r="E836">
        <f>Siam_Chart[[#This Row],[Chg%]]</f>
        <v>-0.56999999999999995</v>
      </c>
      <c r="F836">
        <f>Siam_Chart[[#This Row],[Volume]]</f>
        <v>254400</v>
      </c>
      <c r="G836">
        <f>Siam_Chart[[#This Row],[Value (k)]]</f>
        <v>2228615</v>
      </c>
      <c r="H836" cm="1">
        <f t="array" ref="H836:W836">Siam_Chart[[#This Row],[MCap (M)]:[CG]]</f>
        <v>5488251431.25</v>
      </c>
      <c r="I836">
        <v>12.24</v>
      </c>
      <c r="J836">
        <v>1.41</v>
      </c>
      <c r="K836">
        <v>0.149283</v>
      </c>
      <c r="L836">
        <v>0.4</v>
      </c>
      <c r="M836">
        <v>0.34</v>
      </c>
      <c r="N836">
        <v>13.095421</v>
      </c>
      <c r="O836">
        <v>12.016170000000001</v>
      </c>
      <c r="P836">
        <v>13.754106999999999</v>
      </c>
      <c r="Q836">
        <v>4.51</v>
      </c>
      <c r="R836" t="str">
        <v/>
      </c>
      <c r="S836" t="str">
        <v/>
      </c>
      <c r="T836">
        <v>610</v>
      </c>
      <c r="U836">
        <v>497</v>
      </c>
      <c r="V836">
        <v>-0.95</v>
      </c>
      <c r="W836">
        <v>5</v>
      </c>
      <c r="X836" s="5">
        <f t="shared" ref="X836:X869" si="29">IFERROR(D836/J836,0)</f>
        <v>6.2056737588652489</v>
      </c>
      <c r="Y836" s="6">
        <f t="shared" ref="Y836:Y869" si="30">IFERROR(H836/D836,0)</f>
        <v>627228735</v>
      </c>
    </row>
    <row r="837" spans="2:25" x14ac:dyDescent="0.25">
      <c r="B837" t="str">
        <f>Siam_Chart[[#This Row],[Name]]</f>
        <v>VL</v>
      </c>
      <c r="C837">
        <f>Siam_Chart[[#This Row],[No.]]</f>
        <v>836</v>
      </c>
      <c r="D837">
        <f>Siam_Chart[[#This Row],[Last]]</f>
        <v>0.81</v>
      </c>
      <c r="E837">
        <f>Siam_Chart[[#This Row],[Chg%]]</f>
        <v>0</v>
      </c>
      <c r="F837">
        <f>Siam_Chart[[#This Row],[Volume]]</f>
        <v>187800</v>
      </c>
      <c r="G837">
        <f>Siam_Chart[[#This Row],[Value (k)]]</f>
        <v>149950</v>
      </c>
      <c r="H837" cm="1">
        <f t="array" ref="H837:W837">Siam_Chart[[#This Row],[MCap (M)]:[CG]]</f>
        <v>958737477.14999998</v>
      </c>
      <c r="I837">
        <v>16.13</v>
      </c>
      <c r="J837">
        <v>0.9</v>
      </c>
      <c r="K837">
        <v>0.333754</v>
      </c>
      <c r="L837">
        <v>0.01</v>
      </c>
      <c r="M837">
        <v>0.02</v>
      </c>
      <c r="N837">
        <v>5.5083859999999998</v>
      </c>
      <c r="O837">
        <v>5.6679630000000003</v>
      </c>
      <c r="P837">
        <v>7.6451500000000001</v>
      </c>
      <c r="Q837">
        <v>1.85</v>
      </c>
      <c r="R837" t="str">
        <v/>
      </c>
      <c r="S837" t="str">
        <v/>
      </c>
      <c r="T837">
        <v>967</v>
      </c>
      <c r="U837">
        <v>875</v>
      </c>
      <c r="V837">
        <v>0.49</v>
      </c>
      <c r="W837">
        <v>3</v>
      </c>
      <c r="X837" s="5">
        <f t="shared" si="29"/>
        <v>0.9</v>
      </c>
      <c r="Y837" s="6">
        <f t="shared" si="30"/>
        <v>1183626515</v>
      </c>
    </row>
    <row r="838" spans="2:25" x14ac:dyDescent="0.25">
      <c r="B838" t="str">
        <f>Siam_Chart[[#This Row],[Name]]</f>
        <v>VNG</v>
      </c>
      <c r="C838">
        <f>Siam_Chart[[#This Row],[No.]]</f>
        <v>837</v>
      </c>
      <c r="D838">
        <f>Siam_Chart[[#This Row],[Last]]</f>
        <v>1.98</v>
      </c>
      <c r="E838">
        <f>Siam_Chart[[#This Row],[Chg%]]</f>
        <v>-0.5</v>
      </c>
      <c r="F838">
        <f>Siam_Chart[[#This Row],[Volume]]</f>
        <v>23101</v>
      </c>
      <c r="G838">
        <f>Siam_Chart[[#This Row],[Value (k)]]</f>
        <v>45586.98</v>
      </c>
      <c r="H838" cm="1">
        <f t="array" ref="H838:W838">Siam_Chart[[#This Row],[MCap (M)]:[CG]]</f>
        <v>3435770210.4000001</v>
      </c>
      <c r="I838">
        <v>3383713086</v>
      </c>
      <c r="J838">
        <v>0.55000000000000004</v>
      </c>
      <c r="K838">
        <v>1.95607</v>
      </c>
      <c r="L838">
        <v>0.05</v>
      </c>
      <c r="M838">
        <v>-0.23</v>
      </c>
      <c r="N838">
        <v>-3.5012970000000001</v>
      </c>
      <c r="O838">
        <v>-13.872529</v>
      </c>
      <c r="P838">
        <v>-8.0148700000000002</v>
      </c>
      <c r="Q838">
        <v>0.54</v>
      </c>
      <c r="R838" t="str">
        <v/>
      </c>
      <c r="S838" t="str">
        <v/>
      </c>
      <c r="T838">
        <v>0</v>
      </c>
      <c r="U838">
        <v>0</v>
      </c>
      <c r="V838">
        <v>0</v>
      </c>
      <c r="W838">
        <v>5</v>
      </c>
      <c r="X838" s="5">
        <f t="shared" si="29"/>
        <v>3.5999999999999996</v>
      </c>
      <c r="Y838" s="6">
        <f t="shared" si="30"/>
        <v>1735237480</v>
      </c>
    </row>
    <row r="839" spans="2:25" x14ac:dyDescent="0.25">
      <c r="B839" t="str">
        <f>Siam_Chart[[#This Row],[Name]]</f>
        <v>VPO</v>
      </c>
      <c r="C839">
        <f>Siam_Chart[[#This Row],[No.]]</f>
        <v>838</v>
      </c>
      <c r="D839">
        <f>Siam_Chart[[#This Row],[Last]]</f>
        <v>0.48</v>
      </c>
      <c r="E839">
        <f>Siam_Chart[[#This Row],[Chg%]]</f>
        <v>0</v>
      </c>
      <c r="F839">
        <f>Siam_Chart[[#This Row],[Volume]]</f>
        <v>1016200</v>
      </c>
      <c r="G839">
        <f>Siam_Chart[[#This Row],[Value (k)]]</f>
        <v>482880</v>
      </c>
      <c r="H839" cm="1">
        <f t="array" ref="H839:W839">Siam_Chart[[#This Row],[MCap (M)]:[CG]]</f>
        <v>451200000</v>
      </c>
      <c r="I839">
        <v>432400000</v>
      </c>
      <c r="J839">
        <v>0.97</v>
      </c>
      <c r="K839">
        <v>1.281256</v>
      </c>
      <c r="L839">
        <v>-0.09</v>
      </c>
      <c r="M839">
        <v>-0.09</v>
      </c>
      <c r="N839">
        <v>-12.016613</v>
      </c>
      <c r="O839">
        <v>-25.171842000000002</v>
      </c>
      <c r="P839">
        <v>-10.330287999999999</v>
      </c>
      <c r="Q839">
        <v>0.93</v>
      </c>
      <c r="R839" t="str">
        <v/>
      </c>
      <c r="S839" t="str">
        <v/>
      </c>
      <c r="T839">
        <v>1007</v>
      </c>
      <c r="U839">
        <v>914</v>
      </c>
      <c r="V839">
        <v>-7.0000000000000007E-2</v>
      </c>
      <c r="W839">
        <v>0</v>
      </c>
      <c r="X839" s="5">
        <f t="shared" si="29"/>
        <v>0.49484536082474229</v>
      </c>
      <c r="Y839" s="6">
        <f t="shared" si="30"/>
        <v>940000000</v>
      </c>
    </row>
    <row r="840" spans="2:25" x14ac:dyDescent="0.25">
      <c r="B840" t="str">
        <f>Siam_Chart[[#This Row],[Name]]</f>
        <v>VRANDA</v>
      </c>
      <c r="C840">
        <f>Siam_Chart[[#This Row],[No.]]</f>
        <v>839</v>
      </c>
      <c r="D840">
        <f>Siam_Chart[[#This Row],[Last]]</f>
        <v>4.38</v>
      </c>
      <c r="E840">
        <f>Siam_Chart[[#This Row],[Chg%]]</f>
        <v>-0.45</v>
      </c>
      <c r="F840">
        <f>Siam_Chart[[#This Row],[Volume]]</f>
        <v>15700</v>
      </c>
      <c r="G840">
        <f>Siam_Chart[[#This Row],[Value (k)]]</f>
        <v>68960</v>
      </c>
      <c r="H840" cm="1">
        <f t="array" ref="H840:W840">Siam_Chart[[#This Row],[MCap (M)]:[CG]]</f>
        <v>1400205723.3599999</v>
      </c>
      <c r="I840">
        <v>26.03</v>
      </c>
      <c r="J840">
        <v>0.76</v>
      </c>
      <c r="K840">
        <v>2.2130920000000001</v>
      </c>
      <c r="L840">
        <v>0.185</v>
      </c>
      <c r="M840">
        <v>0.02</v>
      </c>
      <c r="N840">
        <v>4.8540720000000004</v>
      </c>
      <c r="O840">
        <v>2.9107219999999998</v>
      </c>
      <c r="P840">
        <v>0.90585499999999997</v>
      </c>
      <c r="Q840">
        <v>4.22</v>
      </c>
      <c r="R840" t="str">
        <v/>
      </c>
      <c r="S840" t="str">
        <v/>
      </c>
      <c r="T840">
        <v>1197</v>
      </c>
      <c r="U840">
        <v>1050</v>
      </c>
      <c r="V840">
        <v>-0.01</v>
      </c>
      <c r="W840">
        <v>4</v>
      </c>
      <c r="X840" s="5">
        <f t="shared" si="29"/>
        <v>5.7631578947368416</v>
      </c>
      <c r="Y840" s="6">
        <f t="shared" si="30"/>
        <v>319681672</v>
      </c>
    </row>
    <row r="841" spans="2:25" x14ac:dyDescent="0.25">
      <c r="B841" t="str">
        <f>Siam_Chart[[#This Row],[Name]]</f>
        <v>VS</v>
      </c>
      <c r="C841">
        <f>Siam_Chart[[#This Row],[No.]]</f>
        <v>840</v>
      </c>
      <c r="D841">
        <f>Siam_Chart[[#This Row],[Last]]</f>
        <v>0.27</v>
      </c>
      <c r="E841">
        <f>Siam_Chart[[#This Row],[Chg%]]</f>
        <v>-3.57</v>
      </c>
      <c r="F841">
        <f>Siam_Chart[[#This Row],[Volume]]</f>
        <v>1100</v>
      </c>
      <c r="G841">
        <f>Siam_Chart[[#This Row],[Value (k)]]</f>
        <v>307</v>
      </c>
      <c r="H841" cm="1">
        <f t="array" ref="H841:W841">Siam_Chart[[#This Row],[MCap (M)]:[CG]]</f>
        <v>67500000</v>
      </c>
      <c r="I841">
        <v>65000000</v>
      </c>
      <c r="J841">
        <v>1.56</v>
      </c>
      <c r="K841">
        <v>0.82266399999999995</v>
      </c>
      <c r="L841">
        <v>-0.02</v>
      </c>
      <c r="M841">
        <v>-0.02</v>
      </c>
      <c r="N841">
        <v>-12.287004</v>
      </c>
      <c r="O841">
        <v>-23.674689999999998</v>
      </c>
      <c r="P841">
        <v>-20.544211000000001</v>
      </c>
      <c r="Q841">
        <v>1.5</v>
      </c>
      <c r="R841" t="str">
        <v/>
      </c>
      <c r="S841" t="str">
        <v/>
      </c>
      <c r="T841">
        <v>0</v>
      </c>
      <c r="U841">
        <v>0</v>
      </c>
      <c r="V841">
        <v>0</v>
      </c>
      <c r="W841">
        <v>0</v>
      </c>
      <c r="X841" s="5">
        <f t="shared" si="29"/>
        <v>0.17307692307692307</v>
      </c>
      <c r="Y841" s="6">
        <f t="shared" si="30"/>
        <v>249999999.99999997</v>
      </c>
    </row>
    <row r="842" spans="2:25" x14ac:dyDescent="0.25">
      <c r="B842" t="str">
        <f>Siam_Chart[[#This Row],[Name]]</f>
        <v>WACOAL</v>
      </c>
      <c r="C842">
        <f>Siam_Chart[[#This Row],[No.]]</f>
        <v>841</v>
      </c>
      <c r="D842">
        <f>Siam_Chart[[#This Row],[Last]]</f>
        <v>15.7</v>
      </c>
      <c r="E842">
        <f>Siam_Chart[[#This Row],[Chg%]]</f>
        <v>-0.63</v>
      </c>
      <c r="F842">
        <f>Siam_Chart[[#This Row],[Volume]]</f>
        <v>604</v>
      </c>
      <c r="G842">
        <f>Siam_Chart[[#This Row],[Value (k)]]</f>
        <v>9534.4</v>
      </c>
      <c r="H842" cm="1">
        <f t="array" ref="H842:W842">Siam_Chart[[#This Row],[MCap (M)]:[CG]]</f>
        <v>1896000000</v>
      </c>
      <c r="I842">
        <v>1896000000</v>
      </c>
      <c r="J842">
        <v>0.38</v>
      </c>
      <c r="K842">
        <v>0.19272400000000001</v>
      </c>
      <c r="L842">
        <v>0.55000000000000004</v>
      </c>
      <c r="M842">
        <v>7.0000000000000007E-2</v>
      </c>
      <c r="N842">
        <v>1.1507879999999999</v>
      </c>
      <c r="O842">
        <v>-0.13165299999999999</v>
      </c>
      <c r="P842">
        <v>0.53273300000000001</v>
      </c>
      <c r="Q842">
        <v>3.48</v>
      </c>
      <c r="R842" t="str">
        <v/>
      </c>
      <c r="S842" t="str">
        <v/>
      </c>
      <c r="T842">
        <v>0</v>
      </c>
      <c r="U842">
        <v>0</v>
      </c>
      <c r="V842">
        <v>0</v>
      </c>
      <c r="W842">
        <v>5</v>
      </c>
      <c r="X842" s="5">
        <f t="shared" si="29"/>
        <v>41.315789473684205</v>
      </c>
      <c r="Y842" s="6">
        <f t="shared" si="30"/>
        <v>120764331.21019109</v>
      </c>
    </row>
    <row r="843" spans="2:25" x14ac:dyDescent="0.25">
      <c r="B843" t="str">
        <f>Siam_Chart[[#This Row],[Name]]</f>
        <v>WARRIX</v>
      </c>
      <c r="C843">
        <f>Siam_Chart[[#This Row],[No.]]</f>
        <v>842</v>
      </c>
      <c r="D843">
        <f>Siam_Chart[[#This Row],[Last]]</f>
        <v>1.29</v>
      </c>
      <c r="E843">
        <f>Siam_Chart[[#This Row],[Chg%]]</f>
        <v>3.2</v>
      </c>
      <c r="F843">
        <f>Siam_Chart[[#This Row],[Volume]]</f>
        <v>908830</v>
      </c>
      <c r="G843">
        <f>Siam_Chart[[#This Row],[Value (k)]]</f>
        <v>1150062.83</v>
      </c>
      <c r="H843" cm="1">
        <f t="array" ref="H843:W843">Siam_Chart[[#This Row],[MCap (M)]:[CG]]</f>
        <v>774000000</v>
      </c>
      <c r="I843">
        <v>744000000</v>
      </c>
      <c r="J843">
        <v>0.6</v>
      </c>
      <c r="K843">
        <v>0.39127499999999998</v>
      </c>
      <c r="L843">
        <v>5.6300000000000003E-2</v>
      </c>
      <c r="M843">
        <v>-0.13</v>
      </c>
      <c r="N843">
        <v>-0.56844899999999998</v>
      </c>
      <c r="O843">
        <v>-1.9481809999999999</v>
      </c>
      <c r="P843">
        <v>-9.1163550000000004</v>
      </c>
      <c r="Q843">
        <v>4.3600000000000003</v>
      </c>
      <c r="R843" t="str">
        <v/>
      </c>
      <c r="S843" t="str">
        <v/>
      </c>
      <c r="T843">
        <v>0</v>
      </c>
      <c r="U843">
        <v>0</v>
      </c>
      <c r="V843">
        <v>0</v>
      </c>
      <c r="W843">
        <v>4</v>
      </c>
      <c r="X843" s="5">
        <f t="shared" si="29"/>
        <v>2.1500000000000004</v>
      </c>
      <c r="Y843" s="6">
        <f t="shared" si="30"/>
        <v>600000000</v>
      </c>
    </row>
    <row r="844" spans="2:25" x14ac:dyDescent="0.25">
      <c r="B844" t="str">
        <f>Siam_Chart[[#This Row],[Name]]</f>
        <v>WASH</v>
      </c>
      <c r="C844">
        <f>Siam_Chart[[#This Row],[No.]]</f>
        <v>843</v>
      </c>
      <c r="D844">
        <f>Siam_Chart[[#This Row],[Last]]</f>
        <v>3.68</v>
      </c>
      <c r="E844">
        <f>Siam_Chart[[#This Row],[Chg%]]</f>
        <v>-0.54</v>
      </c>
      <c r="F844">
        <f>Siam_Chart[[#This Row],[Volume]]</f>
        <v>199603</v>
      </c>
      <c r="G844">
        <f>Siam_Chart[[#This Row],[Value (k)]]</f>
        <v>736580.8</v>
      </c>
      <c r="H844" cm="1">
        <f t="array" ref="H844:W844">Siam_Chart[[#This Row],[MCap (M)]:[CG]]</f>
        <v>1298823527.6800001</v>
      </c>
      <c r="I844">
        <v>12.03</v>
      </c>
      <c r="J844">
        <v>1.21</v>
      </c>
      <c r="K844">
        <v>1.6217239999999999</v>
      </c>
      <c r="L844">
        <v>0.1066</v>
      </c>
      <c r="M844">
        <v>0.09</v>
      </c>
      <c r="N844">
        <v>8.2246710000000007</v>
      </c>
      <c r="O844">
        <v>11.842733000000001</v>
      </c>
      <c r="P844">
        <v>6.1615989999999998</v>
      </c>
      <c r="Q844">
        <v>4.8600000000000003</v>
      </c>
      <c r="R844" t="str">
        <v/>
      </c>
      <c r="S844" t="str">
        <v/>
      </c>
      <c r="T844">
        <v>608</v>
      </c>
      <c r="U844">
        <v>625</v>
      </c>
      <c r="V844">
        <v>0.25</v>
      </c>
      <c r="W844">
        <v>0</v>
      </c>
      <c r="X844" s="5">
        <f t="shared" si="29"/>
        <v>3.0413223140495869</v>
      </c>
      <c r="Y844" s="6">
        <f t="shared" si="30"/>
        <v>352941176</v>
      </c>
    </row>
    <row r="845" spans="2:25" x14ac:dyDescent="0.25">
      <c r="B845" t="str">
        <f>Siam_Chart[[#This Row],[Name]]</f>
        <v>WAVE</v>
      </c>
      <c r="C845">
        <f>Siam_Chart[[#This Row],[No.]]</f>
        <v>844</v>
      </c>
      <c r="D845">
        <f>Siam_Chart[[#This Row],[Last]]</f>
        <v>0.04</v>
      </c>
      <c r="E845">
        <f>Siam_Chart[[#This Row],[Chg%]]</f>
        <v>0</v>
      </c>
      <c r="F845">
        <f>Siam_Chart[[#This Row],[Volume]]</f>
        <v>26900</v>
      </c>
      <c r="G845">
        <f>Siam_Chart[[#This Row],[Value (k)]]</f>
        <v>1051</v>
      </c>
      <c r="H845" cm="1">
        <f t="array" ref="H845:W845">Siam_Chart[[#This Row],[MCap (M)]:[CG]]</f>
        <v>458517484</v>
      </c>
      <c r="I845">
        <v>1.45</v>
      </c>
      <c r="J845">
        <v>1.01</v>
      </c>
      <c r="K845">
        <v>1.6244989999999999</v>
      </c>
      <c r="L845">
        <v>0</v>
      </c>
      <c r="M845">
        <v>50.823592799432305</v>
      </c>
      <c r="N845">
        <v>50.823593000000002</v>
      </c>
      <c r="O845">
        <v>55.507243000000003</v>
      </c>
      <c r="P845">
        <v>-10.481183</v>
      </c>
      <c r="Q845">
        <v>1.01</v>
      </c>
      <c r="R845" t="str">
        <v/>
      </c>
      <c r="S845" t="str">
        <v/>
      </c>
      <c r="T845">
        <v>8</v>
      </c>
      <c r="U845">
        <v>2</v>
      </c>
      <c r="V845">
        <v>0</v>
      </c>
      <c r="W845">
        <v>4</v>
      </c>
      <c r="X845" s="5">
        <f t="shared" si="29"/>
        <v>3.9603960396039604E-2</v>
      </c>
      <c r="Y845" s="6">
        <f t="shared" si="30"/>
        <v>11462937100</v>
      </c>
    </row>
    <row r="846" spans="2:25" x14ac:dyDescent="0.25">
      <c r="B846" t="str">
        <f>Siam_Chart[[#This Row],[Name]]</f>
        <v>WELL</v>
      </c>
      <c r="C846">
        <f>Siam_Chart[[#This Row],[No.]]</f>
        <v>845</v>
      </c>
      <c r="D846">
        <f>Siam_Chart[[#This Row],[Last]]</f>
        <v>0</v>
      </c>
      <c r="E846">
        <f>Siam_Chart[[#This Row],[Chg%]]</f>
        <v>0</v>
      </c>
      <c r="F846">
        <f>Siam_Chart[[#This Row],[Volume]]</f>
        <v>0</v>
      </c>
      <c r="G846">
        <f>Siam_Chart[[#This Row],[Value (k)]]</f>
        <v>0</v>
      </c>
      <c r="H846" cm="1">
        <f t="array" ref="H846:W846">Siam_Chart[[#This Row],[MCap (M)]:[CG]]</f>
        <v>0</v>
      </c>
      <c r="I846">
        <v>0</v>
      </c>
      <c r="J846">
        <v>0</v>
      </c>
      <c r="K846">
        <v>0.25</v>
      </c>
      <c r="L846">
        <v>0</v>
      </c>
      <c r="M846">
        <v>-0.92</v>
      </c>
      <c r="N846">
        <v>6.74</v>
      </c>
      <c r="O846">
        <v>6.13</v>
      </c>
      <c r="P846">
        <v>11.88</v>
      </c>
      <c r="Q846">
        <v>0</v>
      </c>
      <c r="R846" t="str">
        <v/>
      </c>
      <c r="S846" t="str">
        <v/>
      </c>
      <c r="T846">
        <v>0</v>
      </c>
      <c r="U846">
        <v>0</v>
      </c>
      <c r="V846">
        <v>0</v>
      </c>
      <c r="W846">
        <v>0</v>
      </c>
      <c r="X846" s="5">
        <f t="shared" si="29"/>
        <v>0</v>
      </c>
      <c r="Y846" s="6">
        <f t="shared" si="30"/>
        <v>0</v>
      </c>
    </row>
    <row r="847" spans="2:25" x14ac:dyDescent="0.25">
      <c r="B847" t="str">
        <f>Siam_Chart[[#This Row],[Name]]</f>
        <v>WFX</v>
      </c>
      <c r="C847">
        <f>Siam_Chart[[#This Row],[No.]]</f>
        <v>846</v>
      </c>
      <c r="D847">
        <f>Siam_Chart[[#This Row],[Last]]</f>
        <v>1.01</v>
      </c>
      <c r="E847">
        <f>Siam_Chart[[#This Row],[Chg%]]</f>
        <v>-0.98</v>
      </c>
      <c r="F847">
        <f>Siam_Chart[[#This Row],[Volume]]</f>
        <v>59328</v>
      </c>
      <c r="G847">
        <f>Siam_Chart[[#This Row],[Value (k)]]</f>
        <v>60398.559999999998</v>
      </c>
      <c r="H847" cm="1">
        <f t="array" ref="H847:W847">Siam_Chart[[#This Row],[MCap (M)]:[CG]]</f>
        <v>468842000</v>
      </c>
      <c r="I847">
        <v>454916000</v>
      </c>
      <c r="J847">
        <v>0.27</v>
      </c>
      <c r="K847">
        <v>0.33668300000000001</v>
      </c>
      <c r="L847">
        <v>0.21</v>
      </c>
      <c r="M847">
        <v>0.03</v>
      </c>
      <c r="N847">
        <v>-0.35061799999999999</v>
      </c>
      <c r="O847">
        <v>-1.0839700000000001</v>
      </c>
      <c r="P847">
        <v>1.3193170000000001</v>
      </c>
      <c r="Q847">
        <v>0.26</v>
      </c>
      <c r="R847" t="str">
        <v/>
      </c>
      <c r="S847" t="str">
        <v/>
      </c>
      <c r="T847">
        <v>0</v>
      </c>
      <c r="U847">
        <v>0</v>
      </c>
      <c r="V847">
        <v>0</v>
      </c>
      <c r="W847">
        <v>3</v>
      </c>
      <c r="X847" s="5">
        <f t="shared" si="29"/>
        <v>3.7407407407407405</v>
      </c>
      <c r="Y847" s="6">
        <f t="shared" si="30"/>
        <v>464200000</v>
      </c>
    </row>
    <row r="848" spans="2:25" x14ac:dyDescent="0.25">
      <c r="B848" t="str">
        <f>Siam_Chart[[#This Row],[Name]]</f>
        <v>WGE</v>
      </c>
      <c r="C848">
        <f>Siam_Chart[[#This Row],[No.]]</f>
        <v>847</v>
      </c>
      <c r="D848">
        <f>Siam_Chart[[#This Row],[Last]]</f>
        <v>0.69</v>
      </c>
      <c r="E848">
        <f>Siam_Chart[[#This Row],[Chg%]]</f>
        <v>0</v>
      </c>
      <c r="F848">
        <f>Siam_Chart[[#This Row],[Volume]]</f>
        <v>1983008</v>
      </c>
      <c r="G848">
        <f>Siam_Chart[[#This Row],[Value (k)]]</f>
        <v>1403308.53</v>
      </c>
      <c r="H848" cm="1">
        <f t="array" ref="H848:W848">Siam_Chart[[#This Row],[MCap (M)]:[CG]]</f>
        <v>414000000</v>
      </c>
      <c r="I848">
        <v>3.42</v>
      </c>
      <c r="J848">
        <v>0.74</v>
      </c>
      <c r="K848">
        <v>1.932704</v>
      </c>
      <c r="L848">
        <v>0.05</v>
      </c>
      <c r="M848">
        <v>0.1</v>
      </c>
      <c r="N848">
        <v>10.452417000000001</v>
      </c>
      <c r="O848">
        <v>24.141100999999999</v>
      </c>
      <c r="P848">
        <v>5.8110179999999998</v>
      </c>
      <c r="Q848">
        <v>0.75</v>
      </c>
      <c r="R848" t="str">
        <v/>
      </c>
      <c r="S848" t="str">
        <v/>
      </c>
      <c r="T848">
        <v>48</v>
      </c>
      <c r="U848">
        <v>138</v>
      </c>
      <c r="V848">
        <v>-0.02</v>
      </c>
      <c r="W848">
        <v>5</v>
      </c>
      <c r="X848" s="5">
        <f t="shared" si="29"/>
        <v>0.93243243243243235</v>
      </c>
      <c r="Y848" s="6">
        <f t="shared" si="30"/>
        <v>600000000</v>
      </c>
    </row>
    <row r="849" spans="2:25" x14ac:dyDescent="0.25">
      <c r="B849" t="str">
        <f>Siam_Chart[[#This Row],[Name]]</f>
        <v>WHA</v>
      </c>
      <c r="C849">
        <f>Siam_Chart[[#This Row],[No.]]</f>
        <v>848</v>
      </c>
      <c r="D849">
        <f>Siam_Chart[[#This Row],[Last]]</f>
        <v>4.9400000000000004</v>
      </c>
      <c r="E849">
        <f>Siam_Chart[[#This Row],[Chg%]]</f>
        <v>1.65</v>
      </c>
      <c r="F849">
        <f>Siam_Chart[[#This Row],[Volume]]</f>
        <v>230236621</v>
      </c>
      <c r="G849">
        <f>Siam_Chart[[#This Row],[Value (k)]]</f>
        <v>1139737069.1600001</v>
      </c>
      <c r="H849" cm="1">
        <f t="array" ref="H849:W849">Siam_Chart[[#This Row],[MCap (M)]:[CG]]</f>
        <v>73837363314.259995</v>
      </c>
      <c r="I849">
        <v>17.39</v>
      </c>
      <c r="J849">
        <v>1.97</v>
      </c>
      <c r="K849">
        <v>1.584543</v>
      </c>
      <c r="L849">
        <v>0.14380000000000001</v>
      </c>
      <c r="M849">
        <v>0.15</v>
      </c>
      <c r="N849">
        <v>6.2940240000000003</v>
      </c>
      <c r="O849">
        <v>11.714471</v>
      </c>
      <c r="P849">
        <v>40.205120999999998</v>
      </c>
      <c r="Q849">
        <v>4.2699999999999996</v>
      </c>
      <c r="R849" t="str">
        <v/>
      </c>
      <c r="S849" t="str">
        <v/>
      </c>
      <c r="T849">
        <v>720</v>
      </c>
      <c r="U849">
        <v>849</v>
      </c>
      <c r="V849">
        <v>0.83</v>
      </c>
      <c r="W849">
        <v>5</v>
      </c>
      <c r="X849" s="5">
        <f t="shared" si="29"/>
        <v>2.5076142131979697</v>
      </c>
      <c r="Y849" s="6">
        <f t="shared" si="30"/>
        <v>14946834678.999998</v>
      </c>
    </row>
    <row r="850" spans="2:25" x14ac:dyDescent="0.25">
      <c r="B850" t="str">
        <f>Siam_Chart[[#This Row],[Name]]</f>
        <v>WHAUP</v>
      </c>
      <c r="C850">
        <f>Siam_Chart[[#This Row],[No.]]</f>
        <v>849</v>
      </c>
      <c r="D850">
        <f>Siam_Chart[[#This Row],[Last]]</f>
        <v>7.75</v>
      </c>
      <c r="E850">
        <f>Siam_Chart[[#This Row],[Chg%]]</f>
        <v>1.97</v>
      </c>
      <c r="F850">
        <f>Siam_Chart[[#This Row],[Volume]]</f>
        <v>19364790</v>
      </c>
      <c r="G850">
        <f>Siam_Chart[[#This Row],[Value (k)]]</f>
        <v>149775248.44999999</v>
      </c>
      <c r="H850" cm="1">
        <f t="array" ref="H850:W850">Siam_Chart[[#This Row],[MCap (M)]:[CG]]</f>
        <v>29643750000</v>
      </c>
      <c r="I850">
        <v>19.95</v>
      </c>
      <c r="J850">
        <v>2.1800000000000002</v>
      </c>
      <c r="K850">
        <v>1.397078</v>
      </c>
      <c r="L850">
        <v>0.1925</v>
      </c>
      <c r="M850">
        <v>0.22</v>
      </c>
      <c r="N850">
        <v>6.8038610000000004</v>
      </c>
      <c r="O850">
        <v>11.128075000000001</v>
      </c>
      <c r="P850">
        <v>41.379517999999997</v>
      </c>
      <c r="Q850">
        <v>3.26</v>
      </c>
      <c r="R850" t="str">
        <v/>
      </c>
      <c r="S850" t="str">
        <v/>
      </c>
      <c r="T850">
        <v>787</v>
      </c>
      <c r="U850">
        <v>855</v>
      </c>
      <c r="V850">
        <v>0.44</v>
      </c>
      <c r="W850">
        <v>5</v>
      </c>
      <c r="X850" s="5">
        <f t="shared" si="29"/>
        <v>3.5550458715596327</v>
      </c>
      <c r="Y850" s="6">
        <f t="shared" si="30"/>
        <v>3825000000</v>
      </c>
    </row>
    <row r="851" spans="2:25" x14ac:dyDescent="0.25">
      <c r="B851" t="str">
        <f>Siam_Chart[[#This Row],[Name]]</f>
        <v>WICE</v>
      </c>
      <c r="C851">
        <f>Siam_Chart[[#This Row],[No.]]</f>
        <v>850</v>
      </c>
      <c r="D851">
        <f>Siam_Chart[[#This Row],[Last]]</f>
        <v>3.42</v>
      </c>
      <c r="E851">
        <f>Siam_Chart[[#This Row],[Chg%]]</f>
        <v>2.4</v>
      </c>
      <c r="F851">
        <f>Siam_Chart[[#This Row],[Volume]]</f>
        <v>2173833</v>
      </c>
      <c r="G851">
        <f>Siam_Chart[[#This Row],[Value (k)]]</f>
        <v>7418506.2000000002</v>
      </c>
      <c r="H851" cm="1">
        <f t="array" ref="H851:W851">Siam_Chart[[#This Row],[MCap (M)]:[CG]]</f>
        <v>2192218290</v>
      </c>
      <c r="I851">
        <v>24.11</v>
      </c>
      <c r="J851">
        <v>1.62</v>
      </c>
      <c r="K851">
        <v>0.94236799999999998</v>
      </c>
      <c r="L851">
        <v>0.14000000000000001</v>
      </c>
      <c r="M851">
        <v>0.08</v>
      </c>
      <c r="N851">
        <v>2.8875380000000002</v>
      </c>
      <c r="O851">
        <v>6.8330830000000002</v>
      </c>
      <c r="P851">
        <v>1.1754610000000001</v>
      </c>
      <c r="Q851">
        <v>4.09</v>
      </c>
      <c r="R851" t="str">
        <v/>
      </c>
      <c r="S851" t="str">
        <v/>
      </c>
      <c r="T851">
        <v>1063</v>
      </c>
      <c r="U851">
        <v>1125</v>
      </c>
      <c r="V851">
        <v>-1.28</v>
      </c>
      <c r="W851">
        <v>5</v>
      </c>
      <c r="X851" s="5">
        <f t="shared" si="29"/>
        <v>2.1111111111111107</v>
      </c>
      <c r="Y851" s="6">
        <f t="shared" si="30"/>
        <v>640999500</v>
      </c>
    </row>
    <row r="852" spans="2:25" x14ac:dyDescent="0.25">
      <c r="B852" t="str">
        <f>Siam_Chart[[#This Row],[Name]]</f>
        <v>WIIK</v>
      </c>
      <c r="C852">
        <f>Siam_Chart[[#This Row],[No.]]</f>
        <v>851</v>
      </c>
      <c r="D852">
        <f>Siam_Chart[[#This Row],[Last]]</f>
        <v>1.3</v>
      </c>
      <c r="E852">
        <f>Siam_Chart[[#This Row],[Chg%]]</f>
        <v>0.78</v>
      </c>
      <c r="F852">
        <f>Siam_Chart[[#This Row],[Volume]]</f>
        <v>5461101</v>
      </c>
      <c r="G852">
        <f>Siam_Chart[[#This Row],[Value (k)]]</f>
        <v>7214952.3399999999</v>
      </c>
      <c r="H852" cm="1">
        <f t="array" ref="H852:W852">Siam_Chart[[#This Row],[MCap (M)]:[CG]]</f>
        <v>1088988509.7</v>
      </c>
      <c r="I852">
        <v>10.71</v>
      </c>
      <c r="J852">
        <v>0.5</v>
      </c>
      <c r="K852">
        <v>0.29025699999999999</v>
      </c>
      <c r="L852">
        <v>5.5E-2</v>
      </c>
      <c r="M852">
        <v>0.09</v>
      </c>
      <c r="N852">
        <v>5.0307060000000003</v>
      </c>
      <c r="O852">
        <v>4.7490810000000003</v>
      </c>
      <c r="P852">
        <v>8.5066710000000008</v>
      </c>
      <c r="Q852">
        <v>4.2300000000000004</v>
      </c>
      <c r="R852" t="str">
        <v/>
      </c>
      <c r="S852" t="str">
        <v/>
      </c>
      <c r="T852">
        <v>847</v>
      </c>
      <c r="U852">
        <v>768</v>
      </c>
      <c r="V852">
        <v>6.19</v>
      </c>
      <c r="W852">
        <v>3</v>
      </c>
      <c r="X852" s="5">
        <f t="shared" si="29"/>
        <v>2.6</v>
      </c>
      <c r="Y852" s="6">
        <f t="shared" si="30"/>
        <v>837683469</v>
      </c>
    </row>
    <row r="853" spans="2:25" x14ac:dyDescent="0.25">
      <c r="B853" t="str">
        <f>Siam_Chart[[#This Row],[Name]]</f>
        <v>WIN</v>
      </c>
      <c r="C853">
        <f>Siam_Chart[[#This Row],[No.]]</f>
        <v>852</v>
      </c>
      <c r="D853">
        <f>Siam_Chart[[#This Row],[Last]]</f>
        <v>0.3</v>
      </c>
      <c r="E853">
        <f>Siam_Chart[[#This Row],[Chg%]]</f>
        <v>0</v>
      </c>
      <c r="F853">
        <f>Siam_Chart[[#This Row],[Volume]]</f>
        <v>9800</v>
      </c>
      <c r="G853">
        <f>Siam_Chart[[#This Row],[Value (k)]]</f>
        <v>2874</v>
      </c>
      <c r="H853" cm="1">
        <f t="array" ref="H853:W853">Siam_Chart[[#This Row],[MCap (M)]:[CG]]</f>
        <v>168343206</v>
      </c>
      <c r="I853">
        <v>168343206</v>
      </c>
      <c r="J853">
        <v>0.45</v>
      </c>
      <c r="K853">
        <v>0.83208899999999997</v>
      </c>
      <c r="L853">
        <v>0</v>
      </c>
      <c r="M853">
        <v>0.40426625409962008</v>
      </c>
      <c r="N853">
        <v>0.40426600000000001</v>
      </c>
      <c r="O853">
        <v>-3.4172690000000001</v>
      </c>
      <c r="P853">
        <v>-0.95559899999999998</v>
      </c>
      <c r="Q853">
        <v>0.45</v>
      </c>
      <c r="R853" t="str">
        <v/>
      </c>
      <c r="S853" t="str">
        <v/>
      </c>
      <c r="T853">
        <v>0</v>
      </c>
      <c r="U853">
        <v>0</v>
      </c>
      <c r="V853">
        <v>0</v>
      </c>
      <c r="W853">
        <v>4</v>
      </c>
      <c r="X853" s="5">
        <f t="shared" si="29"/>
        <v>0.66666666666666663</v>
      </c>
      <c r="Y853" s="6">
        <f t="shared" si="30"/>
        <v>561144020</v>
      </c>
    </row>
    <row r="854" spans="2:25" x14ac:dyDescent="0.25">
      <c r="B854" t="str">
        <f>Siam_Chart[[#This Row],[Name]]</f>
        <v>WINDOW</v>
      </c>
      <c r="C854">
        <f>Siam_Chart[[#This Row],[No.]]</f>
        <v>853</v>
      </c>
      <c r="D854">
        <f>Siam_Chart[[#This Row],[Last]]</f>
        <v>0.76</v>
      </c>
      <c r="E854">
        <f>Siam_Chart[[#This Row],[Chg%]]</f>
        <v>-1.3</v>
      </c>
      <c r="F854">
        <f>Siam_Chart[[#This Row],[Volume]]</f>
        <v>191901</v>
      </c>
      <c r="G854">
        <f>Siam_Chart[[#This Row],[Value (k)]]</f>
        <v>146399.78</v>
      </c>
      <c r="H854" cm="1">
        <f t="array" ref="H854:W854">Siam_Chart[[#This Row],[MCap (M)]:[CG]]</f>
        <v>674880000</v>
      </c>
      <c r="I854">
        <v>16.28</v>
      </c>
      <c r="J854">
        <v>0.74</v>
      </c>
      <c r="K854">
        <v>0.18560499999999999</v>
      </c>
      <c r="L854">
        <v>0.03</v>
      </c>
      <c r="M854">
        <v>0.04</v>
      </c>
      <c r="N854">
        <v>4.9261059999999999</v>
      </c>
      <c r="O854">
        <v>4.5635500000000002</v>
      </c>
      <c r="P854">
        <v>8.6173940000000009</v>
      </c>
      <c r="Q854">
        <v>3.95</v>
      </c>
      <c r="R854" t="str">
        <v/>
      </c>
      <c r="S854" t="str">
        <v/>
      </c>
      <c r="T854">
        <v>989</v>
      </c>
      <c r="U854">
        <v>902</v>
      </c>
      <c r="V854">
        <v>0.28000000000000003</v>
      </c>
      <c r="W854">
        <v>0</v>
      </c>
      <c r="X854" s="5">
        <f t="shared" si="29"/>
        <v>1.027027027027027</v>
      </c>
      <c r="Y854" s="6">
        <f t="shared" si="30"/>
        <v>888000000</v>
      </c>
    </row>
    <row r="855" spans="2:25" x14ac:dyDescent="0.25">
      <c r="B855" t="str">
        <f>Siam_Chart[[#This Row],[Name]]</f>
        <v>WINMED</v>
      </c>
      <c r="C855">
        <f>Siam_Chart[[#This Row],[No.]]</f>
        <v>854</v>
      </c>
      <c r="D855">
        <f>Siam_Chart[[#This Row],[Last]]</f>
        <v>1.24</v>
      </c>
      <c r="E855">
        <f>Siam_Chart[[#This Row],[Chg%]]</f>
        <v>-3.88</v>
      </c>
      <c r="F855">
        <f>Siam_Chart[[#This Row],[Volume]]</f>
        <v>1387483</v>
      </c>
      <c r="G855">
        <f>Siam_Chart[[#This Row],[Value (k)]]</f>
        <v>1794409.7</v>
      </c>
      <c r="H855" cm="1">
        <f t="array" ref="H855:W855">Siam_Chart[[#This Row],[MCap (M)]:[CG]]</f>
        <v>496000000</v>
      </c>
      <c r="I855">
        <v>29.54</v>
      </c>
      <c r="J855">
        <v>0.78</v>
      </c>
      <c r="K855">
        <v>0.78146599999999999</v>
      </c>
      <c r="L855">
        <v>1.2500000000000001E-2</v>
      </c>
      <c r="M855">
        <v>0.02</v>
      </c>
      <c r="N855">
        <v>3.2726060000000001</v>
      </c>
      <c r="O855">
        <v>2.6439699999999999</v>
      </c>
      <c r="P855">
        <v>2.52318</v>
      </c>
      <c r="Q855">
        <v>1.01</v>
      </c>
      <c r="R855" t="str">
        <v/>
      </c>
      <c r="S855" t="str">
        <v/>
      </c>
      <c r="T855">
        <v>1162</v>
      </c>
      <c r="U855">
        <v>1106</v>
      </c>
      <c r="V855">
        <v>-0.77</v>
      </c>
      <c r="W855">
        <v>5</v>
      </c>
      <c r="X855" s="5">
        <f t="shared" si="29"/>
        <v>1.5897435897435896</v>
      </c>
      <c r="Y855" s="6">
        <f t="shared" si="30"/>
        <v>400000000</v>
      </c>
    </row>
    <row r="856" spans="2:25" x14ac:dyDescent="0.25">
      <c r="B856" t="str">
        <f>Siam_Chart[[#This Row],[Name]]</f>
        <v>WINNER</v>
      </c>
      <c r="C856">
        <f>Siam_Chart[[#This Row],[No.]]</f>
        <v>855</v>
      </c>
      <c r="D856">
        <f>Siam_Chart[[#This Row],[Last]]</f>
        <v>2.2200000000000002</v>
      </c>
      <c r="E856">
        <f>Siam_Chart[[#This Row],[Chg%]]</f>
        <v>-3.48</v>
      </c>
      <c r="F856">
        <f>Siam_Chart[[#This Row],[Volume]]</f>
        <v>451530</v>
      </c>
      <c r="G856">
        <f>Siam_Chart[[#This Row],[Value (k)]]</f>
        <v>1003223.82</v>
      </c>
      <c r="H856" cm="1">
        <f t="array" ref="H856:W856">Siam_Chart[[#This Row],[MCap (M)]:[CG]]</f>
        <v>1331943749.6400001</v>
      </c>
      <c r="I856">
        <v>9.42</v>
      </c>
      <c r="J856">
        <v>1.86</v>
      </c>
      <c r="K856">
        <v>0.81535899999999994</v>
      </c>
      <c r="L856">
        <v>0.09</v>
      </c>
      <c r="M856">
        <v>0.11</v>
      </c>
      <c r="N856">
        <v>14.035897</v>
      </c>
      <c r="O856">
        <v>20.988568999999998</v>
      </c>
      <c r="P856">
        <v>6.3304140000000002</v>
      </c>
      <c r="Q856">
        <v>8.11</v>
      </c>
      <c r="R856" t="str">
        <v/>
      </c>
      <c r="S856" t="str">
        <v/>
      </c>
      <c r="T856">
        <v>341</v>
      </c>
      <c r="U856">
        <v>339</v>
      </c>
      <c r="V856">
        <v>0.04</v>
      </c>
      <c r="W856">
        <v>5</v>
      </c>
      <c r="X856" s="5">
        <f t="shared" si="29"/>
        <v>1.1935483870967742</v>
      </c>
      <c r="Y856" s="6">
        <f t="shared" si="30"/>
        <v>599974662</v>
      </c>
    </row>
    <row r="857" spans="2:25" x14ac:dyDescent="0.25">
      <c r="B857" t="str">
        <f>Siam_Chart[[#This Row],[Name]]</f>
        <v>WORK</v>
      </c>
      <c r="C857">
        <f>Siam_Chart[[#This Row],[No.]]</f>
        <v>856</v>
      </c>
      <c r="D857">
        <f>Siam_Chart[[#This Row],[Last]]</f>
        <v>3.42</v>
      </c>
      <c r="E857">
        <f>Siam_Chart[[#This Row],[Chg%]]</f>
        <v>0</v>
      </c>
      <c r="F857">
        <f>Siam_Chart[[#This Row],[Volume]]</f>
        <v>9214</v>
      </c>
      <c r="G857">
        <f>Siam_Chart[[#This Row],[Value (k)]]</f>
        <v>31557.64</v>
      </c>
      <c r="H857" cm="1">
        <f t="array" ref="H857:W857">Siam_Chart[[#This Row],[MCap (M)]:[CG]]</f>
        <v>1510136858.7</v>
      </c>
      <c r="I857">
        <v>1510136858.7</v>
      </c>
      <c r="J857">
        <v>0.37</v>
      </c>
      <c r="K857">
        <v>0.16076499999999999</v>
      </c>
      <c r="L857">
        <v>0.09</v>
      </c>
      <c r="M857">
        <v>-0.12</v>
      </c>
      <c r="N857">
        <v>-1.158787</v>
      </c>
      <c r="O857">
        <v>-1.686032</v>
      </c>
      <c r="P857">
        <v>-5.4515820000000001</v>
      </c>
      <c r="Q857">
        <v>0.37</v>
      </c>
      <c r="R857" t="str">
        <v/>
      </c>
      <c r="S857" t="str">
        <v/>
      </c>
      <c r="T857">
        <v>0</v>
      </c>
      <c r="U857">
        <v>0</v>
      </c>
      <c r="V857">
        <v>0</v>
      </c>
      <c r="W857">
        <v>3</v>
      </c>
      <c r="X857" s="5">
        <f t="shared" si="29"/>
        <v>9.2432432432432439</v>
      </c>
      <c r="Y857" s="6">
        <f t="shared" si="30"/>
        <v>441560485</v>
      </c>
    </row>
    <row r="858" spans="2:25" x14ac:dyDescent="0.25">
      <c r="B858" t="str">
        <f>Siam_Chart[[#This Row],[Name]]</f>
        <v>WP</v>
      </c>
      <c r="C858">
        <f>Siam_Chart[[#This Row],[No.]]</f>
        <v>857</v>
      </c>
      <c r="D858">
        <f>Siam_Chart[[#This Row],[Last]]</f>
        <v>3.76</v>
      </c>
      <c r="E858">
        <f>Siam_Chart[[#This Row],[Chg%]]</f>
        <v>0</v>
      </c>
      <c r="F858">
        <f>Siam_Chart[[#This Row],[Volume]]</f>
        <v>90304</v>
      </c>
      <c r="G858">
        <f>Siam_Chart[[#This Row],[Value (k)]]</f>
        <v>338623.26</v>
      </c>
      <c r="H858" cm="1">
        <f t="array" ref="H858:W858">Siam_Chart[[#This Row],[MCap (M)]:[CG]]</f>
        <v>1919498048</v>
      </c>
      <c r="I858">
        <v>11.17</v>
      </c>
      <c r="J858">
        <v>1.54</v>
      </c>
      <c r="K858">
        <v>4.5354039999999998</v>
      </c>
      <c r="L858">
        <v>0.3</v>
      </c>
      <c r="M858">
        <v>0.17</v>
      </c>
      <c r="N858">
        <v>3.5635789999999998</v>
      </c>
      <c r="O858">
        <v>13.805936000000001</v>
      </c>
      <c r="P858">
        <v>1.0154339999999999</v>
      </c>
      <c r="Q858">
        <v>8.14</v>
      </c>
      <c r="R858" t="str">
        <v/>
      </c>
      <c r="S858" t="str">
        <v/>
      </c>
      <c r="T858">
        <v>557</v>
      </c>
      <c r="U858">
        <v>880</v>
      </c>
      <c r="V858">
        <v>1.01</v>
      </c>
      <c r="W858">
        <v>5</v>
      </c>
      <c r="X858" s="5">
        <f t="shared" si="29"/>
        <v>2.4415584415584415</v>
      </c>
      <c r="Y858" s="6">
        <f t="shared" si="30"/>
        <v>510504800</v>
      </c>
    </row>
    <row r="859" spans="2:25" x14ac:dyDescent="0.25">
      <c r="B859" t="str">
        <f>Siam_Chart[[#This Row],[Name]]</f>
        <v>WPH</v>
      </c>
      <c r="C859">
        <f>Siam_Chart[[#This Row],[No.]]</f>
        <v>858</v>
      </c>
      <c r="D859">
        <f>Siam_Chart[[#This Row],[Last]]</f>
        <v>6.05</v>
      </c>
      <c r="E859">
        <f>Siam_Chart[[#This Row],[Chg%]]</f>
        <v>0</v>
      </c>
      <c r="F859">
        <f>Siam_Chart[[#This Row],[Volume]]</f>
        <v>1285503</v>
      </c>
      <c r="G859">
        <f>Siam_Chart[[#This Row],[Value (k)]]</f>
        <v>7780874.5</v>
      </c>
      <c r="H859" cm="1">
        <f t="array" ref="H859:W859">Siam_Chart[[#This Row],[MCap (M)]:[CG]]</f>
        <v>4320456643.25</v>
      </c>
      <c r="I859">
        <v>12.6</v>
      </c>
      <c r="J859">
        <v>2.08</v>
      </c>
      <c r="K859">
        <v>0.79409200000000002</v>
      </c>
      <c r="L859">
        <v>7.2999999999999995E-2</v>
      </c>
      <c r="M859">
        <v>0.28999999999999998</v>
      </c>
      <c r="N859">
        <v>12.123336</v>
      </c>
      <c r="O859">
        <v>17.731504999999999</v>
      </c>
      <c r="P859">
        <v>15.80517</v>
      </c>
      <c r="Q859">
        <v>1.18</v>
      </c>
      <c r="R859" t="str">
        <v/>
      </c>
      <c r="S859" t="str">
        <v/>
      </c>
      <c r="T859">
        <v>450</v>
      </c>
      <c r="U859">
        <v>448</v>
      </c>
      <c r="V859">
        <v>0.31</v>
      </c>
      <c r="W859">
        <v>5</v>
      </c>
      <c r="X859" s="5">
        <f t="shared" si="29"/>
        <v>2.9086538461538458</v>
      </c>
      <c r="Y859" s="6">
        <f t="shared" si="30"/>
        <v>714125065</v>
      </c>
    </row>
    <row r="860" spans="2:25" x14ac:dyDescent="0.25">
      <c r="B860" t="str">
        <f>Siam_Chart[[#This Row],[Name]]</f>
        <v>WSOL</v>
      </c>
      <c r="C860">
        <f>Siam_Chart[[#This Row],[No.]]</f>
        <v>859</v>
      </c>
      <c r="D860">
        <f>Siam_Chart[[#This Row],[Last]]</f>
        <v>2025</v>
      </c>
      <c r="E860">
        <f>Siam_Chart[[#This Row],[Chg%]]</f>
        <v>-86.956521739130437</v>
      </c>
      <c r="F860">
        <f>Siam_Chart[[#This Row],[Volume]]</f>
        <v>673693503</v>
      </c>
      <c r="G860">
        <f>Siam_Chart[[#This Row],[Value (k)]]</f>
        <v>51686.047859999999</v>
      </c>
      <c r="H860" cm="1">
        <f t="array" ref="H860:W860">Siam_Chart[[#This Row],[MCap (M)]:[CG]]</f>
        <v>73</v>
      </c>
      <c r="I860">
        <v>0</v>
      </c>
      <c r="J860">
        <v>0</v>
      </c>
      <c r="K860">
        <v>0</v>
      </c>
      <c r="L860">
        <v>0.15520100000000001</v>
      </c>
      <c r="M860">
        <v>-1.98</v>
      </c>
      <c r="N860">
        <v>-77.943719000000002</v>
      </c>
      <c r="O860">
        <v>-242.00071769648588</v>
      </c>
      <c r="P860">
        <v>-242.00071800000001</v>
      </c>
      <c r="Q860">
        <v>0</v>
      </c>
      <c r="R860" t="str">
        <v/>
      </c>
      <c r="S860" t="str">
        <v/>
      </c>
      <c r="T860">
        <v>0</v>
      </c>
      <c r="U860">
        <v>0</v>
      </c>
      <c r="V860">
        <v>0</v>
      </c>
      <c r="W860">
        <v>0</v>
      </c>
      <c r="X860" s="5">
        <f t="shared" si="29"/>
        <v>0</v>
      </c>
      <c r="Y860" s="6">
        <f t="shared" si="30"/>
        <v>3.6049382716049384E-2</v>
      </c>
    </row>
    <row r="861" spans="2:25" x14ac:dyDescent="0.25">
      <c r="B861" t="str">
        <f>Siam_Chart[[#This Row],[Name]]</f>
        <v>XBIO</v>
      </c>
      <c r="C861">
        <f>Siam_Chart[[#This Row],[No.]]</f>
        <v>860</v>
      </c>
      <c r="D861">
        <f>Siam_Chart[[#This Row],[Last]]</f>
        <v>7.0000000000000007E-2</v>
      </c>
      <c r="E861">
        <f>Siam_Chart[[#This Row],[Chg%]]</f>
        <v>0</v>
      </c>
      <c r="F861">
        <f>Siam_Chart[[#This Row],[Volume]]</f>
        <v>120105</v>
      </c>
      <c r="G861">
        <f>Siam_Chart[[#This Row],[Value (k)]]</f>
        <v>8377.2999999999993</v>
      </c>
      <c r="H861" cm="1">
        <f t="array" ref="H861:W861">Siam_Chart[[#This Row],[MCap (M)]:[CG]]</f>
        <v>851464402.80999994</v>
      </c>
      <c r="I861">
        <v>973102174.63999999</v>
      </c>
      <c r="J861">
        <v>2.89</v>
      </c>
      <c r="K861">
        <v>0.79015500000000005</v>
      </c>
      <c r="L861">
        <v>-0.04</v>
      </c>
      <c r="M861">
        <v>-0.04</v>
      </c>
      <c r="N861">
        <v>-87.859247999999994</v>
      </c>
      <c r="O861">
        <v>-194.84361200000001</v>
      </c>
      <c r="P861">
        <v>-217.966725</v>
      </c>
      <c r="Q861">
        <v>3.3</v>
      </c>
      <c r="R861" t="str">
        <v/>
      </c>
      <c r="S861" t="str">
        <v/>
      </c>
      <c r="T861">
        <v>0</v>
      </c>
      <c r="U861">
        <v>0</v>
      </c>
      <c r="V861">
        <v>0</v>
      </c>
      <c r="W861">
        <v>0</v>
      </c>
      <c r="X861" s="5">
        <f t="shared" si="29"/>
        <v>2.4221453287197232E-2</v>
      </c>
      <c r="Y861" s="6">
        <f t="shared" si="30"/>
        <v>12163777182.999998</v>
      </c>
    </row>
    <row r="862" spans="2:25" x14ac:dyDescent="0.25">
      <c r="B862" t="str">
        <f>Siam_Chart[[#This Row],[Name]]</f>
        <v>XO</v>
      </c>
      <c r="C862">
        <f>Siam_Chart[[#This Row],[No.]]</f>
        <v>861</v>
      </c>
      <c r="D862">
        <f>Siam_Chart[[#This Row],[Last]]</f>
        <v>20.100000000000001</v>
      </c>
      <c r="E862">
        <f>Siam_Chart[[#This Row],[Chg%]]</f>
        <v>-1.47</v>
      </c>
      <c r="F862">
        <f>Siam_Chart[[#This Row],[Volume]]</f>
        <v>341109</v>
      </c>
      <c r="G862">
        <f>Siam_Chart[[#This Row],[Value (k)]]</f>
        <v>6922065.9000000004</v>
      </c>
      <c r="H862" cm="1">
        <f t="array" ref="H862:W862">Siam_Chart[[#This Row],[MCap (M)]:[CG]]</f>
        <v>8608113977.7000008</v>
      </c>
      <c r="I862">
        <v>18.64</v>
      </c>
      <c r="J862">
        <v>4.43</v>
      </c>
      <c r="K862">
        <v>0.18917500000000001</v>
      </c>
      <c r="L862">
        <v>0.378</v>
      </c>
      <c r="M862">
        <v>0.56000000000000005</v>
      </c>
      <c r="N862">
        <v>22.836960999999999</v>
      </c>
      <c r="O862">
        <v>24.837537000000001</v>
      </c>
      <c r="P862">
        <v>21.544948000000002</v>
      </c>
      <c r="Q862">
        <v>3.42</v>
      </c>
      <c r="R862" t="str">
        <v/>
      </c>
      <c r="S862" t="str">
        <v/>
      </c>
      <c r="T862">
        <v>559</v>
      </c>
      <c r="U862">
        <v>526</v>
      </c>
      <c r="V862">
        <v>1</v>
      </c>
      <c r="W862">
        <v>4</v>
      </c>
      <c r="X862" s="5">
        <f t="shared" si="29"/>
        <v>4.5372460496614</v>
      </c>
      <c r="Y862" s="6">
        <f t="shared" si="30"/>
        <v>428264377</v>
      </c>
    </row>
    <row r="863" spans="2:25" x14ac:dyDescent="0.25">
      <c r="B863" t="str">
        <f>Siam_Chart[[#This Row],[Name]]</f>
        <v>XPG</v>
      </c>
      <c r="C863">
        <f>Siam_Chart[[#This Row],[No.]]</f>
        <v>862</v>
      </c>
      <c r="D863">
        <f>Siam_Chart[[#This Row],[Last]]</f>
        <v>0.55000000000000004</v>
      </c>
      <c r="E863">
        <f>Siam_Chart[[#This Row],[Chg%]]</f>
        <v>1.85</v>
      </c>
      <c r="F863">
        <f>Siam_Chart[[#This Row],[Volume]]</f>
        <v>87910661</v>
      </c>
      <c r="G863">
        <f>Siam_Chart[[#This Row],[Value (k)]]</f>
        <v>48228861.350000001</v>
      </c>
      <c r="H863" cm="1">
        <f t="array" ref="H863:W863">Siam_Chart[[#This Row],[MCap (M)]:[CG]]</f>
        <v>5885105105.5500002</v>
      </c>
      <c r="I863">
        <v>29.29</v>
      </c>
      <c r="J863">
        <v>0.49</v>
      </c>
      <c r="K863">
        <v>3.2738000000000003E-2</v>
      </c>
      <c r="L863">
        <v>0.01</v>
      </c>
      <c r="M863">
        <v>0.01</v>
      </c>
      <c r="N863">
        <v>2.1202230000000002</v>
      </c>
      <c r="O863">
        <v>1.6819120000000001</v>
      </c>
      <c r="P863">
        <v>24.376374999999999</v>
      </c>
      <c r="Q863">
        <v>1.82</v>
      </c>
      <c r="R863" t="str">
        <v/>
      </c>
      <c r="S863" t="str">
        <v/>
      </c>
      <c r="T863">
        <v>1255</v>
      </c>
      <c r="U863">
        <v>1275</v>
      </c>
      <c r="V863">
        <v>-0.31</v>
      </c>
      <c r="W863">
        <v>4</v>
      </c>
      <c r="X863" s="5">
        <f t="shared" si="29"/>
        <v>1.1224489795918369</v>
      </c>
      <c r="Y863" s="6">
        <f t="shared" si="30"/>
        <v>10700191101</v>
      </c>
    </row>
    <row r="864" spans="2:25" x14ac:dyDescent="0.25">
      <c r="B864" t="str">
        <f>Siam_Chart[[#This Row],[Name]]</f>
        <v>XYZ</v>
      </c>
      <c r="C864">
        <f>Siam_Chart[[#This Row],[No.]]</f>
        <v>863</v>
      </c>
      <c r="D864">
        <f>Siam_Chart[[#This Row],[Last]]</f>
        <v>0.27</v>
      </c>
      <c r="E864">
        <f>Siam_Chart[[#This Row],[Chg%]]</f>
        <v>0</v>
      </c>
      <c r="F864">
        <f>Siam_Chart[[#This Row],[Volume]]</f>
        <v>500</v>
      </c>
      <c r="G864">
        <f>Siam_Chart[[#This Row],[Value (k)]]</f>
        <v>135</v>
      </c>
      <c r="H864" cm="1">
        <f t="array" ref="H864:W864">Siam_Chart[[#This Row],[MCap (M)]:[CG]]</f>
        <v>471619687.41000003</v>
      </c>
      <c r="I864">
        <v>471619687.41000003</v>
      </c>
      <c r="J864">
        <v>1.1200000000000001</v>
      </c>
      <c r="K864">
        <v>1.081682</v>
      </c>
      <c r="L864">
        <v>0.18129999999999999</v>
      </c>
      <c r="M864">
        <v>-7.0000000000000007E-2</v>
      </c>
      <c r="N864">
        <v>-7.2017980000000001</v>
      </c>
      <c r="O864">
        <v>-62.034061000000001</v>
      </c>
      <c r="P864">
        <v>-6.5157290000000003</v>
      </c>
      <c r="Q864">
        <v>1.1200000000000001</v>
      </c>
      <c r="R864" t="str">
        <v/>
      </c>
      <c r="S864" t="str">
        <v/>
      </c>
      <c r="T864">
        <v>0</v>
      </c>
      <c r="U864">
        <v>0</v>
      </c>
      <c r="V864">
        <v>0</v>
      </c>
      <c r="W864">
        <v>4</v>
      </c>
      <c r="X864" s="5">
        <f t="shared" si="29"/>
        <v>0.24107142857142858</v>
      </c>
      <c r="Y864" s="6">
        <f t="shared" si="30"/>
        <v>1746739583</v>
      </c>
    </row>
    <row r="865" spans="2:25" x14ac:dyDescent="0.25">
      <c r="B865" t="str">
        <f>Siam_Chart[[#This Row],[Name]]</f>
        <v>YGG</v>
      </c>
      <c r="C865">
        <f>Siam_Chart[[#This Row],[No.]]</f>
        <v>864</v>
      </c>
      <c r="D865">
        <f>Siam_Chart[[#This Row],[Last]]</f>
        <v>0.18</v>
      </c>
      <c r="E865">
        <f>Siam_Chart[[#This Row],[Chg%]]</f>
        <v>0</v>
      </c>
      <c r="F865">
        <f>Siam_Chart[[#This Row],[Volume]]</f>
        <v>185700</v>
      </c>
      <c r="G865">
        <f>Siam_Chart[[#This Row],[Value (k)]]</f>
        <v>32850</v>
      </c>
      <c r="H865" cm="1">
        <f t="array" ref="H865:W865">Siam_Chart[[#This Row],[MCap (M)]:[CG]]</f>
        <v>108359493.66</v>
      </c>
      <c r="I865">
        <v>102339521.79000001</v>
      </c>
      <c r="J865">
        <v>2.68</v>
      </c>
      <c r="K865">
        <v>0.93104600000000004</v>
      </c>
      <c r="L865">
        <v>6.7000000000000004E-2</v>
      </c>
      <c r="M865">
        <v>-0.02</v>
      </c>
      <c r="N865">
        <v>-24.627054999999999</v>
      </c>
      <c r="O865">
        <v>-51.270474</v>
      </c>
      <c r="P865">
        <v>-231.96857499999999</v>
      </c>
      <c r="Q865">
        <v>2.5299999999999998</v>
      </c>
      <c r="R865" t="str">
        <v/>
      </c>
      <c r="S865" t="str">
        <v/>
      </c>
      <c r="T865">
        <v>0</v>
      </c>
      <c r="U865">
        <v>0</v>
      </c>
      <c r="V865">
        <v>0</v>
      </c>
      <c r="W865">
        <v>0</v>
      </c>
      <c r="X865" s="5">
        <f t="shared" si="29"/>
        <v>6.7164179104477612E-2</v>
      </c>
      <c r="Y865" s="6">
        <f t="shared" si="30"/>
        <v>601997187</v>
      </c>
    </row>
    <row r="866" spans="2:25" x14ac:dyDescent="0.25">
      <c r="B866" t="str">
        <f>Siam_Chart[[#This Row],[Name]]</f>
        <v>YONG</v>
      </c>
      <c r="C866">
        <f>Siam_Chart[[#This Row],[No.]]</f>
        <v>865</v>
      </c>
      <c r="D866">
        <f>Siam_Chart[[#This Row],[Last]]</f>
        <v>0.71</v>
      </c>
      <c r="E866">
        <f>Siam_Chart[[#This Row],[Chg%]]</f>
        <v>-1.39</v>
      </c>
      <c r="F866">
        <f>Siam_Chart[[#This Row],[Volume]]</f>
        <v>297401</v>
      </c>
      <c r="G866">
        <f>Siam_Chart[[#This Row],[Value (k)]]</f>
        <v>211154.71</v>
      </c>
      <c r="H866" cm="1">
        <f t="array" ref="H866:W866">Siam_Chart[[#This Row],[MCap (M)]:[CG]]</f>
        <v>482800000</v>
      </c>
      <c r="I866">
        <v>23.75</v>
      </c>
      <c r="J866">
        <v>0.56000000000000005</v>
      </c>
      <c r="K866">
        <v>0.58110399999999995</v>
      </c>
      <c r="L866">
        <v>0.03</v>
      </c>
      <c r="M866">
        <v>0.01</v>
      </c>
      <c r="N866">
        <v>2.7166939999999999</v>
      </c>
      <c r="O866">
        <v>2.3384019999999999</v>
      </c>
      <c r="P866">
        <v>1.2824469999999999</v>
      </c>
      <c r="Q866">
        <v>4.2300000000000004</v>
      </c>
      <c r="R866" t="str">
        <v/>
      </c>
      <c r="S866" t="str">
        <v/>
      </c>
      <c r="T866">
        <v>1187</v>
      </c>
      <c r="U866">
        <v>1159</v>
      </c>
      <c r="V866">
        <v>-2.04</v>
      </c>
      <c r="W866">
        <v>0</v>
      </c>
      <c r="X866" s="5">
        <f t="shared" si="29"/>
        <v>1.2678571428571426</v>
      </c>
      <c r="Y866" s="6">
        <f t="shared" si="30"/>
        <v>680000000</v>
      </c>
    </row>
    <row r="867" spans="2:25" x14ac:dyDescent="0.25">
      <c r="B867" t="str">
        <f>Siam_Chart[[#This Row],[Name]]</f>
        <v>YUASA</v>
      </c>
      <c r="C867">
        <f>Siam_Chart[[#This Row],[No.]]</f>
        <v>866</v>
      </c>
      <c r="D867">
        <f>Siam_Chart[[#This Row],[Last]]</f>
        <v>14.7</v>
      </c>
      <c r="E867">
        <f>Siam_Chart[[#This Row],[Chg%]]</f>
        <v>0.68</v>
      </c>
      <c r="F867">
        <f>Siam_Chart[[#This Row],[Volume]]</f>
        <v>2109</v>
      </c>
      <c r="G867">
        <f>Siam_Chart[[#This Row],[Value (k)]]</f>
        <v>30921.4</v>
      </c>
      <c r="H867" cm="1">
        <f t="array" ref="H867:W867">Siam_Chart[[#This Row],[MCap (M)]:[CG]]</f>
        <v>1582087500</v>
      </c>
      <c r="I867">
        <v>6.31</v>
      </c>
      <c r="J867">
        <v>1.1000000000000001</v>
      </c>
      <c r="K867">
        <v>0.43017699999999998</v>
      </c>
      <c r="L867">
        <v>0.90229999999999999</v>
      </c>
      <c r="M867">
        <v>1.39</v>
      </c>
      <c r="N867">
        <v>15.911607</v>
      </c>
      <c r="O867">
        <v>18.293572999999999</v>
      </c>
      <c r="P867">
        <v>10.011362</v>
      </c>
      <c r="Q867">
        <v>6.14</v>
      </c>
      <c r="R867" t="str">
        <v/>
      </c>
      <c r="S867" t="str">
        <v/>
      </c>
      <c r="T867">
        <v>187</v>
      </c>
      <c r="U867">
        <v>155</v>
      </c>
      <c r="V867">
        <v>0.24</v>
      </c>
      <c r="W867">
        <v>3</v>
      </c>
      <c r="X867" s="5">
        <f t="shared" si="29"/>
        <v>13.363636363636362</v>
      </c>
      <c r="Y867" s="6">
        <f t="shared" si="30"/>
        <v>107625000</v>
      </c>
    </row>
    <row r="868" spans="2:25" x14ac:dyDescent="0.25">
      <c r="B868" t="str">
        <f>Siam_Chart[[#This Row],[Name]]</f>
        <v>ZAA</v>
      </c>
      <c r="C868">
        <f>Siam_Chart[[#This Row],[No.]]</f>
        <v>867</v>
      </c>
      <c r="D868">
        <f>Siam_Chart[[#This Row],[Last]]</f>
        <v>1.64</v>
      </c>
      <c r="E868">
        <f>Siam_Chart[[#This Row],[Chg%]]</f>
        <v>0</v>
      </c>
      <c r="F868">
        <f>Siam_Chart[[#This Row],[Volume]]</f>
        <v>900</v>
      </c>
      <c r="G868">
        <f>Siam_Chart[[#This Row],[Value (k)]]</f>
        <v>1456</v>
      </c>
      <c r="H868" cm="1">
        <f t="array" ref="H868:W868">Siam_Chart[[#This Row],[MCap (M)]:[CG]]</f>
        <v>1066097724.3200001</v>
      </c>
      <c r="I868">
        <v>1059597128.4400001</v>
      </c>
      <c r="J868">
        <v>4.88</v>
      </c>
      <c r="K868">
        <v>0.156418</v>
      </c>
      <c r="L868">
        <v>-0.03</v>
      </c>
      <c r="M868">
        <v>-0.03</v>
      </c>
      <c r="N868">
        <v>-15.863185</v>
      </c>
      <c r="O868">
        <v>-20.281949000000001</v>
      </c>
      <c r="P868">
        <v>-15.996852000000001</v>
      </c>
      <c r="Q868">
        <v>4.8499999999999996</v>
      </c>
      <c r="R868" t="str">
        <v/>
      </c>
      <c r="S868" t="str">
        <v/>
      </c>
      <c r="T868">
        <v>0</v>
      </c>
      <c r="U868">
        <v>0</v>
      </c>
      <c r="V868">
        <v>0</v>
      </c>
      <c r="W868">
        <v>3</v>
      </c>
      <c r="X868" s="5">
        <f t="shared" si="29"/>
        <v>0.33606557377049179</v>
      </c>
      <c r="Y868" s="6">
        <f t="shared" si="30"/>
        <v>650059588.00000012</v>
      </c>
    </row>
    <row r="869" spans="2:25" x14ac:dyDescent="0.25">
      <c r="B869" t="str">
        <f>Siam_Chart[[#This Row],[Name]]</f>
        <v>ZEN</v>
      </c>
      <c r="C869">
        <f>Siam_Chart[[#This Row],[No.]]</f>
        <v>868</v>
      </c>
      <c r="D869">
        <f>Siam_Chart[[#This Row],[Last]]</f>
        <v>5.45</v>
      </c>
      <c r="E869">
        <f>Siam_Chart[[#This Row],[Chg%]]</f>
        <v>-0.91</v>
      </c>
      <c r="F869">
        <f>Siam_Chart[[#This Row],[Volume]]</f>
        <v>301</v>
      </c>
      <c r="G869">
        <f>Siam_Chart[[#This Row],[Value (k)]]</f>
        <v>1640.55</v>
      </c>
      <c r="H869" cm="1">
        <f t="array" ref="H869:W869">Siam_Chart[[#This Row],[MCap (M)]:[CG]]</f>
        <v>1635000000</v>
      </c>
      <c r="I869">
        <v>34.590000000000003</v>
      </c>
      <c r="J869">
        <v>1.21</v>
      </c>
      <c r="K869">
        <v>1.017679</v>
      </c>
      <c r="L869">
        <v>0.1</v>
      </c>
      <c r="M869">
        <v>0.08</v>
      </c>
      <c r="N869">
        <v>4.9332240000000001</v>
      </c>
      <c r="O869">
        <v>3.524143</v>
      </c>
      <c r="P869">
        <v>2.037331</v>
      </c>
      <c r="Q869">
        <v>1.83</v>
      </c>
      <c r="R869" t="str">
        <v/>
      </c>
      <c r="S869" t="str">
        <v/>
      </c>
      <c r="T869">
        <v>1194</v>
      </c>
      <c r="U869">
        <v>1079</v>
      </c>
      <c r="V869">
        <v>-0.4</v>
      </c>
      <c r="W869">
        <v>5</v>
      </c>
      <c r="X869" s="5">
        <f t="shared" si="29"/>
        <v>4.5041322314049586</v>
      </c>
      <c r="Y869" s="6">
        <f t="shared" si="30"/>
        <v>300000000</v>
      </c>
    </row>
  </sheetData>
  <mergeCells count="1">
    <mergeCell ref="B1:C1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C22C46-2D61-454C-8F6F-0A448E0B56D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Stocks</vt:lpstr>
      <vt:lpstr>Stocks_Amibroker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Plaifa Engineering</dc:creator>
  <cp:lastModifiedBy>Plaifa Engineering</cp:lastModifiedBy>
  <dcterms:created xsi:type="dcterms:W3CDTF">2026-06-14T10:53:30Z</dcterms:created>
  <dcterms:modified xsi:type="dcterms:W3CDTF">2026-08-28T10:31:03Z</dcterms:modified>
</cp:coreProperties>
</file>